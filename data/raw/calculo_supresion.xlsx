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itflow-my.sharepoint.com/personal/msandoval_fitflow_com/Documents/Documentos/Gestión Regional/Supresion/"/>
    </mc:Choice>
  </mc:AlternateContent>
  <xr:revisionPtr revIDLastSave="104" documentId="8_{74E36070-C71B-466B-98D4-828AB51BD0C4}" xr6:coauthVersionLast="47" xr6:coauthVersionMax="47" xr10:uidLastSave="{979180B7-3B61-409B-A32A-E80BD158B1E9}"/>
  <bookViews>
    <workbookView xWindow="-28920" yWindow="-120" windowWidth="29040" windowHeight="15720" activeTab="2" xr2:uid="{6B02615B-1F34-4C80-A92C-CCC3A7334D9E}"/>
  </bookViews>
  <sheets>
    <sheet name="CALC_AGENT" sheetId="2" r:id="rId1"/>
    <sheet name="INGRESO_DATOS_SALA" sheetId="5" r:id="rId2"/>
    <sheet name="BDD_SISTEMAS- MANIFOLD" sheetId="1" r:id="rId3"/>
    <sheet name="tabla_temperatura" sheetId="3" r:id="rId4"/>
    <sheet name="COT AGENTES" sheetId="4" r:id="rId5"/>
  </sheets>
  <externalReferences>
    <externalReference r:id="rId6"/>
  </externalReferences>
  <definedNames>
    <definedName name="_xlnm._FilterDatabase" localSheetId="2" hidden="1">'BDD_SISTEMAS- MANIFOLD'!$A$1:$N$1242</definedName>
    <definedName name="li">'[1]COT A101-LVS-EXT'!$J$19</definedName>
    <definedName name="po">'[1]COT A101-LVS-EXT'!$N$18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236" i="1" l="1"/>
  <c r="L1211" i="1"/>
  <c r="L1185" i="1"/>
  <c r="L1159" i="1"/>
  <c r="L1134" i="1"/>
  <c r="L1109" i="1"/>
  <c r="L1084" i="1"/>
  <c r="L1059" i="1"/>
  <c r="L1033" i="1"/>
  <c r="L1008" i="1"/>
  <c r="L982" i="1"/>
  <c r="L956" i="1"/>
  <c r="L931" i="1"/>
  <c r="L906" i="1"/>
  <c r="L881" i="1"/>
  <c r="L856" i="1"/>
  <c r="L834" i="1"/>
  <c r="L814" i="1"/>
  <c r="L793" i="1"/>
  <c r="L772" i="1"/>
  <c r="L753" i="1"/>
  <c r="L734" i="1"/>
  <c r="L715" i="1"/>
  <c r="L696" i="1"/>
  <c r="L675" i="1"/>
  <c r="L655" i="1"/>
  <c r="L634" i="1"/>
  <c r="L613" i="1"/>
  <c r="L594" i="1"/>
  <c r="L575" i="1"/>
  <c r="L556" i="1"/>
  <c r="L537" i="1"/>
  <c r="H11" i="2"/>
  <c r="H12" i="2"/>
  <c r="H13" i="2"/>
  <c r="H14" i="2"/>
  <c r="Q14" i="2"/>
  <c r="Q13" i="2"/>
  <c r="Q12" i="2"/>
  <c r="Q11" i="2"/>
  <c r="Q10" i="2"/>
  <c r="M14" i="2"/>
  <c r="M13" i="2"/>
  <c r="M12" i="2"/>
  <c r="M11" i="2"/>
  <c r="M10" i="2"/>
  <c r="H10" i="2"/>
  <c r="D7" i="2"/>
  <c r="D14" i="2"/>
  <c r="D13" i="2"/>
  <c r="D12" i="2"/>
  <c r="D11" i="2"/>
  <c r="D10" i="2"/>
  <c r="R20" i="5"/>
  <c r="S20" i="5" s="1"/>
  <c r="R19" i="5"/>
  <c r="R21" i="5" s="1"/>
  <c r="N19" i="5"/>
  <c r="N21" i="5" s="1"/>
  <c r="J19" i="5"/>
  <c r="J21" i="5" s="1"/>
  <c r="R18" i="5"/>
  <c r="S18" i="5" s="1"/>
  <c r="O18" i="5"/>
  <c r="N18" i="5"/>
  <c r="J18" i="5"/>
  <c r="K18" i="5" s="1"/>
  <c r="S17" i="5"/>
  <c r="O17" i="5"/>
  <c r="K17" i="5"/>
  <c r="E17" i="5"/>
  <c r="D17" i="5"/>
  <c r="S16" i="5"/>
  <c r="O16" i="5"/>
  <c r="K16" i="5"/>
  <c r="D16" i="5"/>
  <c r="E16" i="5" s="1"/>
  <c r="S15" i="5"/>
  <c r="O15" i="5"/>
  <c r="K15" i="5"/>
  <c r="D15" i="5"/>
  <c r="E15" i="5" s="1"/>
  <c r="S14" i="5"/>
  <c r="O14" i="5"/>
  <c r="K14" i="5"/>
  <c r="E14" i="5"/>
  <c r="D14" i="5"/>
  <c r="S13" i="5"/>
  <c r="O13" i="5"/>
  <c r="K13" i="5"/>
  <c r="D13" i="5"/>
  <c r="D19" i="5" s="1"/>
  <c r="D5" i="5"/>
  <c r="E5" i="5" s="1"/>
  <c r="I4" i="5"/>
  <c r="I25" i="5" l="1"/>
  <c r="D21" i="5"/>
  <c r="E19" i="5"/>
  <c r="K19" i="5"/>
  <c r="E13" i="5"/>
  <c r="J20" i="5"/>
  <c r="K20" i="5" s="1"/>
  <c r="D18" i="5"/>
  <c r="E18" i="5" s="1"/>
  <c r="N20" i="5"/>
  <c r="O20" i="5" s="1"/>
  <c r="O19" i="5"/>
  <c r="S19" i="5"/>
  <c r="D20" i="5" l="1"/>
  <c r="E20" i="5" s="1"/>
  <c r="E10" i="2" l="1"/>
  <c r="M24" i="2" s="1"/>
  <c r="C2" i="1"/>
  <c r="C26" i="1"/>
  <c r="M1218" i="1"/>
  <c r="B1218" i="1" s="1"/>
  <c r="B1192" i="1"/>
  <c r="M1192" i="1"/>
  <c r="M1166" i="1"/>
  <c r="B1166" i="1" s="1"/>
  <c r="M1140" i="1"/>
  <c r="B1140" i="1" s="1"/>
  <c r="M1115" i="1"/>
  <c r="B1115" i="1" s="1"/>
  <c r="M1090" i="1"/>
  <c r="B1090" i="1" s="1"/>
  <c r="M1065" i="1"/>
  <c r="B1065" i="1" s="1"/>
  <c r="M1040" i="1"/>
  <c r="B1040" i="1" s="1"/>
  <c r="B1015" i="1"/>
  <c r="M1015" i="1"/>
  <c r="M989" i="1"/>
  <c r="B989" i="1" s="1"/>
  <c r="M963" i="1"/>
  <c r="B963" i="1" s="1"/>
  <c r="M937" i="1"/>
  <c r="B937" i="1" s="1"/>
  <c r="M912" i="1"/>
  <c r="B912" i="1" s="1"/>
  <c r="B887" i="1"/>
  <c r="M887" i="1"/>
  <c r="M862" i="1"/>
  <c r="B862" i="1" s="1"/>
  <c r="B837" i="1"/>
  <c r="M837" i="1"/>
  <c r="M817" i="1"/>
  <c r="B817" i="1" s="1"/>
  <c r="M796" i="1"/>
  <c r="B796" i="1" s="1"/>
  <c r="M775" i="1"/>
  <c r="B775" i="1" s="1"/>
  <c r="B754" i="1"/>
  <c r="M754" i="1"/>
  <c r="M735" i="1"/>
  <c r="B735" i="1" s="1"/>
  <c r="B716" i="1"/>
  <c r="M716" i="1"/>
  <c r="M697" i="1"/>
  <c r="B697" i="1" s="1"/>
  <c r="M678" i="1"/>
  <c r="B678" i="1" s="1"/>
  <c r="M658" i="1"/>
  <c r="B658" i="1" s="1"/>
  <c r="B637" i="1"/>
  <c r="M637" i="1"/>
  <c r="M616" i="1"/>
  <c r="B616" i="1" s="1"/>
  <c r="M595" i="1"/>
  <c r="B595" i="1" s="1"/>
  <c r="M576" i="1"/>
  <c r="B576" i="1" s="1"/>
  <c r="M557" i="1"/>
  <c r="B557" i="1" s="1"/>
  <c r="M538" i="1"/>
  <c r="B538" i="1" s="1"/>
  <c r="M518" i="1"/>
  <c r="B518" i="1" s="1"/>
  <c r="B519" i="1"/>
  <c r="M519" i="1"/>
  <c r="M510" i="1"/>
  <c r="B510" i="1" s="1"/>
  <c r="M502" i="1"/>
  <c r="B502" i="1" s="1"/>
  <c r="M494" i="1"/>
  <c r="B494" i="1" s="1"/>
  <c r="M486" i="1"/>
  <c r="B486" i="1" s="1"/>
  <c r="B479" i="1"/>
  <c r="M479" i="1"/>
  <c r="M472" i="1"/>
  <c r="B472" i="1" s="1"/>
  <c r="B465" i="1"/>
  <c r="M465" i="1"/>
  <c r="M458" i="1"/>
  <c r="B458" i="1" s="1"/>
  <c r="M450" i="1"/>
  <c r="B450" i="1" s="1"/>
  <c r="M442" i="1"/>
  <c r="B442" i="1" s="1"/>
  <c r="B434" i="1"/>
  <c r="M434" i="1"/>
  <c r="M426" i="1"/>
  <c r="B426" i="1" s="1"/>
  <c r="B419" i="1"/>
  <c r="M419" i="1"/>
  <c r="M412" i="1"/>
  <c r="B412" i="1" s="1"/>
  <c r="M405" i="1"/>
  <c r="B405" i="1" s="1"/>
  <c r="M398" i="1"/>
  <c r="B398" i="1" s="1"/>
  <c r="B389" i="1"/>
  <c r="M389" i="1"/>
  <c r="M371" i="1"/>
  <c r="B371" i="1" s="1"/>
  <c r="M364" i="1"/>
  <c r="B364" i="1" s="1"/>
  <c r="M346" i="1"/>
  <c r="B346" i="1" s="1"/>
  <c r="M339" i="1"/>
  <c r="B339" i="1" s="1"/>
  <c r="M321" i="1"/>
  <c r="B321" i="1" s="1"/>
  <c r="M314" i="1"/>
  <c r="B314" i="1" s="1"/>
  <c r="B296" i="1"/>
  <c r="M296" i="1"/>
  <c r="M290" i="1"/>
  <c r="B290" i="1" s="1"/>
  <c r="M272" i="1"/>
  <c r="B272" i="1" s="1"/>
  <c r="M266" i="1"/>
  <c r="B266" i="1" s="1"/>
  <c r="M248" i="1"/>
  <c r="B248" i="1" s="1"/>
  <c r="B242" i="1"/>
  <c r="M242" i="1"/>
  <c r="M224" i="1"/>
  <c r="B224" i="1" s="1"/>
  <c r="B218" i="1"/>
  <c r="M218" i="1"/>
  <c r="M200" i="1"/>
  <c r="B200" i="1" s="1"/>
  <c r="M191" i="1"/>
  <c r="B191" i="1" s="1"/>
  <c r="M173" i="1"/>
  <c r="B173" i="1" s="1"/>
  <c r="B166" i="1"/>
  <c r="M166" i="1"/>
  <c r="M148" i="1"/>
  <c r="B148" i="1" s="1"/>
  <c r="B141" i="1"/>
  <c r="M141" i="1"/>
  <c r="M123" i="1"/>
  <c r="B123" i="1" s="1"/>
  <c r="M116" i="1"/>
  <c r="B116" i="1" s="1"/>
  <c r="M97" i="1"/>
  <c r="B97" i="1" s="1"/>
  <c r="B91" i="1"/>
  <c r="M91" i="1"/>
  <c r="M73" i="1"/>
  <c r="B73" i="1" s="1"/>
  <c r="M67" i="1"/>
  <c r="B67" i="1" s="1"/>
  <c r="M49" i="1"/>
  <c r="B49" i="1" s="1"/>
  <c r="M43" i="1"/>
  <c r="B43" i="1" s="1"/>
  <c r="M25" i="1"/>
  <c r="B25" i="1" s="1"/>
  <c r="M19" i="1"/>
  <c r="B19" i="1" s="1"/>
  <c r="F125" i="4"/>
  <c r="F126" i="4" s="1"/>
  <c r="F127" i="4" s="1"/>
  <c r="F128" i="4" s="1"/>
  <c r="F129" i="4" s="1"/>
  <c r="F124" i="4"/>
  <c r="F123" i="4"/>
  <c r="M119" i="4"/>
  <c r="F97" i="4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94" i="4"/>
  <c r="F95" i="4" s="1"/>
  <c r="F96" i="4" s="1"/>
  <c r="M90" i="4"/>
  <c r="F65" i="4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M61" i="4"/>
  <c r="F54" i="4"/>
  <c r="F55" i="4" s="1"/>
  <c r="F56" i="4" s="1"/>
  <c r="F57" i="4" s="1"/>
  <c r="F58" i="4" s="1"/>
  <c r="F59" i="4" s="1"/>
  <c r="F53" i="4"/>
  <c r="F52" i="4"/>
  <c r="M48" i="4"/>
  <c r="F46" i="4"/>
  <c r="I34" i="4"/>
  <c r="H34" i="4"/>
  <c r="M34" i="4" s="1"/>
  <c r="F23" i="4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I18" i="4"/>
  <c r="J18" i="4" s="1"/>
  <c r="K18" i="4" s="1"/>
  <c r="L14" i="4" s="1"/>
  <c r="H18" i="4"/>
  <c r="Y12" i="4"/>
  <c r="H12" i="4"/>
  <c r="C12" i="4"/>
  <c r="C21" i="4" s="1"/>
  <c r="C22" i="4" s="1"/>
  <c r="M9" i="4"/>
  <c r="I9" i="4"/>
  <c r="Z8" i="4"/>
  <c r="M8" i="4"/>
  <c r="N8" i="4" s="1"/>
  <c r="Z7" i="4"/>
  <c r="N7" i="4"/>
  <c r="N6" i="4"/>
  <c r="N5" i="4"/>
  <c r="I5" i="4"/>
  <c r="N4" i="4"/>
  <c r="F4" i="4"/>
  <c r="Y9" i="4" s="1"/>
  <c r="N3" i="4"/>
  <c r="J1" i="4"/>
  <c r="H120" i="4" s="1"/>
  <c r="Z27" i="3"/>
  <c r="Y27" i="3"/>
  <c r="Z26" i="3"/>
  <c r="Y26" i="3"/>
  <c r="Y25" i="3"/>
  <c r="Z25" i="3" s="1"/>
  <c r="Z24" i="3"/>
  <c r="Y24" i="3"/>
  <c r="Z23" i="3"/>
  <c r="Y23" i="3"/>
  <c r="Z22" i="3"/>
  <c r="Y22" i="3"/>
  <c r="Z21" i="3"/>
  <c r="Y21" i="3"/>
  <c r="Z20" i="3"/>
  <c r="Y20" i="3"/>
  <c r="Z19" i="3"/>
  <c r="Y19" i="3"/>
  <c r="Z18" i="3"/>
  <c r="Y18" i="3"/>
  <c r="Z17" i="3"/>
  <c r="Y17" i="3"/>
  <c r="Y16" i="3"/>
  <c r="Z16" i="3" s="1"/>
  <c r="Z15" i="3"/>
  <c r="Y15" i="3"/>
  <c r="Y14" i="3"/>
  <c r="Z14" i="3" s="1"/>
  <c r="Z13" i="3"/>
  <c r="Y13" i="3"/>
  <c r="Z12" i="3"/>
  <c r="Y12" i="3"/>
  <c r="Y11" i="3"/>
  <c r="Z11" i="3" s="1"/>
  <c r="Z10" i="3"/>
  <c r="Y10" i="3"/>
  <c r="Y9" i="3"/>
  <c r="Z9" i="3" s="1"/>
  <c r="Y8" i="3"/>
  <c r="Z8" i="3" s="1"/>
  <c r="Y7" i="3"/>
  <c r="Z7" i="3" s="1"/>
  <c r="Z6" i="3"/>
  <c r="Y6" i="3"/>
  <c r="Z5" i="3"/>
  <c r="Y5" i="3"/>
  <c r="Y4" i="3"/>
  <c r="Z4" i="3" s="1"/>
  <c r="Q4" i="3"/>
  <c r="Q5" i="3" s="1"/>
  <c r="Q6" i="3" s="1"/>
  <c r="Q7" i="3" s="1"/>
  <c r="Q8" i="3" s="1"/>
  <c r="Q9" i="3" s="1"/>
  <c r="Q10" i="3" s="1"/>
  <c r="Q11" i="3" s="1"/>
  <c r="Q12" i="3" s="1"/>
  <c r="AO3" i="3"/>
  <c r="Z3" i="3"/>
  <c r="Y3" i="3"/>
  <c r="Q3" i="3"/>
  <c r="M107" i="2"/>
  <c r="C107" i="2"/>
  <c r="M106" i="2"/>
  <c r="C106" i="2"/>
  <c r="M105" i="2"/>
  <c r="C105" i="2"/>
  <c r="M104" i="2"/>
  <c r="C104" i="2"/>
  <c r="M103" i="2"/>
  <c r="C103" i="2"/>
  <c r="M102" i="2"/>
  <c r="C102" i="2"/>
  <c r="M101" i="2"/>
  <c r="C101" i="2"/>
  <c r="M100" i="2"/>
  <c r="C100" i="2"/>
  <c r="M99" i="2"/>
  <c r="C99" i="2"/>
  <c r="M98" i="2"/>
  <c r="C98" i="2"/>
  <c r="M97" i="2"/>
  <c r="C97" i="2"/>
  <c r="M96" i="2"/>
  <c r="C96" i="2"/>
  <c r="M95" i="2"/>
  <c r="C95" i="2"/>
  <c r="M94" i="2"/>
  <c r="C94" i="2"/>
  <c r="D87" i="2"/>
  <c r="D86" i="2"/>
  <c r="D85" i="2" s="1"/>
  <c r="C84" i="2"/>
  <c r="N82" i="2"/>
  <c r="O81" i="2"/>
  <c r="O82" i="2" s="1"/>
  <c r="N81" i="2"/>
  <c r="E81" i="2"/>
  <c r="E82" i="2" s="1"/>
  <c r="D81" i="2"/>
  <c r="D82" i="2" s="1"/>
  <c r="M80" i="2"/>
  <c r="C80" i="2"/>
  <c r="AB65" i="2"/>
  <c r="AA65" i="2"/>
  <c r="Z65" i="2"/>
  <c r="Y65" i="2"/>
  <c r="X65" i="2"/>
  <c r="W65" i="2"/>
  <c r="AB54" i="2"/>
  <c r="AA54" i="2"/>
  <c r="Z54" i="2"/>
  <c r="Y54" i="2"/>
  <c r="X54" i="2"/>
  <c r="W54" i="2"/>
  <c r="R54" i="2"/>
  <c r="Q54" i="2"/>
  <c r="P54" i="2"/>
  <c r="O54" i="2"/>
  <c r="N54" i="2"/>
  <c r="M54" i="2"/>
  <c r="H54" i="2"/>
  <c r="G54" i="2"/>
  <c r="F54" i="2"/>
  <c r="E54" i="2"/>
  <c r="D54" i="2"/>
  <c r="C54" i="2"/>
  <c r="AB46" i="2"/>
  <c r="AA46" i="2"/>
  <c r="R46" i="2"/>
  <c r="Q46" i="2"/>
  <c r="H46" i="2"/>
  <c r="G46" i="2"/>
  <c r="G49" i="2" s="1"/>
  <c r="G51" i="2" s="1"/>
  <c r="G55" i="2" s="1"/>
  <c r="G61" i="2" s="1"/>
  <c r="AB45" i="2"/>
  <c r="AA45" i="2"/>
  <c r="R45" i="2"/>
  <c r="Q45" i="2"/>
  <c r="Q48" i="2" s="1"/>
  <c r="Q49" i="2" s="1"/>
  <c r="Q51" i="2" s="1"/>
  <c r="Q55" i="2" s="1"/>
  <c r="Q61" i="2" s="1"/>
  <c r="H45" i="2"/>
  <c r="G45" i="2"/>
  <c r="AB44" i="2"/>
  <c r="AB48" i="2" s="1"/>
  <c r="AB49" i="2" s="1"/>
  <c r="AB51" i="2" s="1"/>
  <c r="AB55" i="2" s="1"/>
  <c r="AB61" i="2" s="1"/>
  <c r="AA44" i="2"/>
  <c r="AA48" i="2" s="1"/>
  <c r="AA49" i="2" s="1"/>
  <c r="AA51" i="2" s="1"/>
  <c r="AA55" i="2" s="1"/>
  <c r="AA61" i="2" s="1"/>
  <c r="R44" i="2"/>
  <c r="R48" i="2" s="1"/>
  <c r="R49" i="2" s="1"/>
  <c r="R51" i="2" s="1"/>
  <c r="R55" i="2" s="1"/>
  <c r="R61" i="2" s="1"/>
  <c r="Q44" i="2"/>
  <c r="H44" i="2"/>
  <c r="H48" i="2" s="1"/>
  <c r="H49" i="2" s="1"/>
  <c r="H51" i="2" s="1"/>
  <c r="H55" i="2" s="1"/>
  <c r="H61" i="2" s="1"/>
  <c r="G44" i="2"/>
  <c r="G48" i="2" s="1"/>
  <c r="AB43" i="2"/>
  <c r="AA43" i="2"/>
  <c r="Z43" i="2"/>
  <c r="Y43" i="2"/>
  <c r="X43" i="2"/>
  <c r="W43" i="2"/>
  <c r="R43" i="2"/>
  <c r="Q43" i="2"/>
  <c r="P43" i="2"/>
  <c r="O43" i="2"/>
  <c r="N43" i="2"/>
  <c r="M43" i="2"/>
  <c r="H43" i="2"/>
  <c r="G43" i="2"/>
  <c r="F43" i="2"/>
  <c r="E43" i="2"/>
  <c r="D43" i="2"/>
  <c r="C43" i="2"/>
  <c r="AB39" i="2"/>
  <c r="AA39" i="2"/>
  <c r="R39" i="2"/>
  <c r="Q39" i="2"/>
  <c r="H39" i="2"/>
  <c r="G39" i="2"/>
  <c r="AB37" i="2"/>
  <c r="AA37" i="2"/>
  <c r="R37" i="2"/>
  <c r="Q37" i="2"/>
  <c r="H37" i="2"/>
  <c r="G37" i="2"/>
  <c r="AB36" i="2"/>
  <c r="AA36" i="2"/>
  <c r="R36" i="2"/>
  <c r="Q36" i="2"/>
  <c r="P36" i="2"/>
  <c r="O36" i="2"/>
  <c r="N36" i="2"/>
  <c r="M36" i="2"/>
  <c r="H36" i="2"/>
  <c r="G36" i="2"/>
  <c r="F36" i="2"/>
  <c r="E36" i="2"/>
  <c r="D36" i="2"/>
  <c r="C36" i="2"/>
  <c r="AB35" i="2"/>
  <c r="AB64" i="2" s="1"/>
  <c r="AA35" i="2"/>
  <c r="AA64" i="2" s="1"/>
  <c r="R35" i="2"/>
  <c r="R64" i="2" s="1"/>
  <c r="Q35" i="2"/>
  <c r="Q64" i="2" s="1"/>
  <c r="P35" i="2"/>
  <c r="P64" i="2" s="1"/>
  <c r="O35" i="2"/>
  <c r="O64" i="2" s="1"/>
  <c r="N35" i="2"/>
  <c r="N64" i="2" s="1"/>
  <c r="M35" i="2"/>
  <c r="M64" i="2" s="1"/>
  <c r="H35" i="2"/>
  <c r="H64" i="2" s="1"/>
  <c r="G35" i="2"/>
  <c r="G64" i="2" s="1"/>
  <c r="F35" i="2"/>
  <c r="F64" i="2" s="1"/>
  <c r="E35" i="2"/>
  <c r="E64" i="2" s="1"/>
  <c r="D35" i="2"/>
  <c r="D64" i="2" s="1"/>
  <c r="C35" i="2"/>
  <c r="S9" i="3" s="1"/>
  <c r="R34" i="2"/>
  <c r="R65" i="2" s="1"/>
  <c r="Q34" i="2"/>
  <c r="Q65" i="2" s="1"/>
  <c r="P34" i="2"/>
  <c r="P65" i="2" s="1"/>
  <c r="O34" i="2"/>
  <c r="O65" i="2" s="1"/>
  <c r="N34" i="2"/>
  <c r="N65" i="2" s="1"/>
  <c r="M34" i="2"/>
  <c r="M65" i="2" s="1"/>
  <c r="G34" i="2"/>
  <c r="G65" i="2" s="1"/>
  <c r="F34" i="2"/>
  <c r="E34" i="2"/>
  <c r="E65" i="2" s="1"/>
  <c r="D34" i="2"/>
  <c r="D65" i="2" s="1"/>
  <c r="C34" i="2"/>
  <c r="B111" i="2" s="1"/>
  <c r="AA29" i="2"/>
  <c r="AA33" i="2" s="1"/>
  <c r="R29" i="2"/>
  <c r="R33" i="2" s="1"/>
  <c r="G29" i="2"/>
  <c r="G33" i="2" s="1"/>
  <c r="AB28" i="2"/>
  <c r="AB29" i="2" s="1"/>
  <c r="AB33" i="2" s="1"/>
  <c r="AA28" i="2"/>
  <c r="R28" i="2"/>
  <c r="Q28" i="2"/>
  <c r="Q29" i="2" s="1"/>
  <c r="Q33" i="2" s="1"/>
  <c r="H28" i="2"/>
  <c r="H29" i="2" s="1"/>
  <c r="H33" i="2" s="1"/>
  <c r="G28" i="2"/>
  <c r="H15" i="2"/>
  <c r="I15" i="2" s="1"/>
  <c r="R14" i="2"/>
  <c r="N14" i="2"/>
  <c r="I14" i="2"/>
  <c r="E14" i="2"/>
  <c r="R13" i="2"/>
  <c r="N13" i="2"/>
  <c r="I13" i="2"/>
  <c r="E13" i="2"/>
  <c r="Q15" i="2"/>
  <c r="R15" i="2" s="1"/>
  <c r="N12" i="2"/>
  <c r="I12" i="2"/>
  <c r="E12" i="2"/>
  <c r="R11" i="2"/>
  <c r="P25" i="2" s="1"/>
  <c r="P45" i="2" s="1"/>
  <c r="N11" i="2"/>
  <c r="O25" i="2" s="1"/>
  <c r="O45" i="2" s="1"/>
  <c r="I11" i="2"/>
  <c r="X25" i="2" s="1"/>
  <c r="X45" i="2" s="1"/>
  <c r="E11" i="2"/>
  <c r="R10" i="2"/>
  <c r="P24" i="2" s="1"/>
  <c r="N10" i="2"/>
  <c r="O24" i="2" s="1"/>
  <c r="I10" i="2"/>
  <c r="X24" i="2" s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7" i="1"/>
  <c r="M1226" i="1"/>
  <c r="L1226" i="1"/>
  <c r="M1225" i="1"/>
  <c r="M1224" i="1"/>
  <c r="M1223" i="1"/>
  <c r="M1222" i="1"/>
  <c r="M1221" i="1"/>
  <c r="M1220" i="1"/>
  <c r="G1220" i="1"/>
  <c r="G1221" i="1" s="1"/>
  <c r="G1222" i="1" s="1"/>
  <c r="G1223" i="1" s="1"/>
  <c r="G1224" i="1" s="1"/>
  <c r="G1225" i="1" s="1"/>
  <c r="G1226" i="1" s="1"/>
  <c r="G1227" i="1" s="1"/>
  <c r="G1228" i="1" s="1"/>
  <c r="G1229" i="1" s="1"/>
  <c r="G1230" i="1" s="1"/>
  <c r="G1231" i="1" s="1"/>
  <c r="G1232" i="1" s="1"/>
  <c r="G1233" i="1" s="1"/>
  <c r="G1234" i="1" s="1"/>
  <c r="G1235" i="1" s="1"/>
  <c r="G1236" i="1" s="1"/>
  <c r="G1237" i="1" s="1"/>
  <c r="G1238" i="1" s="1"/>
  <c r="G1239" i="1" s="1"/>
  <c r="G1240" i="1" s="1"/>
  <c r="G1241" i="1" s="1"/>
  <c r="G1242" i="1" s="1"/>
  <c r="L1219" i="1"/>
  <c r="L1220" i="1" s="1"/>
  <c r="L1242" i="1" s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1" i="1"/>
  <c r="M1200" i="1"/>
  <c r="L1200" i="1"/>
  <c r="M1199" i="1"/>
  <c r="M1198" i="1"/>
  <c r="M1197" i="1"/>
  <c r="M1196" i="1"/>
  <c r="M1195" i="1"/>
  <c r="M1194" i="1"/>
  <c r="G1194" i="1"/>
  <c r="G1195" i="1" s="1"/>
  <c r="G1196" i="1" s="1"/>
  <c r="G1197" i="1" s="1"/>
  <c r="G1198" i="1" s="1"/>
  <c r="G1199" i="1" s="1"/>
  <c r="G1200" i="1" s="1"/>
  <c r="G1201" i="1" s="1"/>
  <c r="G1202" i="1" s="1"/>
  <c r="G1203" i="1" s="1"/>
  <c r="G1204" i="1" s="1"/>
  <c r="G1205" i="1" s="1"/>
  <c r="G1206" i="1" s="1"/>
  <c r="G1207" i="1" s="1"/>
  <c r="G1208" i="1" s="1"/>
  <c r="G1209" i="1" s="1"/>
  <c r="G1210" i="1" s="1"/>
  <c r="G1211" i="1" s="1"/>
  <c r="G1212" i="1" s="1"/>
  <c r="G1213" i="1" s="1"/>
  <c r="G1214" i="1" s="1"/>
  <c r="G1215" i="1" s="1"/>
  <c r="G1216" i="1" s="1"/>
  <c r="G1217" i="1" s="1"/>
  <c r="L1193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5" i="1"/>
  <c r="M1174" i="1"/>
  <c r="L1174" i="1"/>
  <c r="M1173" i="1"/>
  <c r="M1172" i="1"/>
  <c r="M1171" i="1"/>
  <c r="M1170" i="1"/>
  <c r="M1169" i="1"/>
  <c r="M1168" i="1"/>
  <c r="G1168" i="1"/>
  <c r="G1169" i="1" s="1"/>
  <c r="G1170" i="1" s="1"/>
  <c r="G1171" i="1" s="1"/>
  <c r="G1172" i="1" s="1"/>
  <c r="G1173" i="1" s="1"/>
  <c r="G1174" i="1" s="1"/>
  <c r="G1175" i="1" s="1"/>
  <c r="G1176" i="1" s="1"/>
  <c r="G1177" i="1" s="1"/>
  <c r="G1178" i="1" s="1"/>
  <c r="G1179" i="1" s="1"/>
  <c r="G1180" i="1" s="1"/>
  <c r="G1181" i="1" s="1"/>
  <c r="G1182" i="1" s="1"/>
  <c r="G1183" i="1" s="1"/>
  <c r="G1184" i="1" s="1"/>
  <c r="G1185" i="1" s="1"/>
  <c r="G1186" i="1" s="1"/>
  <c r="G1187" i="1" s="1"/>
  <c r="G1188" i="1" s="1"/>
  <c r="G1189" i="1" s="1"/>
  <c r="G1190" i="1" s="1"/>
  <c r="G1191" i="1" s="1"/>
  <c r="L1167" i="1"/>
  <c r="C1167" i="1" s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49" i="1"/>
  <c r="M1148" i="1"/>
  <c r="L1148" i="1"/>
  <c r="M1147" i="1"/>
  <c r="M1146" i="1"/>
  <c r="M1145" i="1"/>
  <c r="M1144" i="1"/>
  <c r="M1143" i="1"/>
  <c r="M1142" i="1"/>
  <c r="G1142" i="1"/>
  <c r="G1143" i="1" s="1"/>
  <c r="G1144" i="1" s="1"/>
  <c r="G1145" i="1" s="1"/>
  <c r="G1146" i="1" s="1"/>
  <c r="G1147" i="1" s="1"/>
  <c r="G1148" i="1" s="1"/>
  <c r="G1149" i="1" s="1"/>
  <c r="G1150" i="1" s="1"/>
  <c r="G1151" i="1" s="1"/>
  <c r="G1152" i="1" s="1"/>
  <c r="G1153" i="1" s="1"/>
  <c r="G1154" i="1" s="1"/>
  <c r="G1155" i="1" s="1"/>
  <c r="G1156" i="1" s="1"/>
  <c r="G1157" i="1" s="1"/>
  <c r="G1158" i="1" s="1"/>
  <c r="G1159" i="1" s="1"/>
  <c r="G1160" i="1" s="1"/>
  <c r="G1161" i="1" s="1"/>
  <c r="G1162" i="1" s="1"/>
  <c r="G1163" i="1" s="1"/>
  <c r="G1164" i="1" s="1"/>
  <c r="G1165" i="1" s="1"/>
  <c r="L1141" i="1"/>
  <c r="L1142" i="1" s="1"/>
  <c r="L1165" i="1" s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4" i="1"/>
  <c r="M1123" i="1"/>
  <c r="L1123" i="1"/>
  <c r="M1122" i="1"/>
  <c r="M1121" i="1"/>
  <c r="M1120" i="1"/>
  <c r="M1119" i="1"/>
  <c r="M1118" i="1"/>
  <c r="M1117" i="1"/>
  <c r="G1117" i="1"/>
  <c r="G1118" i="1" s="1"/>
  <c r="G1119" i="1" s="1"/>
  <c r="G1120" i="1" s="1"/>
  <c r="G1121" i="1" s="1"/>
  <c r="G1122" i="1" s="1"/>
  <c r="G1123" i="1" s="1"/>
  <c r="G1124" i="1" s="1"/>
  <c r="G1125" i="1" s="1"/>
  <c r="G1126" i="1" s="1"/>
  <c r="G1127" i="1" s="1"/>
  <c r="G1128" i="1" s="1"/>
  <c r="G1129" i="1" s="1"/>
  <c r="G1130" i="1" s="1"/>
  <c r="G1131" i="1" s="1"/>
  <c r="G1132" i="1" s="1"/>
  <c r="G1133" i="1" s="1"/>
  <c r="G1134" i="1" s="1"/>
  <c r="G1135" i="1" s="1"/>
  <c r="G1136" i="1" s="1"/>
  <c r="G1137" i="1" s="1"/>
  <c r="G1138" i="1" s="1"/>
  <c r="G1139" i="1" s="1"/>
  <c r="L1116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099" i="1"/>
  <c r="M1098" i="1"/>
  <c r="L1098" i="1"/>
  <c r="M1097" i="1"/>
  <c r="M1096" i="1"/>
  <c r="M1095" i="1"/>
  <c r="M1094" i="1"/>
  <c r="M1093" i="1"/>
  <c r="M1092" i="1"/>
  <c r="G1092" i="1"/>
  <c r="G1093" i="1" s="1"/>
  <c r="G1094" i="1" s="1"/>
  <c r="G1095" i="1" s="1"/>
  <c r="G1096" i="1" s="1"/>
  <c r="G1097" i="1" s="1"/>
  <c r="G1098" i="1" s="1"/>
  <c r="G1099" i="1" s="1"/>
  <c r="G1100" i="1" s="1"/>
  <c r="G1101" i="1" s="1"/>
  <c r="G1102" i="1" s="1"/>
  <c r="G1103" i="1" s="1"/>
  <c r="G1104" i="1" s="1"/>
  <c r="G1105" i="1" s="1"/>
  <c r="G1106" i="1" s="1"/>
  <c r="G1107" i="1" s="1"/>
  <c r="G1108" i="1" s="1"/>
  <c r="G1109" i="1" s="1"/>
  <c r="G1110" i="1" s="1"/>
  <c r="G1111" i="1" s="1"/>
  <c r="G1112" i="1" s="1"/>
  <c r="G1113" i="1" s="1"/>
  <c r="G1114" i="1" s="1"/>
  <c r="L1091" i="1"/>
  <c r="C1091" i="1" s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4" i="1"/>
  <c r="M1073" i="1"/>
  <c r="L1073" i="1"/>
  <c r="M1072" i="1"/>
  <c r="M1071" i="1"/>
  <c r="M1070" i="1"/>
  <c r="M1069" i="1"/>
  <c r="M1068" i="1"/>
  <c r="M1067" i="1"/>
  <c r="G1067" i="1"/>
  <c r="G1068" i="1" s="1"/>
  <c r="G1069" i="1" s="1"/>
  <c r="G1070" i="1" s="1"/>
  <c r="G1071" i="1" s="1"/>
  <c r="G1072" i="1" s="1"/>
  <c r="G1073" i="1" s="1"/>
  <c r="G1074" i="1" s="1"/>
  <c r="G1075" i="1" s="1"/>
  <c r="G1076" i="1" s="1"/>
  <c r="G1077" i="1" s="1"/>
  <c r="G1078" i="1" s="1"/>
  <c r="G1079" i="1" s="1"/>
  <c r="G1080" i="1" s="1"/>
  <c r="G1081" i="1" s="1"/>
  <c r="G1082" i="1" s="1"/>
  <c r="G1083" i="1" s="1"/>
  <c r="G1084" i="1" s="1"/>
  <c r="G1085" i="1" s="1"/>
  <c r="G1086" i="1" s="1"/>
  <c r="G1087" i="1" s="1"/>
  <c r="G1088" i="1" s="1"/>
  <c r="G1089" i="1" s="1"/>
  <c r="L1066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49" i="1"/>
  <c r="M1048" i="1"/>
  <c r="M1047" i="1"/>
  <c r="M1046" i="1"/>
  <c r="M1045" i="1"/>
  <c r="M1044" i="1"/>
  <c r="M1043" i="1"/>
  <c r="M1042" i="1"/>
  <c r="G1042" i="1"/>
  <c r="G1043" i="1" s="1"/>
  <c r="G1044" i="1" s="1"/>
  <c r="G1045" i="1" s="1"/>
  <c r="G1046" i="1" s="1"/>
  <c r="G1047" i="1" s="1"/>
  <c r="G1048" i="1" s="1"/>
  <c r="G1049" i="1" s="1"/>
  <c r="G1050" i="1" s="1"/>
  <c r="G1051" i="1" s="1"/>
  <c r="G1052" i="1" s="1"/>
  <c r="G1053" i="1" s="1"/>
  <c r="G1054" i="1" s="1"/>
  <c r="G1055" i="1" s="1"/>
  <c r="G1056" i="1" s="1"/>
  <c r="G1057" i="1" s="1"/>
  <c r="G1058" i="1" s="1"/>
  <c r="G1059" i="1" s="1"/>
  <c r="G1060" i="1" s="1"/>
  <c r="G1061" i="1" s="1"/>
  <c r="G1062" i="1" s="1"/>
  <c r="G1063" i="1" s="1"/>
  <c r="G1064" i="1" s="1"/>
  <c r="L1041" i="1"/>
  <c r="L1042" i="1" s="1"/>
  <c r="L1054" i="1" s="1"/>
  <c r="M1039" i="1"/>
  <c r="L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4" i="1"/>
  <c r="M1023" i="1"/>
  <c r="M1022" i="1"/>
  <c r="M1021" i="1"/>
  <c r="M1020" i="1"/>
  <c r="M1019" i="1"/>
  <c r="M1017" i="1"/>
  <c r="G1017" i="1"/>
  <c r="G1018" i="1" s="1"/>
  <c r="G1019" i="1" s="1"/>
  <c r="G1020" i="1" s="1"/>
  <c r="G1021" i="1" s="1"/>
  <c r="G1022" i="1" s="1"/>
  <c r="G1023" i="1" s="1"/>
  <c r="G1024" i="1" s="1"/>
  <c r="G1025" i="1" s="1"/>
  <c r="G1026" i="1" s="1"/>
  <c r="G1027" i="1" s="1"/>
  <c r="G1028" i="1" s="1"/>
  <c r="G1029" i="1" s="1"/>
  <c r="G1030" i="1" s="1"/>
  <c r="G1031" i="1" s="1"/>
  <c r="G1032" i="1" s="1"/>
  <c r="G1033" i="1" s="1"/>
  <c r="G1034" i="1" s="1"/>
  <c r="G1035" i="1" s="1"/>
  <c r="G1036" i="1" s="1"/>
  <c r="G1037" i="1" s="1"/>
  <c r="G1038" i="1" s="1"/>
  <c r="G1039" i="1" s="1"/>
  <c r="L1016" i="1"/>
  <c r="L1017" i="1" s="1"/>
  <c r="L1029" i="1" s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8" i="1"/>
  <c r="M997" i="1"/>
  <c r="M996" i="1"/>
  <c r="M995" i="1"/>
  <c r="M994" i="1"/>
  <c r="M993" i="1"/>
  <c r="M991" i="1"/>
  <c r="G991" i="1"/>
  <c r="G992" i="1" s="1"/>
  <c r="G993" i="1" s="1"/>
  <c r="G994" i="1" s="1"/>
  <c r="G995" i="1" s="1"/>
  <c r="G996" i="1" s="1"/>
  <c r="G997" i="1" s="1"/>
  <c r="G998" i="1" s="1"/>
  <c r="G999" i="1" s="1"/>
  <c r="G1000" i="1" s="1"/>
  <c r="G1001" i="1" s="1"/>
  <c r="G1002" i="1" s="1"/>
  <c r="G1003" i="1" s="1"/>
  <c r="G1004" i="1" s="1"/>
  <c r="G1005" i="1" s="1"/>
  <c r="G1006" i="1" s="1"/>
  <c r="G1007" i="1" s="1"/>
  <c r="G1008" i="1" s="1"/>
  <c r="G1009" i="1" s="1"/>
  <c r="G1010" i="1" s="1"/>
  <c r="G1011" i="1" s="1"/>
  <c r="G1012" i="1" s="1"/>
  <c r="G1013" i="1" s="1"/>
  <c r="G1014" i="1" s="1"/>
  <c r="L990" i="1"/>
  <c r="L991" i="1" s="1"/>
  <c r="L995" i="1" s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2" i="1"/>
  <c r="M971" i="1"/>
  <c r="M970" i="1"/>
  <c r="M969" i="1"/>
  <c r="M968" i="1"/>
  <c r="M967" i="1"/>
  <c r="M965" i="1"/>
  <c r="G965" i="1"/>
  <c r="G966" i="1" s="1"/>
  <c r="G967" i="1" s="1"/>
  <c r="G968" i="1" s="1"/>
  <c r="G969" i="1" s="1"/>
  <c r="G970" i="1" s="1"/>
  <c r="G971" i="1" s="1"/>
  <c r="G972" i="1" s="1"/>
  <c r="G973" i="1" s="1"/>
  <c r="G974" i="1" s="1"/>
  <c r="G975" i="1" s="1"/>
  <c r="G976" i="1" s="1"/>
  <c r="G977" i="1" s="1"/>
  <c r="G978" i="1" s="1"/>
  <c r="G979" i="1" s="1"/>
  <c r="G980" i="1" s="1"/>
  <c r="G981" i="1" s="1"/>
  <c r="G982" i="1" s="1"/>
  <c r="G983" i="1" s="1"/>
  <c r="G984" i="1" s="1"/>
  <c r="G985" i="1" s="1"/>
  <c r="G986" i="1" s="1"/>
  <c r="G987" i="1" s="1"/>
  <c r="G988" i="1" s="1"/>
  <c r="L964" i="1"/>
  <c r="C964" i="1" s="1"/>
  <c r="B964" i="1" s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6" i="1"/>
  <c r="M945" i="1"/>
  <c r="M944" i="1"/>
  <c r="M943" i="1"/>
  <c r="M942" i="1"/>
  <c r="M941" i="1"/>
  <c r="M939" i="1"/>
  <c r="G939" i="1"/>
  <c r="G940" i="1" s="1"/>
  <c r="G941" i="1" s="1"/>
  <c r="G942" i="1" s="1"/>
  <c r="G943" i="1" s="1"/>
  <c r="G944" i="1" s="1"/>
  <c r="G945" i="1" s="1"/>
  <c r="G946" i="1" s="1"/>
  <c r="G947" i="1" s="1"/>
  <c r="G948" i="1" s="1"/>
  <c r="G949" i="1" s="1"/>
  <c r="G950" i="1" s="1"/>
  <c r="G951" i="1" s="1"/>
  <c r="G952" i="1" s="1"/>
  <c r="G953" i="1" s="1"/>
  <c r="G954" i="1" s="1"/>
  <c r="G955" i="1" s="1"/>
  <c r="G956" i="1" s="1"/>
  <c r="G957" i="1" s="1"/>
  <c r="G958" i="1" s="1"/>
  <c r="G959" i="1" s="1"/>
  <c r="G960" i="1" s="1"/>
  <c r="G961" i="1" s="1"/>
  <c r="G962" i="1" s="1"/>
  <c r="L938" i="1"/>
  <c r="L939" i="1" s="1"/>
  <c r="L941" i="1" s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1" i="1"/>
  <c r="M920" i="1"/>
  <c r="M919" i="1"/>
  <c r="M918" i="1"/>
  <c r="M917" i="1"/>
  <c r="M916" i="1"/>
  <c r="M914" i="1"/>
  <c r="G914" i="1"/>
  <c r="G915" i="1" s="1"/>
  <c r="G916" i="1" s="1"/>
  <c r="G917" i="1" s="1"/>
  <c r="G918" i="1" s="1"/>
  <c r="G919" i="1" s="1"/>
  <c r="G920" i="1" s="1"/>
  <c r="G921" i="1" s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G932" i="1" s="1"/>
  <c r="G933" i="1" s="1"/>
  <c r="G934" i="1" s="1"/>
  <c r="G935" i="1" s="1"/>
  <c r="G936" i="1" s="1"/>
  <c r="L913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6" i="1"/>
  <c r="M895" i="1"/>
  <c r="M894" i="1"/>
  <c r="M893" i="1"/>
  <c r="M892" i="1"/>
  <c r="M891" i="1"/>
  <c r="M889" i="1"/>
  <c r="G889" i="1"/>
  <c r="G890" i="1" s="1"/>
  <c r="L888" i="1"/>
  <c r="L889" i="1" s="1"/>
  <c r="C888" i="1"/>
  <c r="C889" i="1" s="1"/>
  <c r="C890" i="1" s="1"/>
  <c r="C891" i="1" s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1" i="1"/>
  <c r="M870" i="1"/>
  <c r="M869" i="1"/>
  <c r="M868" i="1"/>
  <c r="M867" i="1"/>
  <c r="M866" i="1"/>
  <c r="M864" i="1"/>
  <c r="G864" i="1"/>
  <c r="G865" i="1" s="1"/>
  <c r="G866" i="1" s="1"/>
  <c r="G867" i="1" s="1"/>
  <c r="G868" i="1" s="1"/>
  <c r="G869" i="1" s="1"/>
  <c r="G870" i="1" s="1"/>
  <c r="G871" i="1" s="1"/>
  <c r="G872" i="1" s="1"/>
  <c r="G873" i="1" s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G884" i="1" s="1"/>
  <c r="G885" i="1" s="1"/>
  <c r="G886" i="1" s="1"/>
  <c r="L863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6" i="1"/>
  <c r="M845" i="1"/>
  <c r="M844" i="1"/>
  <c r="M843" i="1"/>
  <c r="M842" i="1"/>
  <c r="M841" i="1"/>
  <c r="M839" i="1"/>
  <c r="L839" i="1"/>
  <c r="L850" i="1" s="1"/>
  <c r="G839" i="1"/>
  <c r="G840" i="1" s="1"/>
  <c r="G841" i="1" s="1"/>
  <c r="G842" i="1" s="1"/>
  <c r="G843" i="1" s="1"/>
  <c r="G844" i="1" s="1"/>
  <c r="G845" i="1" s="1"/>
  <c r="G846" i="1" s="1"/>
  <c r="G847" i="1" s="1"/>
  <c r="G848" i="1" s="1"/>
  <c r="G849" i="1" s="1"/>
  <c r="G850" i="1" s="1"/>
  <c r="G851" i="1" s="1"/>
  <c r="G852" i="1" s="1"/>
  <c r="G853" i="1" s="1"/>
  <c r="G854" i="1" s="1"/>
  <c r="G855" i="1" s="1"/>
  <c r="G856" i="1" s="1"/>
  <c r="G857" i="1" s="1"/>
  <c r="G858" i="1" s="1"/>
  <c r="G859" i="1" s="1"/>
  <c r="G860" i="1" s="1"/>
  <c r="G861" i="1" s="1"/>
  <c r="L838" i="1"/>
  <c r="C838" i="1" s="1"/>
  <c r="M836" i="1"/>
  <c r="M834" i="1"/>
  <c r="M833" i="1"/>
  <c r="M832" i="1"/>
  <c r="M831" i="1"/>
  <c r="M830" i="1"/>
  <c r="M828" i="1"/>
  <c r="M827" i="1"/>
  <c r="M826" i="1"/>
  <c r="M825" i="1"/>
  <c r="M824" i="1"/>
  <c r="M823" i="1"/>
  <c r="M822" i="1"/>
  <c r="M821" i="1"/>
  <c r="M820" i="1"/>
  <c r="M819" i="1"/>
  <c r="L819" i="1"/>
  <c r="L832" i="1" s="1"/>
  <c r="G819" i="1"/>
  <c r="G820" i="1" s="1"/>
  <c r="G821" i="1" s="1"/>
  <c r="G822" i="1" s="1"/>
  <c r="G823" i="1" s="1"/>
  <c r="G824" i="1" s="1"/>
  <c r="G825" i="1" s="1"/>
  <c r="G826" i="1" s="1"/>
  <c r="G827" i="1" s="1"/>
  <c r="G828" i="1" s="1"/>
  <c r="G829" i="1" s="1"/>
  <c r="G830" i="1" s="1"/>
  <c r="G831" i="1" s="1"/>
  <c r="G832" i="1" s="1"/>
  <c r="G833" i="1" s="1"/>
  <c r="G834" i="1" s="1"/>
  <c r="G835" i="1" s="1"/>
  <c r="G836" i="1" s="1"/>
  <c r="L818" i="1"/>
  <c r="C818" i="1" s="1"/>
  <c r="M816" i="1"/>
  <c r="M814" i="1"/>
  <c r="M813" i="1"/>
  <c r="M812" i="1"/>
  <c r="M811" i="1"/>
  <c r="M810" i="1"/>
  <c r="M808" i="1"/>
  <c r="M807" i="1"/>
  <c r="M806" i="1"/>
  <c r="M805" i="1"/>
  <c r="M804" i="1"/>
  <c r="M803" i="1"/>
  <c r="M802" i="1"/>
  <c r="M801" i="1"/>
  <c r="M800" i="1"/>
  <c r="M799" i="1"/>
  <c r="M798" i="1"/>
  <c r="L798" i="1"/>
  <c r="L805" i="1" s="1"/>
  <c r="G798" i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L797" i="1"/>
  <c r="C797" i="1" s="1"/>
  <c r="M795" i="1"/>
  <c r="M793" i="1"/>
  <c r="M792" i="1"/>
  <c r="L792" i="1"/>
  <c r="M791" i="1"/>
  <c r="M790" i="1"/>
  <c r="M789" i="1"/>
  <c r="M787" i="1"/>
  <c r="M786" i="1"/>
  <c r="M785" i="1"/>
  <c r="M784" i="1"/>
  <c r="M783" i="1"/>
  <c r="M782" i="1"/>
  <c r="M781" i="1"/>
  <c r="M780" i="1"/>
  <c r="M779" i="1"/>
  <c r="M778" i="1"/>
  <c r="M777" i="1"/>
  <c r="L777" i="1"/>
  <c r="L791" i="1" s="1"/>
  <c r="G777" i="1"/>
  <c r="L776" i="1"/>
  <c r="C776" i="1" s="1"/>
  <c r="C777" i="1" s="1"/>
  <c r="C779" i="1" s="1"/>
  <c r="M774" i="1"/>
  <c r="M772" i="1"/>
  <c r="M771" i="1"/>
  <c r="M770" i="1"/>
  <c r="M769" i="1"/>
  <c r="M768" i="1"/>
  <c r="M766" i="1"/>
  <c r="M765" i="1"/>
  <c r="M764" i="1"/>
  <c r="M763" i="1"/>
  <c r="M762" i="1"/>
  <c r="M761" i="1"/>
  <c r="M760" i="1"/>
  <c r="M759" i="1"/>
  <c r="M758" i="1"/>
  <c r="L758" i="1"/>
  <c r="M757" i="1"/>
  <c r="M756" i="1"/>
  <c r="L756" i="1"/>
  <c r="L766" i="1" s="1"/>
  <c r="G756" i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 s="1"/>
  <c r="G772" i="1" s="1"/>
  <c r="G773" i="1" s="1"/>
  <c r="G774" i="1" s="1"/>
  <c r="L755" i="1"/>
  <c r="C755" i="1" s="1"/>
  <c r="C757" i="1" s="1"/>
  <c r="C759" i="1" s="1"/>
  <c r="C761" i="1" s="1"/>
  <c r="C763" i="1" s="1"/>
  <c r="M753" i="1"/>
  <c r="M752" i="1"/>
  <c r="M751" i="1"/>
  <c r="M750" i="1"/>
  <c r="M749" i="1"/>
  <c r="M747" i="1"/>
  <c r="M746" i="1"/>
  <c r="M745" i="1"/>
  <c r="M744" i="1"/>
  <c r="M743" i="1"/>
  <c r="M742" i="1"/>
  <c r="M741" i="1"/>
  <c r="M740" i="1"/>
  <c r="M739" i="1"/>
  <c r="M738" i="1"/>
  <c r="M737" i="1"/>
  <c r="L737" i="1"/>
  <c r="L752" i="1" s="1"/>
  <c r="G737" i="1"/>
  <c r="G738" i="1" s="1"/>
  <c r="G739" i="1" s="1"/>
  <c r="G740" i="1" s="1"/>
  <c r="G741" i="1" s="1"/>
  <c r="G742" i="1" s="1"/>
  <c r="G743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L736" i="1"/>
  <c r="C736" i="1" s="1"/>
  <c r="M734" i="1"/>
  <c r="M733" i="1"/>
  <c r="M732" i="1"/>
  <c r="M731" i="1"/>
  <c r="M730" i="1"/>
  <c r="M728" i="1"/>
  <c r="M727" i="1"/>
  <c r="M726" i="1"/>
  <c r="M725" i="1"/>
  <c r="M724" i="1"/>
  <c r="M723" i="1"/>
  <c r="M722" i="1"/>
  <c r="M721" i="1"/>
  <c r="M720" i="1"/>
  <c r="M719" i="1"/>
  <c r="M718" i="1"/>
  <c r="L718" i="1"/>
  <c r="L725" i="1" s="1"/>
  <c r="G718" i="1"/>
  <c r="G719" i="1" s="1"/>
  <c r="G720" i="1" s="1"/>
  <c r="G721" i="1" s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733" i="1" s="1"/>
  <c r="G734" i="1" s="1"/>
  <c r="L717" i="1"/>
  <c r="C717" i="1" s="1"/>
  <c r="B717" i="1" s="1"/>
  <c r="M715" i="1"/>
  <c r="M714" i="1"/>
  <c r="M713" i="1"/>
  <c r="M712" i="1"/>
  <c r="M711" i="1"/>
  <c r="M709" i="1"/>
  <c r="M708" i="1"/>
  <c r="M707" i="1"/>
  <c r="M706" i="1"/>
  <c r="M705" i="1"/>
  <c r="M704" i="1"/>
  <c r="M703" i="1"/>
  <c r="M702" i="1"/>
  <c r="M701" i="1"/>
  <c r="M700" i="1"/>
  <c r="M699" i="1"/>
  <c r="L699" i="1"/>
  <c r="L714" i="1" s="1"/>
  <c r="G699" i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L698" i="1"/>
  <c r="C698" i="1" s="1"/>
  <c r="C699" i="1" s="1"/>
  <c r="M696" i="1"/>
  <c r="M695" i="1"/>
  <c r="M694" i="1"/>
  <c r="M693" i="1"/>
  <c r="M692" i="1"/>
  <c r="M690" i="1"/>
  <c r="M689" i="1"/>
  <c r="M688" i="1"/>
  <c r="M687" i="1"/>
  <c r="M686" i="1"/>
  <c r="M685" i="1"/>
  <c r="M684" i="1"/>
  <c r="M683" i="1"/>
  <c r="M682" i="1"/>
  <c r="M681" i="1"/>
  <c r="M680" i="1"/>
  <c r="L680" i="1"/>
  <c r="L695" i="1" s="1"/>
  <c r="G680" i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L679" i="1"/>
  <c r="C679" i="1" s="1"/>
  <c r="M677" i="1"/>
  <c r="M675" i="1"/>
  <c r="M674" i="1"/>
  <c r="M673" i="1"/>
  <c r="M672" i="1"/>
  <c r="M671" i="1"/>
  <c r="M669" i="1"/>
  <c r="M668" i="1"/>
  <c r="M667" i="1"/>
  <c r="M666" i="1"/>
  <c r="M665" i="1"/>
  <c r="M664" i="1"/>
  <c r="M663" i="1"/>
  <c r="M662" i="1"/>
  <c r="M660" i="1"/>
  <c r="L660" i="1"/>
  <c r="L664" i="1" s="1"/>
  <c r="G660" i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L659" i="1"/>
  <c r="C659" i="1" s="1"/>
  <c r="M657" i="1"/>
  <c r="M655" i="1"/>
  <c r="M654" i="1"/>
  <c r="M653" i="1"/>
  <c r="M652" i="1"/>
  <c r="M651" i="1"/>
  <c r="M649" i="1"/>
  <c r="L649" i="1"/>
  <c r="M648" i="1"/>
  <c r="M647" i="1"/>
  <c r="M646" i="1"/>
  <c r="M645" i="1"/>
  <c r="M644" i="1"/>
  <c r="M643" i="1"/>
  <c r="M642" i="1"/>
  <c r="M641" i="1"/>
  <c r="M639" i="1"/>
  <c r="L639" i="1"/>
  <c r="L652" i="1" s="1"/>
  <c r="G639" i="1"/>
  <c r="G640" i="1" s="1"/>
  <c r="G641" i="1" s="1"/>
  <c r="G642" i="1" s="1"/>
  <c r="G643" i="1" s="1"/>
  <c r="G644" i="1" s="1"/>
  <c r="G645" i="1" s="1"/>
  <c r="G646" i="1" s="1"/>
  <c r="G647" i="1" s="1"/>
  <c r="G648" i="1" s="1"/>
  <c r="G649" i="1" s="1"/>
  <c r="G650" i="1" s="1"/>
  <c r="G651" i="1" s="1"/>
  <c r="G652" i="1" s="1"/>
  <c r="G653" i="1" s="1"/>
  <c r="G654" i="1" s="1"/>
  <c r="G655" i="1" s="1"/>
  <c r="G656" i="1" s="1"/>
  <c r="G657" i="1" s="1"/>
  <c r="L638" i="1"/>
  <c r="C638" i="1" s="1"/>
  <c r="B638" i="1" s="1"/>
  <c r="M636" i="1"/>
  <c r="M634" i="1"/>
  <c r="M633" i="1"/>
  <c r="M632" i="1"/>
  <c r="M631" i="1"/>
  <c r="M630" i="1"/>
  <c r="M628" i="1"/>
  <c r="M627" i="1"/>
  <c r="M626" i="1"/>
  <c r="M625" i="1"/>
  <c r="M624" i="1"/>
  <c r="M623" i="1"/>
  <c r="M622" i="1"/>
  <c r="M621" i="1"/>
  <c r="M620" i="1"/>
  <c r="M618" i="1"/>
  <c r="L618" i="1"/>
  <c r="L632" i="1" s="1"/>
  <c r="G618" i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635" i="1" s="1"/>
  <c r="G636" i="1" s="1"/>
  <c r="L617" i="1"/>
  <c r="C617" i="1" s="1"/>
  <c r="C618" i="1" s="1"/>
  <c r="M615" i="1"/>
  <c r="M613" i="1"/>
  <c r="M612" i="1"/>
  <c r="M611" i="1"/>
  <c r="M610" i="1"/>
  <c r="M609" i="1"/>
  <c r="M607" i="1"/>
  <c r="M606" i="1"/>
  <c r="M605" i="1"/>
  <c r="M604" i="1"/>
  <c r="L604" i="1"/>
  <c r="M603" i="1"/>
  <c r="M602" i="1"/>
  <c r="M601" i="1"/>
  <c r="M600" i="1"/>
  <c r="M599" i="1"/>
  <c r="M597" i="1"/>
  <c r="L597" i="1"/>
  <c r="L615" i="1" s="1"/>
  <c r="G597" i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 s="1"/>
  <c r="G612" i="1" s="1"/>
  <c r="G613" i="1" s="1"/>
  <c r="G614" i="1" s="1"/>
  <c r="G615" i="1" s="1"/>
  <c r="L596" i="1"/>
  <c r="C596" i="1"/>
  <c r="M594" i="1"/>
  <c r="M593" i="1"/>
  <c r="M592" i="1"/>
  <c r="M591" i="1"/>
  <c r="M590" i="1"/>
  <c r="M588" i="1"/>
  <c r="M587" i="1"/>
  <c r="M586" i="1"/>
  <c r="M585" i="1"/>
  <c r="M584" i="1"/>
  <c r="M583" i="1"/>
  <c r="M582" i="1"/>
  <c r="M581" i="1"/>
  <c r="M580" i="1"/>
  <c r="M578" i="1"/>
  <c r="L578" i="1"/>
  <c r="L587" i="1" s="1"/>
  <c r="G578" i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L577" i="1"/>
  <c r="M575" i="1"/>
  <c r="M574" i="1"/>
  <c r="M573" i="1"/>
  <c r="M572" i="1"/>
  <c r="M571" i="1"/>
  <c r="M569" i="1"/>
  <c r="M568" i="1"/>
  <c r="M567" i="1"/>
  <c r="M566" i="1"/>
  <c r="M565" i="1"/>
  <c r="M564" i="1"/>
  <c r="M563" i="1"/>
  <c r="M562" i="1"/>
  <c r="M561" i="1"/>
  <c r="M559" i="1"/>
  <c r="L559" i="1"/>
  <c r="L563" i="1" s="1"/>
  <c r="G559" i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L558" i="1"/>
  <c r="M556" i="1"/>
  <c r="M555" i="1"/>
  <c r="M554" i="1"/>
  <c r="M553" i="1"/>
  <c r="M552" i="1"/>
  <c r="L552" i="1"/>
  <c r="M550" i="1"/>
  <c r="M549" i="1"/>
  <c r="L549" i="1"/>
  <c r="M548" i="1"/>
  <c r="M547" i="1"/>
  <c r="M546" i="1"/>
  <c r="M545" i="1"/>
  <c r="M544" i="1"/>
  <c r="M543" i="1"/>
  <c r="M542" i="1"/>
  <c r="L542" i="1"/>
  <c r="M540" i="1"/>
  <c r="L540" i="1"/>
  <c r="L555" i="1" s="1"/>
  <c r="G540" i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L539" i="1"/>
  <c r="C539" i="1" s="1"/>
  <c r="C540" i="1" s="1"/>
  <c r="M537" i="1"/>
  <c r="M536" i="1"/>
  <c r="M535" i="1"/>
  <c r="M534" i="1"/>
  <c r="M533" i="1"/>
  <c r="M531" i="1"/>
  <c r="M530" i="1"/>
  <c r="M529" i="1"/>
  <c r="M528" i="1"/>
  <c r="M527" i="1"/>
  <c r="M526" i="1"/>
  <c r="M525" i="1"/>
  <c r="M524" i="1"/>
  <c r="M523" i="1"/>
  <c r="M521" i="1"/>
  <c r="L521" i="1"/>
  <c r="G521" i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L520" i="1"/>
  <c r="C520" i="1"/>
  <c r="M517" i="1"/>
  <c r="M516" i="1"/>
  <c r="M515" i="1"/>
  <c r="M514" i="1"/>
  <c r="M513" i="1"/>
  <c r="M512" i="1"/>
  <c r="G512" i="1"/>
  <c r="G513" i="1" s="1"/>
  <c r="G514" i="1" s="1"/>
  <c r="G515" i="1" s="1"/>
  <c r="G516" i="1" s="1"/>
  <c r="G517" i="1" s="1"/>
  <c r="C511" i="1"/>
  <c r="B511" i="1" s="1"/>
  <c r="M509" i="1"/>
  <c r="M508" i="1"/>
  <c r="M507" i="1"/>
  <c r="M506" i="1"/>
  <c r="M505" i="1"/>
  <c r="M504" i="1"/>
  <c r="G504" i="1"/>
  <c r="G505" i="1" s="1"/>
  <c r="G506" i="1" s="1"/>
  <c r="G507" i="1" s="1"/>
  <c r="G508" i="1" s="1"/>
  <c r="G509" i="1" s="1"/>
  <c r="C503" i="1"/>
  <c r="C504" i="1" s="1"/>
  <c r="M501" i="1"/>
  <c r="M500" i="1"/>
  <c r="M499" i="1"/>
  <c r="M498" i="1"/>
  <c r="M497" i="1"/>
  <c r="M496" i="1"/>
  <c r="G496" i="1"/>
  <c r="G497" i="1" s="1"/>
  <c r="G498" i="1" s="1"/>
  <c r="G499" i="1" s="1"/>
  <c r="G500" i="1" s="1"/>
  <c r="G501" i="1" s="1"/>
  <c r="C495" i="1"/>
  <c r="C496" i="1" s="1"/>
  <c r="M493" i="1"/>
  <c r="M492" i="1"/>
  <c r="M491" i="1"/>
  <c r="M490" i="1"/>
  <c r="M489" i="1"/>
  <c r="M488" i="1"/>
  <c r="G488" i="1"/>
  <c r="G489" i="1" s="1"/>
  <c r="G490" i="1" s="1"/>
  <c r="G491" i="1" s="1"/>
  <c r="G492" i="1" s="1"/>
  <c r="G493" i="1" s="1"/>
  <c r="C487" i="1"/>
  <c r="M485" i="1"/>
  <c r="M484" i="1"/>
  <c r="M483" i="1"/>
  <c r="M482" i="1"/>
  <c r="M481" i="1"/>
  <c r="G481" i="1"/>
  <c r="G482" i="1" s="1"/>
  <c r="G483" i="1" s="1"/>
  <c r="G484" i="1" s="1"/>
  <c r="G485" i="1" s="1"/>
  <c r="C480" i="1"/>
  <c r="M478" i="1"/>
  <c r="M477" i="1"/>
  <c r="M476" i="1"/>
  <c r="M475" i="1"/>
  <c r="M474" i="1"/>
  <c r="G474" i="1"/>
  <c r="G475" i="1" s="1"/>
  <c r="G476" i="1" s="1"/>
  <c r="G477" i="1" s="1"/>
  <c r="G478" i="1" s="1"/>
  <c r="C473" i="1"/>
  <c r="B473" i="1" s="1"/>
  <c r="M471" i="1"/>
  <c r="M470" i="1"/>
  <c r="M469" i="1"/>
  <c r="M468" i="1"/>
  <c r="M467" i="1"/>
  <c r="G467" i="1"/>
  <c r="G468" i="1" s="1"/>
  <c r="G469" i="1" s="1"/>
  <c r="G470" i="1" s="1"/>
  <c r="G471" i="1" s="1"/>
  <c r="C466" i="1"/>
  <c r="B466" i="1" s="1"/>
  <c r="M464" i="1"/>
  <c r="M463" i="1"/>
  <c r="M462" i="1"/>
  <c r="M461" i="1"/>
  <c r="M460" i="1"/>
  <c r="G460" i="1"/>
  <c r="G461" i="1" s="1"/>
  <c r="G462" i="1" s="1"/>
  <c r="G463" i="1" s="1"/>
  <c r="G464" i="1" s="1"/>
  <c r="C459" i="1"/>
  <c r="C460" i="1" s="1"/>
  <c r="M457" i="1"/>
  <c r="M456" i="1"/>
  <c r="M455" i="1"/>
  <c r="M454" i="1"/>
  <c r="M452" i="1"/>
  <c r="G452" i="1"/>
  <c r="G453" i="1" s="1"/>
  <c r="G454" i="1" s="1"/>
  <c r="G455" i="1" s="1"/>
  <c r="G456" i="1" s="1"/>
  <c r="G457" i="1" s="1"/>
  <c r="C451" i="1"/>
  <c r="B451" i="1" s="1"/>
  <c r="M449" i="1"/>
  <c r="M448" i="1"/>
  <c r="M447" i="1"/>
  <c r="M446" i="1"/>
  <c r="M444" i="1"/>
  <c r="G444" i="1"/>
  <c r="G445" i="1" s="1"/>
  <c r="G446" i="1" s="1"/>
  <c r="G447" i="1" s="1"/>
  <c r="G448" i="1" s="1"/>
  <c r="G449" i="1" s="1"/>
  <c r="C443" i="1"/>
  <c r="B443" i="1" s="1"/>
  <c r="M441" i="1"/>
  <c r="M440" i="1"/>
  <c r="M439" i="1"/>
  <c r="M438" i="1"/>
  <c r="M436" i="1"/>
  <c r="G436" i="1"/>
  <c r="G437" i="1" s="1"/>
  <c r="G438" i="1" s="1"/>
  <c r="G439" i="1" s="1"/>
  <c r="G440" i="1" s="1"/>
  <c r="G441" i="1" s="1"/>
  <c r="C435" i="1"/>
  <c r="C436" i="1" s="1"/>
  <c r="M433" i="1"/>
  <c r="M432" i="1"/>
  <c r="M431" i="1"/>
  <c r="M430" i="1"/>
  <c r="M428" i="1"/>
  <c r="G428" i="1"/>
  <c r="G429" i="1" s="1"/>
  <c r="G430" i="1" s="1"/>
  <c r="G431" i="1" s="1"/>
  <c r="G432" i="1" s="1"/>
  <c r="G433" i="1" s="1"/>
  <c r="C427" i="1"/>
  <c r="B427" i="1" s="1"/>
  <c r="M425" i="1"/>
  <c r="M424" i="1"/>
  <c r="M423" i="1"/>
  <c r="M421" i="1"/>
  <c r="G421" i="1"/>
  <c r="G422" i="1" s="1"/>
  <c r="G423" i="1" s="1"/>
  <c r="G424" i="1" s="1"/>
  <c r="G425" i="1" s="1"/>
  <c r="C420" i="1"/>
  <c r="B420" i="1" s="1"/>
  <c r="M418" i="1"/>
  <c r="M417" i="1"/>
  <c r="M416" i="1"/>
  <c r="M414" i="1"/>
  <c r="G414" i="1"/>
  <c r="G415" i="1" s="1"/>
  <c r="G416" i="1" s="1"/>
  <c r="G417" i="1" s="1"/>
  <c r="G418" i="1" s="1"/>
  <c r="C413" i="1"/>
  <c r="C414" i="1" s="1"/>
  <c r="C415" i="1" s="1"/>
  <c r="M411" i="1"/>
  <c r="M410" i="1"/>
  <c r="M409" i="1"/>
  <c r="M407" i="1"/>
  <c r="G407" i="1"/>
  <c r="G408" i="1" s="1"/>
  <c r="G409" i="1" s="1"/>
  <c r="G410" i="1" s="1"/>
  <c r="G411" i="1" s="1"/>
  <c r="C406" i="1"/>
  <c r="B406" i="1" s="1"/>
  <c r="M404" i="1"/>
  <c r="M403" i="1"/>
  <c r="M402" i="1"/>
  <c r="M400" i="1"/>
  <c r="G400" i="1"/>
  <c r="G401" i="1" s="1"/>
  <c r="G402" i="1" s="1"/>
  <c r="G403" i="1" s="1"/>
  <c r="G404" i="1" s="1"/>
  <c r="C399" i="1"/>
  <c r="B399" i="1" s="1"/>
  <c r="M397" i="1"/>
  <c r="M396" i="1"/>
  <c r="M395" i="1"/>
  <c r="M394" i="1"/>
  <c r="M393" i="1"/>
  <c r="M392" i="1"/>
  <c r="M391" i="1"/>
  <c r="G391" i="1"/>
  <c r="G392" i="1" s="1"/>
  <c r="G393" i="1" s="1"/>
  <c r="G394" i="1" s="1"/>
  <c r="G395" i="1" s="1"/>
  <c r="G396" i="1" s="1"/>
  <c r="G397" i="1" s="1"/>
  <c r="M390" i="1"/>
  <c r="C390" i="1"/>
  <c r="C391" i="1" s="1"/>
  <c r="C392" i="1" s="1"/>
  <c r="C396" i="1" s="1"/>
  <c r="M388" i="1"/>
  <c r="M387" i="1"/>
  <c r="M386" i="1"/>
  <c r="M385" i="1"/>
  <c r="M384" i="1"/>
  <c r="L384" i="1"/>
  <c r="M383" i="1"/>
  <c r="M382" i="1"/>
  <c r="M380" i="1"/>
  <c r="L380" i="1"/>
  <c r="M379" i="1"/>
  <c r="M378" i="1"/>
  <c r="M377" i="1"/>
  <c r="M376" i="1"/>
  <c r="M375" i="1"/>
  <c r="M374" i="1"/>
  <c r="M373" i="1"/>
  <c r="G373" i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C372" i="1"/>
  <c r="C373" i="1" s="1"/>
  <c r="M370" i="1"/>
  <c r="M369" i="1"/>
  <c r="M368" i="1"/>
  <c r="M367" i="1"/>
  <c r="M366" i="1"/>
  <c r="G366" i="1"/>
  <c r="G367" i="1" s="1"/>
  <c r="G368" i="1" s="1"/>
  <c r="G369" i="1" s="1"/>
  <c r="G370" i="1" s="1"/>
  <c r="M365" i="1"/>
  <c r="L365" i="1"/>
  <c r="M363" i="1"/>
  <c r="M362" i="1"/>
  <c r="M361" i="1"/>
  <c r="M360" i="1"/>
  <c r="M359" i="1"/>
  <c r="L359" i="1"/>
  <c r="M358" i="1"/>
  <c r="M357" i="1"/>
  <c r="M355" i="1"/>
  <c r="M354" i="1"/>
  <c r="M353" i="1"/>
  <c r="M352" i="1"/>
  <c r="M351" i="1"/>
  <c r="M350" i="1"/>
  <c r="M349" i="1"/>
  <c r="M348" i="1"/>
  <c r="G348" i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C347" i="1"/>
  <c r="B347" i="1" s="1"/>
  <c r="M345" i="1"/>
  <c r="M344" i="1"/>
  <c r="M343" i="1"/>
  <c r="M342" i="1"/>
  <c r="M341" i="1"/>
  <c r="G341" i="1"/>
  <c r="G342" i="1" s="1"/>
  <c r="G343" i="1" s="1"/>
  <c r="G344" i="1" s="1"/>
  <c r="G345" i="1" s="1"/>
  <c r="M340" i="1"/>
  <c r="L340" i="1"/>
  <c r="M338" i="1"/>
  <c r="M337" i="1"/>
  <c r="M336" i="1"/>
  <c r="M335" i="1"/>
  <c r="M334" i="1"/>
  <c r="L334" i="1"/>
  <c r="M333" i="1"/>
  <c r="M332" i="1"/>
  <c r="M330" i="1"/>
  <c r="M329" i="1"/>
  <c r="M328" i="1"/>
  <c r="M327" i="1"/>
  <c r="M326" i="1"/>
  <c r="M325" i="1"/>
  <c r="M324" i="1"/>
  <c r="M323" i="1"/>
  <c r="G323" i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C322" i="1"/>
  <c r="C323" i="1" s="1"/>
  <c r="M320" i="1"/>
  <c r="M319" i="1"/>
  <c r="M318" i="1"/>
  <c r="M317" i="1"/>
  <c r="M316" i="1"/>
  <c r="G316" i="1"/>
  <c r="G317" i="1" s="1"/>
  <c r="G318" i="1" s="1"/>
  <c r="G319" i="1" s="1"/>
  <c r="G320" i="1" s="1"/>
  <c r="M315" i="1"/>
  <c r="L315" i="1"/>
  <c r="M313" i="1"/>
  <c r="M312" i="1"/>
  <c r="M311" i="1"/>
  <c r="M310" i="1"/>
  <c r="M309" i="1"/>
  <c r="L309" i="1"/>
  <c r="M308" i="1"/>
  <c r="M307" i="1"/>
  <c r="M305" i="1"/>
  <c r="M304" i="1"/>
  <c r="M303" i="1"/>
  <c r="M302" i="1"/>
  <c r="M301" i="1"/>
  <c r="M300" i="1"/>
  <c r="M299" i="1"/>
  <c r="M298" i="1"/>
  <c r="G298" i="1"/>
  <c r="C297" i="1"/>
  <c r="C298" i="1" s="1"/>
  <c r="C299" i="1" s="1"/>
  <c r="C300" i="1" s="1"/>
  <c r="C301" i="1" s="1"/>
  <c r="M295" i="1"/>
  <c r="M294" i="1"/>
  <c r="M293" i="1"/>
  <c r="M292" i="1"/>
  <c r="G292" i="1"/>
  <c r="G293" i="1" s="1"/>
  <c r="G294" i="1" s="1"/>
  <c r="G295" i="1" s="1"/>
  <c r="M291" i="1"/>
  <c r="L291" i="1"/>
  <c r="M289" i="1"/>
  <c r="M288" i="1"/>
  <c r="M287" i="1"/>
  <c r="M286" i="1"/>
  <c r="M285" i="1"/>
  <c r="L285" i="1"/>
  <c r="M284" i="1"/>
  <c r="M283" i="1"/>
  <c r="M281" i="1"/>
  <c r="M280" i="1"/>
  <c r="M279" i="1"/>
  <c r="M278" i="1"/>
  <c r="M277" i="1"/>
  <c r="M276" i="1"/>
  <c r="M275" i="1"/>
  <c r="M274" i="1"/>
  <c r="G274" i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C273" i="1"/>
  <c r="M271" i="1"/>
  <c r="M270" i="1"/>
  <c r="M269" i="1"/>
  <c r="M268" i="1"/>
  <c r="G268" i="1"/>
  <c r="G269" i="1" s="1"/>
  <c r="G270" i="1" s="1"/>
  <c r="G271" i="1" s="1"/>
  <c r="M267" i="1"/>
  <c r="L267" i="1"/>
  <c r="M265" i="1"/>
  <c r="M264" i="1"/>
  <c r="M263" i="1"/>
  <c r="M262" i="1"/>
  <c r="M261" i="1"/>
  <c r="L261" i="1"/>
  <c r="M260" i="1"/>
  <c r="M259" i="1"/>
  <c r="M257" i="1"/>
  <c r="M256" i="1"/>
  <c r="M255" i="1"/>
  <c r="M254" i="1"/>
  <c r="M253" i="1"/>
  <c r="M252" i="1"/>
  <c r="M251" i="1"/>
  <c r="M250" i="1"/>
  <c r="G250" i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C249" i="1"/>
  <c r="B249" i="1" s="1"/>
  <c r="M247" i="1"/>
  <c r="M246" i="1"/>
  <c r="M245" i="1"/>
  <c r="M244" i="1"/>
  <c r="G244" i="1"/>
  <c r="G245" i="1" s="1"/>
  <c r="G246" i="1" s="1"/>
  <c r="G247" i="1" s="1"/>
  <c r="M243" i="1"/>
  <c r="L243" i="1"/>
  <c r="M241" i="1"/>
  <c r="M240" i="1"/>
  <c r="M239" i="1"/>
  <c r="M238" i="1"/>
  <c r="M237" i="1"/>
  <c r="L237" i="1"/>
  <c r="M236" i="1"/>
  <c r="M235" i="1"/>
  <c r="M233" i="1"/>
  <c r="M232" i="1"/>
  <c r="M231" i="1"/>
  <c r="M230" i="1"/>
  <c r="M229" i="1"/>
  <c r="M228" i="1"/>
  <c r="M227" i="1"/>
  <c r="M226" i="1"/>
  <c r="G226" i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C225" i="1"/>
  <c r="M223" i="1"/>
  <c r="M222" i="1"/>
  <c r="M221" i="1"/>
  <c r="M220" i="1"/>
  <c r="G220" i="1"/>
  <c r="G221" i="1" s="1"/>
  <c r="G222" i="1" s="1"/>
  <c r="G223" i="1" s="1"/>
  <c r="M219" i="1"/>
  <c r="L219" i="1"/>
  <c r="M217" i="1"/>
  <c r="M216" i="1"/>
  <c r="M215" i="1"/>
  <c r="M214" i="1"/>
  <c r="M213" i="1"/>
  <c r="L213" i="1"/>
  <c r="M212" i="1"/>
  <c r="M211" i="1"/>
  <c r="M209" i="1"/>
  <c r="M208" i="1"/>
  <c r="M207" i="1"/>
  <c r="M206" i="1"/>
  <c r="M205" i="1"/>
  <c r="M204" i="1"/>
  <c r="M203" i="1"/>
  <c r="M202" i="1"/>
  <c r="G202" i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C201" i="1"/>
  <c r="C202" i="1" s="1"/>
  <c r="M199" i="1"/>
  <c r="M198" i="1"/>
  <c r="M197" i="1"/>
  <c r="M196" i="1"/>
  <c r="M195" i="1"/>
  <c r="M194" i="1"/>
  <c r="M193" i="1"/>
  <c r="G193" i="1"/>
  <c r="G194" i="1" s="1"/>
  <c r="G195" i="1" s="1"/>
  <c r="G196" i="1" s="1"/>
  <c r="G197" i="1" s="1"/>
  <c r="G198" i="1" s="1"/>
  <c r="G199" i="1" s="1"/>
  <c r="M192" i="1"/>
  <c r="M190" i="1"/>
  <c r="M189" i="1"/>
  <c r="M188" i="1"/>
  <c r="M187" i="1"/>
  <c r="M186" i="1"/>
  <c r="L186" i="1"/>
  <c r="M185" i="1"/>
  <c r="M184" i="1"/>
  <c r="M182" i="1"/>
  <c r="M181" i="1"/>
  <c r="M180" i="1"/>
  <c r="M179" i="1"/>
  <c r="M178" i="1"/>
  <c r="M177" i="1"/>
  <c r="M175" i="1"/>
  <c r="G175" i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C174" i="1"/>
  <c r="B174" i="1" s="1"/>
  <c r="M172" i="1"/>
  <c r="M171" i="1"/>
  <c r="M170" i="1"/>
  <c r="M169" i="1"/>
  <c r="M168" i="1"/>
  <c r="G168" i="1"/>
  <c r="G169" i="1" s="1"/>
  <c r="G170" i="1" s="1"/>
  <c r="G171" i="1" s="1"/>
  <c r="G172" i="1" s="1"/>
  <c r="M167" i="1"/>
  <c r="L167" i="1"/>
  <c r="M165" i="1"/>
  <c r="M164" i="1"/>
  <c r="M163" i="1"/>
  <c r="M162" i="1"/>
  <c r="M161" i="1"/>
  <c r="L161" i="1"/>
  <c r="M160" i="1"/>
  <c r="M159" i="1"/>
  <c r="M157" i="1"/>
  <c r="M156" i="1"/>
  <c r="M155" i="1"/>
  <c r="M154" i="1"/>
  <c r="M153" i="1"/>
  <c r="M152" i="1"/>
  <c r="M150" i="1"/>
  <c r="G150" i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C149" i="1"/>
  <c r="B149" i="1" s="1"/>
  <c r="M147" i="1"/>
  <c r="M146" i="1"/>
  <c r="M145" i="1"/>
  <c r="M144" i="1"/>
  <c r="M143" i="1"/>
  <c r="G143" i="1"/>
  <c r="G144" i="1" s="1"/>
  <c r="G145" i="1" s="1"/>
  <c r="G146" i="1" s="1"/>
  <c r="G147" i="1" s="1"/>
  <c r="M142" i="1"/>
  <c r="L142" i="1"/>
  <c r="M140" i="1"/>
  <c r="M139" i="1"/>
  <c r="M138" i="1"/>
  <c r="M137" i="1"/>
  <c r="M136" i="1"/>
  <c r="M135" i="1"/>
  <c r="M134" i="1"/>
  <c r="M132" i="1"/>
  <c r="M131" i="1"/>
  <c r="M130" i="1"/>
  <c r="M129" i="1"/>
  <c r="M128" i="1"/>
  <c r="M127" i="1"/>
  <c r="M125" i="1"/>
  <c r="G125" i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C124" i="1"/>
  <c r="C125" i="1" s="1"/>
  <c r="C126" i="1" s="1"/>
  <c r="C127" i="1" s="1"/>
  <c r="M122" i="1"/>
  <c r="M121" i="1"/>
  <c r="M120" i="1"/>
  <c r="M119" i="1"/>
  <c r="M118" i="1"/>
  <c r="G118" i="1"/>
  <c r="G119" i="1" s="1"/>
  <c r="G120" i="1" s="1"/>
  <c r="G121" i="1" s="1"/>
  <c r="G122" i="1" s="1"/>
  <c r="M117" i="1"/>
  <c r="L117" i="1"/>
  <c r="M114" i="1"/>
  <c r="M113" i="1"/>
  <c r="M112" i="1"/>
  <c r="M111" i="1"/>
  <c r="M110" i="1"/>
  <c r="M109" i="1"/>
  <c r="M108" i="1"/>
  <c r="M106" i="1"/>
  <c r="M105" i="1"/>
  <c r="M104" i="1"/>
  <c r="M103" i="1"/>
  <c r="M102" i="1"/>
  <c r="M101" i="1"/>
  <c r="M99" i="1"/>
  <c r="G99" i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C98" i="1"/>
  <c r="C99" i="1" s="1"/>
  <c r="M96" i="1"/>
  <c r="M95" i="1"/>
  <c r="M94" i="1"/>
  <c r="M93" i="1"/>
  <c r="G93" i="1"/>
  <c r="G94" i="1" s="1"/>
  <c r="G95" i="1" s="1"/>
  <c r="G96" i="1" s="1"/>
  <c r="M92" i="1"/>
  <c r="L92" i="1"/>
  <c r="M90" i="1"/>
  <c r="M89" i="1"/>
  <c r="M88" i="1"/>
  <c r="M87" i="1"/>
  <c r="M86" i="1"/>
  <c r="M85" i="1"/>
  <c r="M84" i="1"/>
  <c r="M82" i="1"/>
  <c r="M81" i="1"/>
  <c r="M80" i="1"/>
  <c r="M79" i="1"/>
  <c r="M78" i="1"/>
  <c r="M77" i="1"/>
  <c r="M75" i="1"/>
  <c r="G75" i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C74" i="1"/>
  <c r="B74" i="1" s="1"/>
  <c r="M72" i="1"/>
  <c r="M71" i="1"/>
  <c r="M70" i="1"/>
  <c r="M69" i="1"/>
  <c r="G69" i="1"/>
  <c r="G70" i="1" s="1"/>
  <c r="G71" i="1" s="1"/>
  <c r="G72" i="1" s="1"/>
  <c r="M68" i="1"/>
  <c r="L68" i="1"/>
  <c r="M66" i="1"/>
  <c r="M65" i="1"/>
  <c r="M64" i="1"/>
  <c r="M63" i="1"/>
  <c r="M62" i="1"/>
  <c r="M61" i="1"/>
  <c r="M60" i="1"/>
  <c r="M58" i="1"/>
  <c r="M57" i="1"/>
  <c r="M56" i="1"/>
  <c r="M55" i="1"/>
  <c r="M54" i="1"/>
  <c r="M53" i="1"/>
  <c r="M51" i="1"/>
  <c r="G51" i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C50" i="1"/>
  <c r="C51" i="1" s="1"/>
  <c r="C52" i="1" s="1"/>
  <c r="M48" i="1"/>
  <c r="M47" i="1"/>
  <c r="M46" i="1"/>
  <c r="M45" i="1"/>
  <c r="G45" i="1"/>
  <c r="G46" i="1" s="1"/>
  <c r="G47" i="1" s="1"/>
  <c r="G48" i="1" s="1"/>
  <c r="M44" i="1"/>
  <c r="L44" i="1"/>
  <c r="M42" i="1"/>
  <c r="M41" i="1"/>
  <c r="M40" i="1"/>
  <c r="M39" i="1"/>
  <c r="M38" i="1"/>
  <c r="L38" i="1"/>
  <c r="M37" i="1"/>
  <c r="M36" i="1"/>
  <c r="M34" i="1"/>
  <c r="M33" i="1"/>
  <c r="M32" i="1"/>
  <c r="M31" i="1"/>
  <c r="M30" i="1"/>
  <c r="M29" i="1"/>
  <c r="M27" i="1"/>
  <c r="G27" i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C27" i="1"/>
  <c r="M24" i="1"/>
  <c r="M23" i="1"/>
  <c r="M22" i="1"/>
  <c r="M21" i="1"/>
  <c r="G21" i="1"/>
  <c r="G22" i="1" s="1"/>
  <c r="G23" i="1" s="1"/>
  <c r="G24" i="1" s="1"/>
  <c r="M20" i="1"/>
  <c r="L20" i="1"/>
  <c r="M18" i="1"/>
  <c r="M17" i="1"/>
  <c r="M16" i="1"/>
  <c r="M15" i="1"/>
  <c r="M14" i="1"/>
  <c r="L14" i="1"/>
  <c r="M13" i="1"/>
  <c r="M12" i="1"/>
  <c r="M10" i="1"/>
  <c r="M9" i="1"/>
  <c r="M8" i="1"/>
  <c r="M7" i="1"/>
  <c r="M6" i="1"/>
  <c r="L6" i="1"/>
  <c r="M5" i="1"/>
  <c r="L5" i="1"/>
  <c r="M3" i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C3" i="1"/>
  <c r="C4" i="1" s="1"/>
  <c r="H16" i="2" l="1"/>
  <c r="H17" i="2" s="1"/>
  <c r="I17" i="2" s="1"/>
  <c r="R12" i="2"/>
  <c r="Q16" i="2"/>
  <c r="R16" i="2" s="1"/>
  <c r="E24" i="2"/>
  <c r="E44" i="2" s="1"/>
  <c r="M15" i="2"/>
  <c r="N15" i="2" s="1"/>
  <c r="Y26" i="2" s="1"/>
  <c r="Y46" i="2" s="1"/>
  <c r="Y24" i="2"/>
  <c r="Y44" i="2" s="1"/>
  <c r="E25" i="2"/>
  <c r="E45" i="2" s="1"/>
  <c r="M16" i="2"/>
  <c r="N16" i="2" s="1"/>
  <c r="Y25" i="2"/>
  <c r="Y45" i="2" s="1"/>
  <c r="D16" i="2"/>
  <c r="E16" i="2" s="1"/>
  <c r="L550" i="1"/>
  <c r="L621" i="1"/>
  <c r="L669" i="1"/>
  <c r="B459" i="1"/>
  <c r="C1219" i="1"/>
  <c r="B1219" i="1" s="1"/>
  <c r="L591" i="1"/>
  <c r="L581" i="1"/>
  <c r="B124" i="1"/>
  <c r="B26" i="1"/>
  <c r="B888" i="1"/>
  <c r="L946" i="1"/>
  <c r="L694" i="1"/>
  <c r="C75" i="1"/>
  <c r="C76" i="1" s="1"/>
  <c r="C77" i="1" s="1"/>
  <c r="L543" i="1"/>
  <c r="L582" i="1"/>
  <c r="L601" i="1"/>
  <c r="L657" i="1"/>
  <c r="L760" i="1"/>
  <c r="C444" i="1"/>
  <c r="B444" i="1" s="1"/>
  <c r="C474" i="1"/>
  <c r="C475" i="1" s="1"/>
  <c r="C476" i="1" s="1"/>
  <c r="C477" i="1" s="1"/>
  <c r="C478" i="1" s="1"/>
  <c r="B478" i="1" s="1"/>
  <c r="L553" i="1"/>
  <c r="L593" i="1"/>
  <c r="L692" i="1"/>
  <c r="B540" i="1"/>
  <c r="L630" i="1"/>
  <c r="L662" i="1"/>
  <c r="L693" i="1"/>
  <c r="L1003" i="1"/>
  <c r="L683" i="1"/>
  <c r="B679" i="1"/>
  <c r="C681" i="1"/>
  <c r="B681" i="1" s="1"/>
  <c r="L828" i="1"/>
  <c r="C558" i="1"/>
  <c r="B558" i="1" s="1"/>
  <c r="L592" i="1"/>
  <c r="L787" i="1"/>
  <c r="L831" i="1"/>
  <c r="L1227" i="1"/>
  <c r="C175" i="1"/>
  <c r="B175" i="1" s="1"/>
  <c r="L547" i="1"/>
  <c r="L554" i="1"/>
  <c r="L687" i="1"/>
  <c r="L780" i="1"/>
  <c r="L822" i="1"/>
  <c r="L523" i="1"/>
  <c r="L789" i="1"/>
  <c r="L1014" i="1"/>
  <c r="L1223" i="1"/>
  <c r="L836" i="1"/>
  <c r="B76" i="1"/>
  <c r="B436" i="1"/>
  <c r="L627" i="1"/>
  <c r="L643" i="1"/>
  <c r="L677" i="1"/>
  <c r="L1232" i="1"/>
  <c r="L781" i="1"/>
  <c r="L1007" i="1"/>
  <c r="C416" i="1"/>
  <c r="B416" i="1" s="1"/>
  <c r="B415" i="1"/>
  <c r="C1092" i="1"/>
  <c r="B1091" i="1"/>
  <c r="C1168" i="1"/>
  <c r="B1167" i="1"/>
  <c r="B618" i="1"/>
  <c r="C619" i="1"/>
  <c r="B619" i="1" s="1"/>
  <c r="B27" i="1"/>
  <c r="C28" i="1"/>
  <c r="C29" i="1" s="1"/>
  <c r="B29" i="1" s="1"/>
  <c r="L905" i="1"/>
  <c r="L896" i="1"/>
  <c r="L902" i="1"/>
  <c r="L900" i="1"/>
  <c r="B396" i="1"/>
  <c r="B202" i="1"/>
  <c r="C203" i="1"/>
  <c r="C204" i="1" s="1"/>
  <c r="L720" i="1"/>
  <c r="L747" i="1"/>
  <c r="L1092" i="1"/>
  <c r="L1104" i="1" s="1"/>
  <c r="L1168" i="1"/>
  <c r="L1184" i="1" s="1"/>
  <c r="B2" i="1"/>
  <c r="B125" i="1"/>
  <c r="L525" i="1"/>
  <c r="L544" i="1"/>
  <c r="L628" i="1"/>
  <c r="C756" i="1"/>
  <c r="C778" i="1"/>
  <c r="C780" i="1" s="1"/>
  <c r="C782" i="1" s="1"/>
  <c r="L795" i="1"/>
  <c r="L816" i="1"/>
  <c r="L1058" i="1"/>
  <c r="C452" i="1"/>
  <c r="L573" i="1"/>
  <c r="L588" i="1"/>
  <c r="L646" i="1"/>
  <c r="L654" i="1"/>
  <c r="L749" i="1"/>
  <c r="C965" i="1"/>
  <c r="C966" i="1" s="1"/>
  <c r="C967" i="1" s="1"/>
  <c r="B967" i="1" s="1"/>
  <c r="C250" i="1"/>
  <c r="C251" i="1" s="1"/>
  <c r="C252" i="1" s="1"/>
  <c r="B201" i="1"/>
  <c r="B297" i="1"/>
  <c r="B372" i="1"/>
  <c r="C421" i="1"/>
  <c r="C422" i="1" s="1"/>
  <c r="B435" i="1"/>
  <c r="L599" i="1"/>
  <c r="L779" i="1"/>
  <c r="L784" i="1"/>
  <c r="L790" i="1"/>
  <c r="L993" i="1"/>
  <c r="L998" i="1"/>
  <c r="C1220" i="1"/>
  <c r="C541" i="1"/>
  <c r="B541" i="1" s="1"/>
  <c r="L574" i="1"/>
  <c r="L590" i="1"/>
  <c r="L690" i="1"/>
  <c r="L744" i="1"/>
  <c r="C938" i="1"/>
  <c r="C990" i="1"/>
  <c r="L1053" i="1"/>
  <c r="B50" i="1"/>
  <c r="L606" i="1"/>
  <c r="L730" i="1"/>
  <c r="L751" i="1"/>
  <c r="B413" i="1"/>
  <c r="B503" i="1"/>
  <c r="L568" i="1"/>
  <c r="L580" i="1"/>
  <c r="L585" i="1"/>
  <c r="L620" i="1"/>
  <c r="L625" i="1"/>
  <c r="B776" i="1"/>
  <c r="L994" i="1"/>
  <c r="C1041" i="1"/>
  <c r="L1045" i="1"/>
  <c r="C150" i="1"/>
  <c r="B150" i="1" s="1"/>
  <c r="C348" i="1"/>
  <c r="C349" i="1" s="1"/>
  <c r="B539" i="1"/>
  <c r="L569" i="1"/>
  <c r="L607" i="1"/>
  <c r="B617" i="1"/>
  <c r="L826" i="1"/>
  <c r="L833" i="1"/>
  <c r="L1154" i="1"/>
  <c r="L746" i="1"/>
  <c r="C639" i="1"/>
  <c r="C640" i="1" s="1"/>
  <c r="B777" i="1"/>
  <c r="L572" i="1"/>
  <c r="L610" i="1"/>
  <c r="L740" i="1"/>
  <c r="B761" i="1"/>
  <c r="C1016" i="1"/>
  <c r="B1016" i="1" s="1"/>
  <c r="B4" i="1"/>
  <c r="C5" i="1"/>
  <c r="C53" i="1"/>
  <c r="B52" i="1"/>
  <c r="B323" i="1"/>
  <c r="C324" i="1"/>
  <c r="B3" i="1"/>
  <c r="B98" i="1"/>
  <c r="B126" i="1"/>
  <c r="B480" i="1"/>
  <c r="C481" i="1"/>
  <c r="B99" i="1"/>
  <c r="B298" i="1"/>
  <c r="G299" i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B203" i="1"/>
  <c r="C488" i="1"/>
  <c r="B487" i="1"/>
  <c r="C100" i="1"/>
  <c r="C302" i="1"/>
  <c r="B460" i="1"/>
  <c r="C461" i="1"/>
  <c r="B496" i="1"/>
  <c r="C497" i="1"/>
  <c r="B127" i="1"/>
  <c r="C128" i="1"/>
  <c r="B373" i="1"/>
  <c r="C374" i="1"/>
  <c r="B273" i="1"/>
  <c r="C274" i="1"/>
  <c r="B51" i="1"/>
  <c r="C226" i="1"/>
  <c r="B225" i="1"/>
  <c r="B414" i="1"/>
  <c r="B390" i="1"/>
  <c r="B495" i="1"/>
  <c r="C505" i="1"/>
  <c r="B504" i="1"/>
  <c r="B391" i="1"/>
  <c r="C428" i="1"/>
  <c r="B322" i="1"/>
  <c r="C437" i="1"/>
  <c r="B392" i="1"/>
  <c r="C393" i="1"/>
  <c r="C395" i="1"/>
  <c r="B395" i="1" s="1"/>
  <c r="C400" i="1"/>
  <c r="C407" i="1"/>
  <c r="C467" i="1"/>
  <c r="L534" i="1"/>
  <c r="C839" i="1"/>
  <c r="B838" i="1"/>
  <c r="L530" i="1"/>
  <c r="L535" i="1"/>
  <c r="L533" i="1"/>
  <c r="L524" i="1"/>
  <c r="L531" i="1"/>
  <c r="C577" i="1"/>
  <c r="L528" i="1"/>
  <c r="C765" i="1"/>
  <c r="B763" i="1"/>
  <c r="L536" i="1"/>
  <c r="C597" i="1"/>
  <c r="B596" i="1"/>
  <c r="C660" i="1"/>
  <c r="B659" i="1"/>
  <c r="B759" i="1"/>
  <c r="B797" i="1"/>
  <c r="C798" i="1"/>
  <c r="C799" i="1"/>
  <c r="B818" i="1"/>
  <c r="C819" i="1"/>
  <c r="C521" i="1"/>
  <c r="B520" i="1"/>
  <c r="C512" i="1"/>
  <c r="L566" i="1"/>
  <c r="L571" i="1"/>
  <c r="L633" i="1"/>
  <c r="L631" i="1"/>
  <c r="L622" i="1"/>
  <c r="L653" i="1"/>
  <c r="L651" i="1"/>
  <c r="L642" i="1"/>
  <c r="L648" i="1"/>
  <c r="L701" i="1"/>
  <c r="C718" i="1"/>
  <c r="C719" i="1"/>
  <c r="B736" i="1"/>
  <c r="C738" i="1"/>
  <c r="C737" i="1"/>
  <c r="L877" i="1"/>
  <c r="L864" i="1"/>
  <c r="C863" i="1"/>
  <c r="L880" i="1"/>
  <c r="L562" i="1"/>
  <c r="L612" i="1"/>
  <c r="L636" i="1"/>
  <c r="C700" i="1"/>
  <c r="B698" i="1"/>
  <c r="B757" i="1"/>
  <c r="L800" i="1"/>
  <c r="L802" i="1"/>
  <c r="L801" i="1"/>
  <c r="L807" i="1"/>
  <c r="L813" i="1"/>
  <c r="L810" i="1"/>
  <c r="L812" i="1"/>
  <c r="L808" i="1"/>
  <c r="G891" i="1"/>
  <c r="G892" i="1" s="1"/>
  <c r="G893" i="1" s="1"/>
  <c r="G894" i="1" s="1"/>
  <c r="G895" i="1" s="1"/>
  <c r="G896" i="1" s="1"/>
  <c r="G897" i="1" s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09" i="1" s="1"/>
  <c r="G910" i="1" s="1"/>
  <c r="G911" i="1" s="1"/>
  <c r="B890" i="1"/>
  <c r="B699" i="1"/>
  <c r="C701" i="1"/>
  <c r="L732" i="1"/>
  <c r="L727" i="1"/>
  <c r="L722" i="1"/>
  <c r="L721" i="1"/>
  <c r="L728" i="1"/>
  <c r="L733" i="1"/>
  <c r="G778" i="1"/>
  <c r="G779" i="1" s="1"/>
  <c r="G780" i="1" s="1"/>
  <c r="G781" i="1" s="1"/>
  <c r="G782" i="1" s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L713" i="1"/>
  <c r="L711" i="1"/>
  <c r="L702" i="1"/>
  <c r="L706" i="1"/>
  <c r="L712" i="1"/>
  <c r="L709" i="1"/>
  <c r="L708" i="1"/>
  <c r="L703" i="1"/>
  <c r="L561" i="1"/>
  <c r="L641" i="1"/>
  <c r="L673" i="1"/>
  <c r="L671" i="1"/>
  <c r="L674" i="1"/>
  <c r="L672" i="1"/>
  <c r="L663" i="1"/>
  <c r="L667" i="1"/>
  <c r="C680" i="1"/>
  <c r="L811" i="1"/>
  <c r="L611" i="1"/>
  <c r="L609" i="1"/>
  <c r="L600" i="1"/>
  <c r="L731" i="1"/>
  <c r="B755" i="1"/>
  <c r="L765" i="1"/>
  <c r="C913" i="1"/>
  <c r="L914" i="1"/>
  <c r="L682" i="1"/>
  <c r="L684" i="1"/>
  <c r="L689" i="1"/>
  <c r="C781" i="1"/>
  <c r="L771" i="1"/>
  <c r="L769" i="1"/>
  <c r="L770" i="1"/>
  <c r="L768" i="1"/>
  <c r="L759" i="1"/>
  <c r="L774" i="1"/>
  <c r="L763" i="1"/>
  <c r="L855" i="1"/>
  <c r="L843" i="1"/>
  <c r="L852" i="1"/>
  <c r="L842" i="1"/>
  <c r="L851" i="1"/>
  <c r="L846" i="1"/>
  <c r="L841" i="1"/>
  <c r="L739" i="1"/>
  <c r="L741" i="1"/>
  <c r="L750" i="1"/>
  <c r="L786" i="1"/>
  <c r="B889" i="1"/>
  <c r="C892" i="1"/>
  <c r="L1020" i="1"/>
  <c r="L1021" i="1"/>
  <c r="L1032" i="1"/>
  <c r="L1028" i="1"/>
  <c r="L1019" i="1"/>
  <c r="L1024" i="1"/>
  <c r="L901" i="1"/>
  <c r="L893" i="1"/>
  <c r="L891" i="1"/>
  <c r="L892" i="1"/>
  <c r="L951" i="1"/>
  <c r="L962" i="1"/>
  <c r="L955" i="1"/>
  <c r="L952" i="1"/>
  <c r="L950" i="1"/>
  <c r="L942" i="1"/>
  <c r="C1066" i="1"/>
  <c r="L1067" i="1"/>
  <c r="L943" i="1"/>
  <c r="L1004" i="1"/>
  <c r="L1002" i="1"/>
  <c r="L1049" i="1"/>
  <c r="L1046" i="1"/>
  <c r="L1044" i="1"/>
  <c r="X37" i="2"/>
  <c r="X35" i="2"/>
  <c r="X64" i="2" s="1"/>
  <c r="X44" i="2"/>
  <c r="X48" i="2" s="1"/>
  <c r="X39" i="2"/>
  <c r="X36" i="2"/>
  <c r="X28" i="2"/>
  <c r="L1153" i="1"/>
  <c r="L1158" i="1"/>
  <c r="L821" i="1"/>
  <c r="L823" i="1"/>
  <c r="L830" i="1"/>
  <c r="C1116" i="1"/>
  <c r="L1117" i="1"/>
  <c r="L965" i="1"/>
  <c r="C1193" i="1"/>
  <c r="L1194" i="1"/>
  <c r="C1141" i="1"/>
  <c r="L1155" i="1"/>
  <c r="L1149" i="1"/>
  <c r="L1146" i="1"/>
  <c r="L1144" i="1"/>
  <c r="L1145" i="1"/>
  <c r="L1055" i="1"/>
  <c r="B107" i="2"/>
  <c r="B104" i="2"/>
  <c r="B101" i="2"/>
  <c r="B98" i="2"/>
  <c r="B95" i="2"/>
  <c r="L106" i="2"/>
  <c r="L103" i="2"/>
  <c r="L100" i="2"/>
  <c r="L97" i="2"/>
  <c r="L94" i="2"/>
  <c r="L105" i="2"/>
  <c r="B102" i="2"/>
  <c r="L98" i="2"/>
  <c r="B105" i="2"/>
  <c r="L101" i="2"/>
  <c r="B94" i="2"/>
  <c r="L104" i="2"/>
  <c r="B97" i="2"/>
  <c r="L107" i="2"/>
  <c r="B100" i="2"/>
  <c r="L96" i="2"/>
  <c r="E7" i="2"/>
  <c r="B103" i="2"/>
  <c r="L99" i="2"/>
  <c r="B96" i="2"/>
  <c r="B106" i="2"/>
  <c r="L102" i="2"/>
  <c r="B99" i="2"/>
  <c r="L95" i="2"/>
  <c r="Q17" i="2"/>
  <c r="R17" i="2" s="1"/>
  <c r="F65" i="2"/>
  <c r="H34" i="2"/>
  <c r="H65" i="2" s="1"/>
  <c r="AB66" i="2"/>
  <c r="AB70" i="2"/>
  <c r="M44" i="2"/>
  <c r="M37" i="2"/>
  <c r="N24" i="2"/>
  <c r="D24" i="2"/>
  <c r="O37" i="2"/>
  <c r="O44" i="2"/>
  <c r="O48" i="2" s="1"/>
  <c r="O39" i="2"/>
  <c r="O28" i="2"/>
  <c r="P37" i="2"/>
  <c r="P44" i="2"/>
  <c r="P48" i="2" s="1"/>
  <c r="P39" i="2"/>
  <c r="P26" i="2"/>
  <c r="P46" i="2" s="1"/>
  <c r="F26" i="2"/>
  <c r="F46" i="2" s="1"/>
  <c r="Z26" i="2"/>
  <c r="Z46" i="2" s="1"/>
  <c r="N26" i="2"/>
  <c r="N46" i="2" s="1"/>
  <c r="D26" i="2"/>
  <c r="D46" i="2" s="1"/>
  <c r="X26" i="2"/>
  <c r="X46" i="2" s="1"/>
  <c r="M25" i="2"/>
  <c r="M45" i="2" s="1"/>
  <c r="C25" i="2"/>
  <c r="C45" i="2" s="1"/>
  <c r="W25" i="2"/>
  <c r="W45" i="2" s="1"/>
  <c r="I16" i="2"/>
  <c r="B112" i="2"/>
  <c r="N25" i="2"/>
  <c r="N45" i="2" s="1"/>
  <c r="D25" i="2"/>
  <c r="D45" i="2" s="1"/>
  <c r="P28" i="2"/>
  <c r="O26" i="2"/>
  <c r="O46" i="2" s="1"/>
  <c r="E26" i="2"/>
  <c r="E46" i="2" s="1"/>
  <c r="AA66" i="2"/>
  <c r="AA70" i="2"/>
  <c r="W24" i="2"/>
  <c r="A11" i="3"/>
  <c r="A7" i="3"/>
  <c r="S20" i="3"/>
  <c r="A4" i="3"/>
  <c r="S11" i="3"/>
  <c r="S25" i="3"/>
  <c r="Z24" i="2"/>
  <c r="Z25" i="2"/>
  <c r="Z45" i="2" s="1"/>
  <c r="C64" i="2"/>
  <c r="S8" i="3"/>
  <c r="S16" i="3"/>
  <c r="D15" i="2"/>
  <c r="E15" i="2" s="1"/>
  <c r="C24" i="2"/>
  <c r="S4" i="3"/>
  <c r="S21" i="3"/>
  <c r="C65" i="2"/>
  <c r="A9" i="3"/>
  <c r="S17" i="3"/>
  <c r="C23" i="4"/>
  <c r="B22" i="4"/>
  <c r="F24" i="2"/>
  <c r="F25" i="2"/>
  <c r="F45" i="2" s="1"/>
  <c r="L111" i="2"/>
  <c r="L112" i="2" s="1"/>
  <c r="S13" i="3"/>
  <c r="L1222" i="1"/>
  <c r="L1224" i="1"/>
  <c r="L1235" i="1"/>
  <c r="A6" i="3"/>
  <c r="L1231" i="1"/>
  <c r="A16" i="3"/>
  <c r="A13" i="3"/>
  <c r="S10" i="3"/>
  <c r="A8" i="3"/>
  <c r="S3" i="3"/>
  <c r="S27" i="3"/>
  <c r="S23" i="3"/>
  <c r="S19" i="3"/>
  <c r="S5" i="3"/>
  <c r="S15" i="3"/>
  <c r="S12" i="3"/>
  <c r="A10" i="3"/>
  <c r="A3" i="3"/>
  <c r="A15" i="3"/>
  <c r="S7" i="3"/>
  <c r="A5" i="3"/>
  <c r="S26" i="3"/>
  <c r="S22" i="3"/>
  <c r="S18" i="3"/>
  <c r="A12" i="3"/>
  <c r="S6" i="3"/>
  <c r="A14" i="3"/>
  <c r="S14" i="3"/>
  <c r="S24" i="3"/>
  <c r="M10" i="4"/>
  <c r="O34" i="4"/>
  <c r="N9" i="4"/>
  <c r="H62" i="4"/>
  <c r="H49" i="4"/>
  <c r="H20" i="4"/>
  <c r="H91" i="4"/>
  <c r="X29" i="2" l="1"/>
  <c r="X33" i="2" s="1"/>
  <c r="Y37" i="2"/>
  <c r="E37" i="2"/>
  <c r="Y28" i="2"/>
  <c r="Y29" i="2" s="1"/>
  <c r="Y33" i="2" s="1"/>
  <c r="Y35" i="2"/>
  <c r="Y64" i="2" s="1"/>
  <c r="O29" i="2"/>
  <c r="O33" i="2" s="1"/>
  <c r="Y39" i="2"/>
  <c r="E39" i="2"/>
  <c r="Y36" i="2"/>
  <c r="Y48" i="2"/>
  <c r="Y49" i="2" s="1"/>
  <c r="Y51" i="2" s="1"/>
  <c r="Y55" i="2" s="1"/>
  <c r="Y61" i="2" s="1"/>
  <c r="Y66" i="2" s="1"/>
  <c r="Y70" i="2" s="1"/>
  <c r="O49" i="2"/>
  <c r="O51" i="2" s="1"/>
  <c r="O55" i="2" s="1"/>
  <c r="O61" i="2" s="1"/>
  <c r="E48" i="2"/>
  <c r="E49" i="2" s="1"/>
  <c r="E51" i="2" s="1"/>
  <c r="E55" i="2" s="1"/>
  <c r="E61" i="2" s="1"/>
  <c r="E28" i="2"/>
  <c r="E29" i="2" s="1"/>
  <c r="E33" i="2" s="1"/>
  <c r="M17" i="2"/>
  <c r="N17" i="2" s="1"/>
  <c r="M28" i="2"/>
  <c r="B477" i="1"/>
  <c r="L1105" i="1"/>
  <c r="C968" i="1"/>
  <c r="C969" i="1" s="1"/>
  <c r="B965" i="1"/>
  <c r="C620" i="1"/>
  <c r="C621" i="1" s="1"/>
  <c r="C445" i="1"/>
  <c r="B476" i="1"/>
  <c r="B474" i="1"/>
  <c r="B475" i="1"/>
  <c r="B348" i="1"/>
  <c r="C683" i="1"/>
  <c r="C685" i="1" s="1"/>
  <c r="C687" i="1" s="1"/>
  <c r="L1095" i="1"/>
  <c r="L1170" i="1"/>
  <c r="B299" i="1"/>
  <c r="C176" i="1"/>
  <c r="B176" i="1" s="1"/>
  <c r="C559" i="1"/>
  <c r="C560" i="1" s="1"/>
  <c r="B75" i="1"/>
  <c r="B639" i="1"/>
  <c r="B966" i="1"/>
  <c r="L1099" i="1"/>
  <c r="L1180" i="1"/>
  <c r="L1191" i="1"/>
  <c r="B28" i="1"/>
  <c r="B421" i="1"/>
  <c r="L1175" i="1"/>
  <c r="L1171" i="1"/>
  <c r="C542" i="1"/>
  <c r="B542" i="1" s="1"/>
  <c r="C30" i="1"/>
  <c r="B30" i="1" s="1"/>
  <c r="B891" i="1"/>
  <c r="C1042" i="1"/>
  <c r="B1041" i="1"/>
  <c r="B756" i="1"/>
  <c r="C758" i="1"/>
  <c r="B938" i="1"/>
  <c r="C939" i="1"/>
  <c r="C417" i="1"/>
  <c r="C418" i="1" s="1"/>
  <c r="B418" i="1" s="1"/>
  <c r="L1181" i="1"/>
  <c r="L1172" i="1"/>
  <c r="L1179" i="1"/>
  <c r="L1103" i="1"/>
  <c r="L1108" i="1"/>
  <c r="L1094" i="1"/>
  <c r="L1096" i="1"/>
  <c r="B1220" i="1"/>
  <c r="C1221" i="1"/>
  <c r="B779" i="1"/>
  <c r="B301" i="1"/>
  <c r="B300" i="1"/>
  <c r="C151" i="1"/>
  <c r="B151" i="1" s="1"/>
  <c r="B250" i="1"/>
  <c r="C1169" i="1"/>
  <c r="B1168" i="1"/>
  <c r="B251" i="1"/>
  <c r="C1017" i="1"/>
  <c r="B1017" i="1" s="1"/>
  <c r="C350" i="1"/>
  <c r="B349" i="1"/>
  <c r="B452" i="1"/>
  <c r="C453" i="1"/>
  <c r="B990" i="1"/>
  <c r="C991" i="1"/>
  <c r="B1092" i="1"/>
  <c r="C1093" i="1"/>
  <c r="L917" i="1"/>
  <c r="L930" i="1"/>
  <c r="L926" i="1"/>
  <c r="L925" i="1"/>
  <c r="L921" i="1"/>
  <c r="L918" i="1"/>
  <c r="L927" i="1"/>
  <c r="L916" i="1"/>
  <c r="B968" i="1"/>
  <c r="B798" i="1"/>
  <c r="C800" i="1"/>
  <c r="B400" i="1"/>
  <c r="C401" i="1"/>
  <c r="B374" i="1"/>
  <c r="C375" i="1"/>
  <c r="F44" i="2"/>
  <c r="F48" i="2" s="1"/>
  <c r="F49" i="2" s="1"/>
  <c r="F51" i="2" s="1"/>
  <c r="F55" i="2" s="1"/>
  <c r="F61" i="2" s="1"/>
  <c r="F39" i="2"/>
  <c r="F28" i="2"/>
  <c r="F29" i="2" s="1"/>
  <c r="F33" i="2" s="1"/>
  <c r="F37" i="2"/>
  <c r="B1141" i="1"/>
  <c r="C1142" i="1"/>
  <c r="B778" i="1"/>
  <c r="L871" i="1"/>
  <c r="L875" i="1"/>
  <c r="L876" i="1"/>
  <c r="L866" i="1"/>
  <c r="L868" i="1"/>
  <c r="L867" i="1"/>
  <c r="C37" i="2"/>
  <c r="C44" i="2"/>
  <c r="C48" i="2" s="1"/>
  <c r="C28" i="2"/>
  <c r="P29" i="2"/>
  <c r="P33" i="2" s="1"/>
  <c r="D17" i="2"/>
  <c r="E17" i="2" s="1"/>
  <c r="M48" i="2"/>
  <c r="L1217" i="1"/>
  <c r="L1206" i="1"/>
  <c r="L1210" i="1"/>
  <c r="L1197" i="1"/>
  <c r="L1201" i="1"/>
  <c r="L1198" i="1"/>
  <c r="L1207" i="1"/>
  <c r="L1196" i="1"/>
  <c r="L1205" i="1"/>
  <c r="B913" i="1"/>
  <c r="C914" i="1"/>
  <c r="C703" i="1"/>
  <c r="B701" i="1"/>
  <c r="C394" i="1"/>
  <c r="B394" i="1" s="1"/>
  <c r="C397" i="1"/>
  <c r="B397" i="1" s="1"/>
  <c r="B393" i="1"/>
  <c r="B505" i="1"/>
  <c r="C506" i="1"/>
  <c r="C205" i="1"/>
  <c r="B204" i="1"/>
  <c r="B252" i="1"/>
  <c r="C253" i="1"/>
  <c r="M75" i="2"/>
  <c r="C739" i="1"/>
  <c r="B737" i="1"/>
  <c r="B780" i="1"/>
  <c r="C641" i="1"/>
  <c r="B640" i="1"/>
  <c r="B128" i="1"/>
  <c r="C129" i="1"/>
  <c r="C78" i="1"/>
  <c r="B77" i="1"/>
  <c r="L977" i="1"/>
  <c r="L968" i="1"/>
  <c r="L969" i="1"/>
  <c r="L967" i="1"/>
  <c r="L978" i="1"/>
  <c r="L972" i="1"/>
  <c r="L981" i="1"/>
  <c r="L976" i="1"/>
  <c r="C682" i="1"/>
  <c r="B680" i="1"/>
  <c r="B738" i="1"/>
  <c r="C740" i="1"/>
  <c r="C784" i="1"/>
  <c r="B782" i="1"/>
  <c r="B437" i="1"/>
  <c r="C438" i="1"/>
  <c r="M39" i="2"/>
  <c r="M74" i="2" s="1"/>
  <c r="N75" i="2" s="1"/>
  <c r="W39" i="2"/>
  <c r="W74" i="2" s="1"/>
  <c r="W75" i="2" s="1"/>
  <c r="C39" i="2"/>
  <c r="C74" i="2" s="1"/>
  <c r="D75" i="2" s="1"/>
  <c r="C1194" i="1"/>
  <c r="B1193" i="1"/>
  <c r="C498" i="1"/>
  <c r="B497" i="1"/>
  <c r="B488" i="1"/>
  <c r="C489" i="1"/>
  <c r="B324" i="1"/>
  <c r="C325" i="1"/>
  <c r="M26" i="2"/>
  <c r="M46" i="2" s="1"/>
  <c r="C26" i="2"/>
  <c r="C46" i="2" s="1"/>
  <c r="W26" i="2"/>
  <c r="W46" i="2" s="1"/>
  <c r="H61" i="4"/>
  <c r="H119" i="4"/>
  <c r="H90" i="4"/>
  <c r="H19" i="4"/>
  <c r="N10" i="4"/>
  <c r="H48" i="4"/>
  <c r="L1129" i="1"/>
  <c r="L1133" i="1"/>
  <c r="L1120" i="1"/>
  <c r="L1124" i="1"/>
  <c r="L1121" i="1"/>
  <c r="L1130" i="1"/>
  <c r="L1128" i="1"/>
  <c r="L1119" i="1"/>
  <c r="X49" i="2"/>
  <c r="X51" i="2" s="1"/>
  <c r="X55" i="2" s="1"/>
  <c r="X61" i="2" s="1"/>
  <c r="B719" i="1"/>
  <c r="C721" i="1"/>
  <c r="C513" i="1"/>
  <c r="B512" i="1"/>
  <c r="B660" i="1"/>
  <c r="C661" i="1"/>
  <c r="C227" i="1"/>
  <c r="B226" i="1"/>
  <c r="B23" i="4"/>
  <c r="C24" i="4"/>
  <c r="B114" i="2"/>
  <c r="W37" i="2"/>
  <c r="W35" i="2"/>
  <c r="W64" i="2" s="1"/>
  <c r="W44" i="2"/>
  <c r="W48" i="2" s="1"/>
  <c r="W36" i="2"/>
  <c r="W28" i="2"/>
  <c r="B1116" i="1"/>
  <c r="C1117" i="1"/>
  <c r="C702" i="1"/>
  <c r="B700" i="1"/>
  <c r="C720" i="1"/>
  <c r="B718" i="1"/>
  <c r="C578" i="1"/>
  <c r="B577" i="1"/>
  <c r="B461" i="1"/>
  <c r="C462" i="1"/>
  <c r="B597" i="1"/>
  <c r="C598" i="1"/>
  <c r="B839" i="1"/>
  <c r="C840" i="1"/>
  <c r="C177" i="1"/>
  <c r="B53" i="1"/>
  <c r="C54" i="1"/>
  <c r="Z44" i="2"/>
  <c r="Z48" i="2" s="1"/>
  <c r="Z49" i="2" s="1"/>
  <c r="Z51" i="2" s="1"/>
  <c r="Z55" i="2" s="1"/>
  <c r="Z61" i="2" s="1"/>
  <c r="Z39" i="2"/>
  <c r="Z36" i="2"/>
  <c r="Z28" i="2"/>
  <c r="Z29" i="2" s="1"/>
  <c r="Z33" i="2" s="1"/>
  <c r="Z37" i="2"/>
  <c r="Z35" i="2"/>
  <c r="Z64" i="2" s="1"/>
  <c r="C75" i="2"/>
  <c r="AB78" i="2" s="1"/>
  <c r="L1083" i="1"/>
  <c r="L1070" i="1"/>
  <c r="L1080" i="1"/>
  <c r="L1078" i="1"/>
  <c r="L1069" i="1"/>
  <c r="L1074" i="1"/>
  <c r="L1079" i="1"/>
  <c r="L1071" i="1"/>
  <c r="B892" i="1"/>
  <c r="C893" i="1"/>
  <c r="B781" i="1"/>
  <c r="C783" i="1"/>
  <c r="B521" i="1"/>
  <c r="C522" i="1"/>
  <c r="B428" i="1"/>
  <c r="C429" i="1"/>
  <c r="C275" i="1"/>
  <c r="B274" i="1"/>
  <c r="B302" i="1"/>
  <c r="C303" i="1"/>
  <c r="D37" i="2"/>
  <c r="D44" i="2"/>
  <c r="D48" i="2" s="1"/>
  <c r="D49" i="2" s="1"/>
  <c r="D51" i="2" s="1"/>
  <c r="D55" i="2" s="1"/>
  <c r="D61" i="2" s="1"/>
  <c r="D39" i="2"/>
  <c r="D28" i="2"/>
  <c r="D29" i="2" s="1"/>
  <c r="D33" i="2" s="1"/>
  <c r="C1067" i="1"/>
  <c r="B1066" i="1"/>
  <c r="C820" i="1"/>
  <c r="B819" i="1"/>
  <c r="B481" i="1"/>
  <c r="C482" i="1"/>
  <c r="P49" i="2"/>
  <c r="P51" i="2" s="1"/>
  <c r="P55" i="2" s="1"/>
  <c r="P61" i="2" s="1"/>
  <c r="N44" i="2"/>
  <c r="N48" i="2" s="1"/>
  <c r="N49" i="2" s="1"/>
  <c r="N51" i="2" s="1"/>
  <c r="N55" i="2" s="1"/>
  <c r="N61" i="2" s="1"/>
  <c r="N39" i="2"/>
  <c r="N28" i="2"/>
  <c r="N29" i="2" s="1"/>
  <c r="N33" i="2" s="1"/>
  <c r="N37" i="2"/>
  <c r="B467" i="1"/>
  <c r="C468" i="1"/>
  <c r="C423" i="1"/>
  <c r="B422" i="1"/>
  <c r="B100" i="1"/>
  <c r="C101" i="1"/>
  <c r="C6" i="1"/>
  <c r="B5" i="1"/>
  <c r="L114" i="2"/>
  <c r="C864" i="1"/>
  <c r="B863" i="1"/>
  <c r="C801" i="1"/>
  <c r="B799" i="1"/>
  <c r="C767" i="1"/>
  <c r="B765" i="1"/>
  <c r="B407" i="1"/>
  <c r="C408" i="1"/>
  <c r="B445" i="1"/>
  <c r="C446" i="1"/>
  <c r="W29" i="2" l="1"/>
  <c r="W33" i="2" s="1"/>
  <c r="M29" i="2"/>
  <c r="M33" i="2" s="1"/>
  <c r="Y78" i="2"/>
  <c r="M49" i="2"/>
  <c r="M51" i="2" s="1"/>
  <c r="M55" i="2" s="1"/>
  <c r="M61" i="2" s="1"/>
  <c r="M67" i="2" s="1"/>
  <c r="AA78" i="2"/>
  <c r="W49" i="2"/>
  <c r="W51" i="2" s="1"/>
  <c r="W55" i="2" s="1"/>
  <c r="W61" i="2" s="1"/>
  <c r="W66" i="2" s="1"/>
  <c r="W70" i="2" s="1"/>
  <c r="W78" i="2" s="1"/>
  <c r="B417" i="1"/>
  <c r="B685" i="1"/>
  <c r="B620" i="1"/>
  <c r="B559" i="1"/>
  <c r="B683" i="1"/>
  <c r="C152" i="1"/>
  <c r="C543" i="1"/>
  <c r="B543" i="1" s="1"/>
  <c r="C1018" i="1"/>
  <c r="B1018" i="1" s="1"/>
  <c r="C31" i="1"/>
  <c r="B31" i="1" s="1"/>
  <c r="B1169" i="1"/>
  <c r="C1170" i="1"/>
  <c r="B1093" i="1"/>
  <c r="C1094" i="1"/>
  <c r="B991" i="1"/>
  <c r="C992" i="1"/>
  <c r="C1043" i="1"/>
  <c r="B1042" i="1"/>
  <c r="C940" i="1"/>
  <c r="B939" i="1"/>
  <c r="C351" i="1"/>
  <c r="B350" i="1"/>
  <c r="B453" i="1"/>
  <c r="C454" i="1"/>
  <c r="B1221" i="1"/>
  <c r="C1222" i="1"/>
  <c r="C760" i="1"/>
  <c r="B758" i="1"/>
  <c r="C865" i="1"/>
  <c r="B864" i="1"/>
  <c r="B78" i="1"/>
  <c r="C79" i="1"/>
  <c r="C915" i="1"/>
  <c r="B914" i="1"/>
  <c r="C704" i="1"/>
  <c r="B702" i="1"/>
  <c r="B498" i="1"/>
  <c r="C499" i="1"/>
  <c r="B682" i="1"/>
  <c r="C684" i="1"/>
  <c r="B129" i="1"/>
  <c r="C130" i="1"/>
  <c r="B506" i="1"/>
  <c r="C507" i="1"/>
  <c r="C29" i="2"/>
  <c r="C33" i="2" s="1"/>
  <c r="B560" i="1"/>
  <c r="C561" i="1"/>
  <c r="B101" i="1"/>
  <c r="C102" i="1"/>
  <c r="C523" i="1"/>
  <c r="B522" i="1"/>
  <c r="B438" i="1"/>
  <c r="C439" i="1"/>
  <c r="C642" i="1"/>
  <c r="B641" i="1"/>
  <c r="C49" i="2"/>
  <c r="C51" i="2" s="1"/>
  <c r="C55" i="2" s="1"/>
  <c r="C61" i="2" s="1"/>
  <c r="B375" i="1"/>
  <c r="C376" i="1"/>
  <c r="C1118" i="1"/>
  <c r="B1117" i="1"/>
  <c r="C463" i="1"/>
  <c r="B462" i="1"/>
  <c r="B687" i="1"/>
  <c r="C689" i="1"/>
  <c r="B1067" i="1"/>
  <c r="C1068" i="1"/>
  <c r="X66" i="2"/>
  <c r="X70" i="2" s="1"/>
  <c r="X78" i="2" s="1"/>
  <c r="B661" i="1"/>
  <c r="C662" i="1"/>
  <c r="B401" i="1"/>
  <c r="C402" i="1"/>
  <c r="C206" i="1"/>
  <c r="B205" i="1"/>
  <c r="C786" i="1"/>
  <c r="B784" i="1"/>
  <c r="C741" i="1"/>
  <c r="B739" i="1"/>
  <c r="C622" i="1"/>
  <c r="B621" i="1"/>
  <c r="C228" i="1"/>
  <c r="B227" i="1"/>
  <c r="B482" i="1"/>
  <c r="C483" i="1"/>
  <c r="B783" i="1"/>
  <c r="C785" i="1"/>
  <c r="C55" i="1"/>
  <c r="B54" i="1"/>
  <c r="B767" i="1"/>
  <c r="C769" i="1"/>
  <c r="B152" i="1"/>
  <c r="C153" i="1"/>
  <c r="C304" i="1"/>
  <c r="C310" i="1"/>
  <c r="B303" i="1"/>
  <c r="C894" i="1"/>
  <c r="B893" i="1"/>
  <c r="B578" i="1"/>
  <c r="C579" i="1"/>
  <c r="G66" i="2"/>
  <c r="G70" i="2" s="1"/>
  <c r="G78" i="2" s="1"/>
  <c r="E66" i="2"/>
  <c r="E70" i="2" s="1"/>
  <c r="E78" i="2" s="1"/>
  <c r="F66" i="2"/>
  <c r="F70" i="2" s="1"/>
  <c r="F78" i="2" s="1"/>
  <c r="D66" i="2"/>
  <c r="D70" i="2" s="1"/>
  <c r="D78" i="2" s="1"/>
  <c r="C66" i="2"/>
  <c r="H66" i="2"/>
  <c r="H70" i="2" s="1"/>
  <c r="H78" i="2" s="1"/>
  <c r="C326" i="1"/>
  <c r="B325" i="1"/>
  <c r="C742" i="1"/>
  <c r="B740" i="1"/>
  <c r="B800" i="1"/>
  <c r="C802" i="1"/>
  <c r="B408" i="1"/>
  <c r="C409" i="1"/>
  <c r="B513" i="1"/>
  <c r="C514" i="1"/>
  <c r="B1194" i="1"/>
  <c r="C1195" i="1"/>
  <c r="C254" i="1"/>
  <c r="B253" i="1"/>
  <c r="C705" i="1"/>
  <c r="B703" i="1"/>
  <c r="B429" i="1"/>
  <c r="C430" i="1"/>
  <c r="R66" i="2"/>
  <c r="R70" i="2" s="1"/>
  <c r="R78" i="2" s="1"/>
  <c r="Q66" i="2"/>
  <c r="Q70" i="2" s="1"/>
  <c r="Q78" i="2" s="1"/>
  <c r="P66" i="2"/>
  <c r="P70" i="2" s="1"/>
  <c r="P78" i="2" s="1"/>
  <c r="O66" i="2"/>
  <c r="O70" i="2" s="1"/>
  <c r="O78" i="2" s="1"/>
  <c r="N66" i="2"/>
  <c r="N70" i="2" s="1"/>
  <c r="N78" i="2" s="1"/>
  <c r="M66" i="2"/>
  <c r="C599" i="1"/>
  <c r="B598" i="1"/>
  <c r="B446" i="1"/>
  <c r="C447" i="1"/>
  <c r="C7" i="1"/>
  <c r="B6" i="1"/>
  <c r="Z66" i="2"/>
  <c r="Z70" i="2" s="1"/>
  <c r="Z78" i="2" s="1"/>
  <c r="B423" i="1"/>
  <c r="C424" i="1"/>
  <c r="C803" i="1"/>
  <c r="B801" i="1"/>
  <c r="C469" i="1"/>
  <c r="B468" i="1"/>
  <c r="B820" i="1"/>
  <c r="C821" i="1"/>
  <c r="B177" i="1"/>
  <c r="C178" i="1"/>
  <c r="C722" i="1"/>
  <c r="B720" i="1"/>
  <c r="B24" i="4"/>
  <c r="C25" i="4"/>
  <c r="B721" i="1"/>
  <c r="C723" i="1"/>
  <c r="C490" i="1"/>
  <c r="B489" i="1"/>
  <c r="C1143" i="1"/>
  <c r="B1142" i="1"/>
  <c r="B969" i="1"/>
  <c r="C970" i="1"/>
  <c r="B275" i="1"/>
  <c r="C276" i="1"/>
  <c r="C841" i="1"/>
  <c r="B840" i="1"/>
  <c r="M70" i="2" l="1"/>
  <c r="M78" i="2" s="1"/>
  <c r="M81" i="2" s="1"/>
  <c r="C32" i="1"/>
  <c r="C1019" i="1"/>
  <c r="C544" i="1"/>
  <c r="B940" i="1"/>
  <c r="C941" i="1"/>
  <c r="B1043" i="1"/>
  <c r="C1044" i="1"/>
  <c r="B351" i="1"/>
  <c r="C352" i="1"/>
  <c r="B992" i="1"/>
  <c r="C993" i="1"/>
  <c r="B760" i="1"/>
  <c r="C762" i="1"/>
  <c r="C1223" i="1"/>
  <c r="B1222" i="1"/>
  <c r="C1095" i="1"/>
  <c r="B1094" i="1"/>
  <c r="B454" i="1"/>
  <c r="C455" i="1"/>
  <c r="B1170" i="1"/>
  <c r="C1171" i="1"/>
  <c r="M82" i="2"/>
  <c r="H5" i="4" s="1"/>
  <c r="W81" i="2"/>
  <c r="W82" i="2"/>
  <c r="B723" i="1"/>
  <c r="C725" i="1"/>
  <c r="C580" i="1"/>
  <c r="B579" i="1"/>
  <c r="C207" i="1"/>
  <c r="B206" i="1"/>
  <c r="C706" i="1"/>
  <c r="B704" i="1"/>
  <c r="B7" i="1"/>
  <c r="C8" i="1"/>
  <c r="B841" i="1"/>
  <c r="C842" i="1"/>
  <c r="B447" i="1"/>
  <c r="C448" i="1"/>
  <c r="B970" i="1"/>
  <c r="C971" i="1"/>
  <c r="C805" i="1"/>
  <c r="B803" i="1"/>
  <c r="C600" i="1"/>
  <c r="B599" i="1"/>
  <c r="B228" i="1"/>
  <c r="C229" i="1"/>
  <c r="C403" i="1"/>
  <c r="B402" i="1"/>
  <c r="C744" i="1"/>
  <c r="B742" i="1"/>
  <c r="C787" i="1"/>
  <c r="B785" i="1"/>
  <c r="C464" i="1"/>
  <c r="B464" i="1" s="1"/>
  <c r="B463" i="1"/>
  <c r="C508" i="1"/>
  <c r="B507" i="1"/>
  <c r="B1019" i="1"/>
  <c r="C1020" i="1"/>
  <c r="B1143" i="1"/>
  <c r="C1144" i="1"/>
  <c r="C33" i="1"/>
  <c r="B32" i="1"/>
  <c r="C255" i="1"/>
  <c r="B254" i="1"/>
  <c r="C623" i="1"/>
  <c r="B622" i="1"/>
  <c r="C663" i="1"/>
  <c r="B662" i="1"/>
  <c r="B523" i="1"/>
  <c r="C524" i="1"/>
  <c r="B424" i="1"/>
  <c r="C425" i="1"/>
  <c r="B425" i="1" s="1"/>
  <c r="C707" i="1"/>
  <c r="B705" i="1"/>
  <c r="C724" i="1"/>
  <c r="B722" i="1"/>
  <c r="C1196" i="1"/>
  <c r="B1195" i="1"/>
  <c r="C327" i="1"/>
  <c r="B326" i="1"/>
  <c r="B894" i="1"/>
  <c r="C895" i="1"/>
  <c r="C1119" i="1"/>
  <c r="B1118" i="1"/>
  <c r="C131" i="1"/>
  <c r="B130" i="1"/>
  <c r="B25" i="4"/>
  <c r="C26" i="4"/>
  <c r="C179" i="1"/>
  <c r="B178" i="1"/>
  <c r="C743" i="1"/>
  <c r="B741" i="1"/>
  <c r="B376" i="1"/>
  <c r="C377" i="1"/>
  <c r="C103" i="1"/>
  <c r="B102" i="1"/>
  <c r="B915" i="1"/>
  <c r="C916" i="1"/>
  <c r="C56" i="1"/>
  <c r="B55" i="1"/>
  <c r="C515" i="1"/>
  <c r="B514" i="1"/>
  <c r="C311" i="1"/>
  <c r="B310" i="1"/>
  <c r="C484" i="1"/>
  <c r="B483" i="1"/>
  <c r="C686" i="1"/>
  <c r="B684" i="1"/>
  <c r="C80" i="1"/>
  <c r="B79" i="1"/>
  <c r="B821" i="1"/>
  <c r="C822" i="1"/>
  <c r="C431" i="1"/>
  <c r="B430" i="1"/>
  <c r="B304" i="1"/>
  <c r="C305" i="1"/>
  <c r="B786" i="1"/>
  <c r="C788" i="1"/>
  <c r="C1069" i="1"/>
  <c r="B1068" i="1"/>
  <c r="C67" i="2"/>
  <c r="C70" i="2"/>
  <c r="C78" i="2" s="1"/>
  <c r="B561" i="1"/>
  <c r="C562" i="1"/>
  <c r="C410" i="1"/>
  <c r="B409" i="1"/>
  <c r="C154" i="1"/>
  <c r="B153" i="1"/>
  <c r="C545" i="1"/>
  <c r="B544" i="1"/>
  <c r="C500" i="1"/>
  <c r="B499" i="1"/>
  <c r="C691" i="1"/>
  <c r="B689" i="1"/>
  <c r="B642" i="1"/>
  <c r="C643" i="1"/>
  <c r="B865" i="1"/>
  <c r="C866" i="1"/>
  <c r="C277" i="1"/>
  <c r="B276" i="1"/>
  <c r="B490" i="1"/>
  <c r="C491" i="1"/>
  <c r="C470" i="1"/>
  <c r="B469" i="1"/>
  <c r="C804" i="1"/>
  <c r="B802" i="1"/>
  <c r="B769" i="1"/>
  <c r="C771" i="1"/>
  <c r="B439" i="1"/>
  <c r="C440" i="1"/>
  <c r="C1224" i="1" l="1"/>
  <c r="B1223" i="1"/>
  <c r="C764" i="1"/>
  <c r="B762" i="1"/>
  <c r="C994" i="1"/>
  <c r="B993" i="1"/>
  <c r="B1171" i="1"/>
  <c r="C1172" i="1"/>
  <c r="B352" i="1"/>
  <c r="C353" i="1"/>
  <c r="C456" i="1"/>
  <c r="B455" i="1"/>
  <c r="C1045" i="1"/>
  <c r="B1044" i="1"/>
  <c r="C942" i="1"/>
  <c r="B941" i="1"/>
  <c r="C1096" i="1"/>
  <c r="B1095" i="1"/>
  <c r="B895" i="1"/>
  <c r="C896" i="1"/>
  <c r="C581" i="1"/>
  <c r="B580" i="1"/>
  <c r="B448" i="1"/>
  <c r="C449" i="1"/>
  <c r="B449" i="1" s="1"/>
  <c r="B971" i="1"/>
  <c r="C972" i="1"/>
  <c r="C1145" i="1"/>
  <c r="B1144" i="1"/>
  <c r="C727" i="1"/>
  <c r="B725" i="1"/>
  <c r="B562" i="1"/>
  <c r="C563" i="1"/>
  <c r="C81" i="2"/>
  <c r="C82" i="2"/>
  <c r="B508" i="1"/>
  <c r="C509" i="1"/>
  <c r="B509" i="1" s="1"/>
  <c r="B56" i="1"/>
  <c r="C57" i="1"/>
  <c r="C180" i="1"/>
  <c r="B179" i="1"/>
  <c r="C328" i="1"/>
  <c r="B327" i="1"/>
  <c r="B403" i="1"/>
  <c r="C404" i="1"/>
  <c r="B404" i="1" s="1"/>
  <c r="B842" i="1"/>
  <c r="C843" i="1"/>
  <c r="B743" i="1"/>
  <c r="C745" i="1"/>
  <c r="B491" i="1"/>
  <c r="C492" i="1"/>
  <c r="C34" i="1"/>
  <c r="B33" i="1"/>
  <c r="B707" i="1"/>
  <c r="C709" i="1"/>
  <c r="B916" i="1"/>
  <c r="C917" i="1"/>
  <c r="B229" i="1"/>
  <c r="C230" i="1"/>
  <c r="B440" i="1"/>
  <c r="C441" i="1"/>
  <c r="B441" i="1" s="1"/>
  <c r="C790" i="1"/>
  <c r="B788" i="1"/>
  <c r="B1196" i="1"/>
  <c r="C1197" i="1"/>
  <c r="C9" i="1"/>
  <c r="B8" i="1"/>
  <c r="C256" i="1"/>
  <c r="B255" i="1"/>
  <c r="C262" i="1"/>
  <c r="B470" i="1"/>
  <c r="C471" i="1"/>
  <c r="B471" i="1" s="1"/>
  <c r="B26" i="4"/>
  <c r="C27" i="4"/>
  <c r="C501" i="1"/>
  <c r="B501" i="1" s="1"/>
  <c r="B500" i="1"/>
  <c r="B277" i="1"/>
  <c r="C278" i="1"/>
  <c r="B686" i="1"/>
  <c r="C688" i="1"/>
  <c r="C546" i="1"/>
  <c r="B545" i="1"/>
  <c r="C485" i="1"/>
  <c r="B485" i="1" s="1"/>
  <c r="B484" i="1"/>
  <c r="B103" i="1"/>
  <c r="C104" i="1"/>
  <c r="C726" i="1"/>
  <c r="B724" i="1"/>
  <c r="B663" i="1"/>
  <c r="C664" i="1"/>
  <c r="C789" i="1"/>
  <c r="B787" i="1"/>
  <c r="B311" i="1"/>
  <c r="C312" i="1"/>
  <c r="B600" i="1"/>
  <c r="C601" i="1"/>
  <c r="B706" i="1"/>
  <c r="C708" i="1"/>
  <c r="B524" i="1"/>
  <c r="C525" i="1"/>
  <c r="B771" i="1"/>
  <c r="C773" i="1"/>
  <c r="B773" i="1" s="1"/>
  <c r="C867" i="1"/>
  <c r="B866" i="1"/>
  <c r="C155" i="1"/>
  <c r="B154" i="1"/>
  <c r="L1169" i="1"/>
  <c r="L1118" i="1"/>
  <c r="L1195" i="1"/>
  <c r="L1093" i="1"/>
  <c r="L1221" i="1"/>
  <c r="L1068" i="1"/>
  <c r="L1143" i="1"/>
  <c r="L966" i="1"/>
  <c r="L890" i="1"/>
  <c r="L992" i="1"/>
  <c r="L915" i="1"/>
  <c r="L940" i="1"/>
  <c r="L1018" i="1"/>
  <c r="L820" i="1"/>
  <c r="L757" i="1"/>
  <c r="L700" i="1"/>
  <c r="L865" i="1"/>
  <c r="L738" i="1"/>
  <c r="L619" i="1"/>
  <c r="L799" i="1"/>
  <c r="L719" i="1"/>
  <c r="L1043" i="1"/>
  <c r="L541" i="1"/>
  <c r="L482" i="1"/>
  <c r="L461" i="1"/>
  <c r="L453" i="1"/>
  <c r="L445" i="1"/>
  <c r="L437" i="1"/>
  <c r="L429" i="1"/>
  <c r="L840" i="1"/>
  <c r="L778" i="1"/>
  <c r="L579" i="1"/>
  <c r="L497" i="1"/>
  <c r="L560" i="1"/>
  <c r="L681" i="1"/>
  <c r="L598" i="1"/>
  <c r="L661" i="1"/>
  <c r="L475" i="1"/>
  <c r="L468" i="1"/>
  <c r="L522" i="1"/>
  <c r="L489" i="1"/>
  <c r="L374" i="1"/>
  <c r="L640" i="1"/>
  <c r="L513" i="1"/>
  <c r="L505" i="1"/>
  <c r="L28" i="1"/>
  <c r="L100" i="1"/>
  <c r="L408" i="1"/>
  <c r="L415" i="1"/>
  <c r="L401" i="1"/>
  <c r="L324" i="1"/>
  <c r="L299" i="1"/>
  <c r="L422" i="1"/>
  <c r="L349" i="1"/>
  <c r="L275" i="1"/>
  <c r="L251" i="1"/>
  <c r="L176" i="1"/>
  <c r="L151" i="1"/>
  <c r="L4" i="1"/>
  <c r="L52" i="1"/>
  <c r="L76" i="1"/>
  <c r="L227" i="1"/>
  <c r="L126" i="1"/>
  <c r="L203" i="1"/>
  <c r="C823" i="1"/>
  <c r="B822" i="1"/>
  <c r="C1120" i="1"/>
  <c r="B1119" i="1"/>
  <c r="C1021" i="1"/>
  <c r="B1020" i="1"/>
  <c r="C693" i="1"/>
  <c r="B691" i="1"/>
  <c r="C81" i="1"/>
  <c r="B80" i="1"/>
  <c r="B1069" i="1"/>
  <c r="C1070" i="1"/>
  <c r="C306" i="1"/>
  <c r="B305" i="1"/>
  <c r="C378" i="1"/>
  <c r="B377" i="1"/>
  <c r="B643" i="1"/>
  <c r="C644" i="1"/>
  <c r="B131" i="1"/>
  <c r="C132" i="1"/>
  <c r="C137" i="1"/>
  <c r="B623" i="1"/>
  <c r="C624" i="1"/>
  <c r="C746" i="1"/>
  <c r="B744" i="1"/>
  <c r="B804" i="1"/>
  <c r="C806" i="1"/>
  <c r="C411" i="1"/>
  <c r="B411" i="1" s="1"/>
  <c r="B410" i="1"/>
  <c r="C432" i="1"/>
  <c r="B431" i="1"/>
  <c r="C516" i="1"/>
  <c r="B515" i="1"/>
  <c r="C807" i="1"/>
  <c r="B805" i="1"/>
  <c r="C214" i="1"/>
  <c r="B207" i="1"/>
  <c r="C208" i="1"/>
  <c r="B456" i="1" l="1"/>
  <c r="C457" i="1"/>
  <c r="B457" i="1" s="1"/>
  <c r="C354" i="1"/>
  <c r="B353" i="1"/>
  <c r="C1173" i="1"/>
  <c r="B1172" i="1"/>
  <c r="B1096" i="1"/>
  <c r="C1097" i="1"/>
  <c r="B994" i="1"/>
  <c r="C995" i="1"/>
  <c r="B764" i="1"/>
  <c r="C766" i="1"/>
  <c r="C943" i="1"/>
  <c r="B942" i="1"/>
  <c r="B1045" i="1"/>
  <c r="C1046" i="1"/>
  <c r="C1225" i="1"/>
  <c r="B1224" i="1"/>
  <c r="B823" i="1"/>
  <c r="C824" i="1"/>
  <c r="C313" i="1"/>
  <c r="B313" i="1" s="1"/>
  <c r="B312" i="1"/>
  <c r="B917" i="1"/>
  <c r="C918" i="1"/>
  <c r="C846" i="1"/>
  <c r="B843" i="1"/>
  <c r="C973" i="1"/>
  <c r="B972" i="1"/>
  <c r="B516" i="1"/>
  <c r="C517" i="1"/>
  <c r="B517" i="1" s="1"/>
  <c r="C138" i="1"/>
  <c r="B137" i="1"/>
  <c r="B9" i="1"/>
  <c r="C10" i="1"/>
  <c r="B132" i="1"/>
  <c r="C133" i="1"/>
  <c r="B709" i="1"/>
  <c r="C711" i="1"/>
  <c r="C526" i="1"/>
  <c r="B525" i="1"/>
  <c r="C791" i="1"/>
  <c r="B789" i="1"/>
  <c r="B104" i="1"/>
  <c r="C105" i="1"/>
  <c r="C1198" i="1"/>
  <c r="B1197" i="1"/>
  <c r="C625" i="1"/>
  <c r="B624" i="1"/>
  <c r="B81" i="1"/>
  <c r="C82" i="1"/>
  <c r="B563" i="1"/>
  <c r="C564" i="1"/>
  <c r="C665" i="1"/>
  <c r="B664" i="1"/>
  <c r="B328" i="1"/>
  <c r="C329" i="1"/>
  <c r="B432" i="1"/>
  <c r="C433" i="1"/>
  <c r="B433" i="1" s="1"/>
  <c r="B746" i="1"/>
  <c r="C748" i="1"/>
  <c r="C209" i="1"/>
  <c r="B208" i="1"/>
  <c r="B644" i="1"/>
  <c r="C645" i="1"/>
  <c r="C28" i="4"/>
  <c r="B27" i="4"/>
  <c r="B214" i="1"/>
  <c r="C215" i="1"/>
  <c r="B806" i="1"/>
  <c r="C808" i="1"/>
  <c r="C695" i="1"/>
  <c r="B695" i="1" s="1"/>
  <c r="B693" i="1"/>
  <c r="B708" i="1"/>
  <c r="C710" i="1"/>
  <c r="C792" i="1"/>
  <c r="B790" i="1"/>
  <c r="B34" i="1"/>
  <c r="C35" i="1"/>
  <c r="C181" i="1"/>
  <c r="B180" i="1"/>
  <c r="B727" i="1"/>
  <c r="C729" i="1"/>
  <c r="C1071" i="1"/>
  <c r="B1070" i="1"/>
  <c r="B807" i="1"/>
  <c r="C809" i="1"/>
  <c r="C379" i="1"/>
  <c r="B378" i="1"/>
  <c r="C1022" i="1"/>
  <c r="B1021" i="1"/>
  <c r="C156" i="1"/>
  <c r="B155" i="1"/>
  <c r="B726" i="1"/>
  <c r="C728" i="1"/>
  <c r="B546" i="1"/>
  <c r="C547" i="1"/>
  <c r="B492" i="1"/>
  <c r="C493" i="1"/>
  <c r="B493" i="1" s="1"/>
  <c r="C58" i="1"/>
  <c r="B57" i="1"/>
  <c r="C582" i="1"/>
  <c r="B581" i="1"/>
  <c r="B601" i="1"/>
  <c r="C602" i="1"/>
  <c r="B688" i="1"/>
  <c r="C690" i="1"/>
  <c r="B262" i="1"/>
  <c r="C263" i="1"/>
  <c r="B1145" i="1"/>
  <c r="C1146" i="1"/>
  <c r="C897" i="1"/>
  <c r="B896" i="1"/>
  <c r="C307" i="1"/>
  <c r="B306" i="1"/>
  <c r="C1121" i="1"/>
  <c r="B1120" i="1"/>
  <c r="C868" i="1"/>
  <c r="B867" i="1"/>
  <c r="C231" i="1"/>
  <c r="B230" i="1"/>
  <c r="C747" i="1"/>
  <c r="B745" i="1"/>
  <c r="B278" i="1"/>
  <c r="C279" i="1"/>
  <c r="B256" i="1"/>
  <c r="C257" i="1"/>
  <c r="B766" i="1" l="1"/>
  <c r="C768" i="1"/>
  <c r="B995" i="1"/>
  <c r="C996" i="1"/>
  <c r="B1225" i="1"/>
  <c r="C1226" i="1"/>
  <c r="C1174" i="1"/>
  <c r="B1173" i="1"/>
  <c r="C1047" i="1"/>
  <c r="B1046" i="1"/>
  <c r="B354" i="1"/>
  <c r="C360" i="1"/>
  <c r="C355" i="1"/>
  <c r="C1098" i="1"/>
  <c r="B1097" i="1"/>
  <c r="C944" i="1"/>
  <c r="B943" i="1"/>
  <c r="B307" i="1"/>
  <c r="C308" i="1"/>
  <c r="C286" i="1"/>
  <c r="B279" i="1"/>
  <c r="C280" i="1"/>
  <c r="C157" i="1"/>
  <c r="B156" i="1"/>
  <c r="C162" i="1"/>
  <c r="C583" i="1"/>
  <c r="B582" i="1"/>
  <c r="B82" i="1"/>
  <c r="C83" i="1"/>
  <c r="B602" i="1"/>
  <c r="C603" i="1"/>
  <c r="C216" i="1"/>
  <c r="B215" i="1"/>
  <c r="C29" i="4"/>
  <c r="B28" i="4"/>
  <c r="B526" i="1"/>
  <c r="C527" i="1"/>
  <c r="B645" i="1"/>
  <c r="C646" i="1"/>
  <c r="C713" i="1"/>
  <c r="B711" i="1"/>
  <c r="C59" i="1"/>
  <c r="B58" i="1"/>
  <c r="C139" i="1"/>
  <c r="B138" i="1"/>
  <c r="B209" i="1"/>
  <c r="C210" i="1"/>
  <c r="C134" i="1"/>
  <c r="B133" i="1"/>
  <c r="B918" i="1"/>
  <c r="C919" i="1"/>
  <c r="C182" i="1"/>
  <c r="B181" i="1"/>
  <c r="C187" i="1"/>
  <c r="B187" i="1" s="1"/>
  <c r="B791" i="1"/>
  <c r="C793" i="1"/>
  <c r="C749" i="1"/>
  <c r="B747" i="1"/>
  <c r="B710" i="1"/>
  <c r="C712" i="1"/>
  <c r="C548" i="1"/>
  <c r="B547" i="1"/>
  <c r="B748" i="1"/>
  <c r="C750" i="1"/>
  <c r="B665" i="1"/>
  <c r="C666" i="1"/>
  <c r="B1198" i="1"/>
  <c r="C1199" i="1"/>
  <c r="C1122" i="1"/>
  <c r="B1121" i="1"/>
  <c r="C36" i="1"/>
  <c r="B35" i="1"/>
  <c r="B329" i="1"/>
  <c r="C335" i="1"/>
  <c r="C330" i="1"/>
  <c r="C1023" i="1"/>
  <c r="B1022" i="1"/>
  <c r="B897" i="1"/>
  <c r="C898" i="1"/>
  <c r="C1147" i="1"/>
  <c r="B1146" i="1"/>
  <c r="C232" i="1"/>
  <c r="B231" i="1"/>
  <c r="B973" i="1"/>
  <c r="C974" i="1"/>
  <c r="B379" i="1"/>
  <c r="C380" i="1"/>
  <c r="C794" i="1"/>
  <c r="B794" i="1" s="1"/>
  <c r="B792" i="1"/>
  <c r="B263" i="1"/>
  <c r="C264" i="1"/>
  <c r="C869" i="1"/>
  <c r="B868" i="1"/>
  <c r="B728" i="1"/>
  <c r="C730" i="1"/>
  <c r="C731" i="1"/>
  <c r="B729" i="1"/>
  <c r="B808" i="1"/>
  <c r="C810" i="1"/>
  <c r="C106" i="1"/>
  <c r="B105" i="1"/>
  <c r="B824" i="1"/>
  <c r="C825" i="1"/>
  <c r="C811" i="1"/>
  <c r="B809" i="1"/>
  <c r="C626" i="1"/>
  <c r="B625" i="1"/>
  <c r="B690" i="1"/>
  <c r="C692" i="1"/>
  <c r="B1071" i="1"/>
  <c r="C1072" i="1"/>
  <c r="B257" i="1"/>
  <c r="C258" i="1"/>
  <c r="C565" i="1"/>
  <c r="B564" i="1"/>
  <c r="B10" i="1"/>
  <c r="C11" i="1"/>
  <c r="B846" i="1"/>
  <c r="C844" i="1"/>
  <c r="C361" i="1" l="1"/>
  <c r="B360" i="1"/>
  <c r="C1048" i="1"/>
  <c r="B1047" i="1"/>
  <c r="B1174" i="1"/>
  <c r="C1175" i="1"/>
  <c r="C1227" i="1"/>
  <c r="B1226" i="1"/>
  <c r="C945" i="1"/>
  <c r="B944" i="1"/>
  <c r="C997" i="1"/>
  <c r="B996" i="1"/>
  <c r="B1098" i="1"/>
  <c r="C1099" i="1"/>
  <c r="B768" i="1"/>
  <c r="C770" i="1"/>
  <c r="B355" i="1"/>
  <c r="C356" i="1"/>
  <c r="C30" i="4"/>
  <c r="B29" i="4"/>
  <c r="B898" i="1"/>
  <c r="C899" i="1"/>
  <c r="C1200" i="1"/>
  <c r="B1199" i="1"/>
  <c r="C751" i="1"/>
  <c r="B749" i="1"/>
  <c r="C135" i="1"/>
  <c r="B134" i="1"/>
  <c r="C584" i="1"/>
  <c r="B583" i="1"/>
  <c r="C107" i="1"/>
  <c r="B106" i="1"/>
  <c r="B264" i="1"/>
  <c r="C265" i="1"/>
  <c r="B265" i="1" s="1"/>
  <c r="C1073" i="1"/>
  <c r="B1072" i="1"/>
  <c r="C975" i="1"/>
  <c r="B974" i="1"/>
  <c r="B210" i="1"/>
  <c r="C211" i="1"/>
  <c r="C528" i="1"/>
  <c r="B527" i="1"/>
  <c r="C1024" i="1"/>
  <c r="B1023" i="1"/>
  <c r="B335" i="1"/>
  <c r="C336" i="1"/>
  <c r="B750" i="1"/>
  <c r="C752" i="1"/>
  <c r="B752" i="1" s="1"/>
  <c r="B216" i="1"/>
  <c r="C217" i="1"/>
  <c r="B217" i="1" s="1"/>
  <c r="C163" i="1"/>
  <c r="B162" i="1"/>
  <c r="B692" i="1"/>
  <c r="C694" i="1"/>
  <c r="B139" i="1"/>
  <c r="C140" i="1"/>
  <c r="B140" i="1" s="1"/>
  <c r="C12" i="1"/>
  <c r="B11" i="1"/>
  <c r="B182" i="1"/>
  <c r="C188" i="1"/>
  <c r="C183" i="1"/>
  <c r="B59" i="1"/>
  <c r="C60" i="1"/>
  <c r="C604" i="1"/>
  <c r="B603" i="1"/>
  <c r="C870" i="1"/>
  <c r="B869" i="1"/>
  <c r="C667" i="1"/>
  <c r="B666" i="1"/>
  <c r="C238" i="1"/>
  <c r="C233" i="1"/>
  <c r="B232" i="1"/>
  <c r="C920" i="1"/>
  <c r="B919" i="1"/>
  <c r="B157" i="1"/>
  <c r="C158" i="1"/>
  <c r="C795" i="1"/>
  <c r="B795" i="1" s="1"/>
  <c r="B793" i="1"/>
  <c r="B36" i="1"/>
  <c r="C37" i="1"/>
  <c r="B548" i="1"/>
  <c r="C549" i="1"/>
  <c r="C715" i="1"/>
  <c r="B715" i="1" s="1"/>
  <c r="B713" i="1"/>
  <c r="B280" i="1"/>
  <c r="C281" i="1"/>
  <c r="C813" i="1"/>
  <c r="B811" i="1"/>
  <c r="B825" i="1"/>
  <c r="C826" i="1"/>
  <c r="B712" i="1"/>
  <c r="C714" i="1"/>
  <c r="B714" i="1" s="1"/>
  <c r="C647" i="1"/>
  <c r="B646" i="1"/>
  <c r="C84" i="1"/>
  <c r="B83" i="1"/>
  <c r="C315" i="1"/>
  <c r="C309" i="1"/>
  <c r="B309" i="1" s="1"/>
  <c r="B308" i="1"/>
  <c r="C812" i="1"/>
  <c r="B810" i="1"/>
  <c r="C566" i="1"/>
  <c r="B565" i="1"/>
  <c r="C733" i="1"/>
  <c r="B733" i="1" s="1"/>
  <c r="B731" i="1"/>
  <c r="C381" i="1"/>
  <c r="B380" i="1"/>
  <c r="B286" i="1"/>
  <c r="C287" i="1"/>
  <c r="C845" i="1"/>
  <c r="B844" i="1"/>
  <c r="B330" i="1"/>
  <c r="C331" i="1"/>
  <c r="B626" i="1"/>
  <c r="C627" i="1"/>
  <c r="B258" i="1"/>
  <c r="C259" i="1"/>
  <c r="B730" i="1"/>
  <c r="C732" i="1"/>
  <c r="B1147" i="1"/>
  <c r="C1148" i="1"/>
  <c r="B1122" i="1"/>
  <c r="C1123" i="1"/>
  <c r="C998" i="1" l="1"/>
  <c r="B997" i="1"/>
  <c r="C946" i="1"/>
  <c r="B945" i="1"/>
  <c r="B1227" i="1"/>
  <c r="C1228" i="1"/>
  <c r="C357" i="1"/>
  <c r="B356" i="1"/>
  <c r="B1175" i="1"/>
  <c r="C1176" i="1"/>
  <c r="C772" i="1"/>
  <c r="B770" i="1"/>
  <c r="C1049" i="1"/>
  <c r="B1048" i="1"/>
  <c r="C1100" i="1"/>
  <c r="B1099" i="1"/>
  <c r="B361" i="1"/>
  <c r="C362" i="1"/>
  <c r="C921" i="1"/>
  <c r="B920" i="1"/>
  <c r="C61" i="1"/>
  <c r="B60" i="1"/>
  <c r="C1074" i="1"/>
  <c r="B1073" i="1"/>
  <c r="B135" i="1"/>
  <c r="C136" i="1"/>
  <c r="B1123" i="1"/>
  <c r="C1124" i="1"/>
  <c r="C234" i="1"/>
  <c r="B233" i="1"/>
  <c r="C184" i="1"/>
  <c r="B183" i="1"/>
  <c r="B751" i="1"/>
  <c r="C753" i="1"/>
  <c r="B753" i="1" s="1"/>
  <c r="C382" i="1"/>
  <c r="B381" i="1"/>
  <c r="C815" i="1"/>
  <c r="B815" i="1" s="1"/>
  <c r="B813" i="1"/>
  <c r="B331" i="1"/>
  <c r="C332" i="1"/>
  <c r="B84" i="1"/>
  <c r="C85" i="1"/>
  <c r="B281" i="1"/>
  <c r="C282" i="1"/>
  <c r="C239" i="1"/>
  <c r="B238" i="1"/>
  <c r="C189" i="1"/>
  <c r="B188" i="1"/>
  <c r="C164" i="1"/>
  <c r="B163" i="1"/>
  <c r="B826" i="1"/>
  <c r="C827" i="1"/>
  <c r="B694" i="1"/>
  <c r="C696" i="1"/>
  <c r="B696" i="1" s="1"/>
  <c r="C628" i="1"/>
  <c r="B627" i="1"/>
  <c r="B107" i="1"/>
  <c r="C108" i="1"/>
  <c r="B1200" i="1"/>
  <c r="C1201" i="1"/>
  <c r="C38" i="1"/>
  <c r="B37" i="1"/>
  <c r="C668" i="1"/>
  <c r="B667" i="1"/>
  <c r="B899" i="1"/>
  <c r="C900" i="1"/>
  <c r="C1149" i="1"/>
  <c r="B1148" i="1"/>
  <c r="C734" i="1"/>
  <c r="B734" i="1" s="1"/>
  <c r="B732" i="1"/>
  <c r="C567" i="1"/>
  <c r="B566" i="1"/>
  <c r="B647" i="1"/>
  <c r="C648" i="1"/>
  <c r="C529" i="1"/>
  <c r="B528" i="1"/>
  <c r="B870" i="1"/>
  <c r="C871" i="1"/>
  <c r="B211" i="1"/>
  <c r="C212" i="1"/>
  <c r="B584" i="1"/>
  <c r="C585" i="1"/>
  <c r="B259" i="1"/>
  <c r="C260" i="1"/>
  <c r="C316" i="1"/>
  <c r="B315" i="1"/>
  <c r="C858" i="1"/>
  <c r="B845" i="1"/>
  <c r="C814" i="1"/>
  <c r="B812" i="1"/>
  <c r="C159" i="1"/>
  <c r="B158" i="1"/>
  <c r="C13" i="1"/>
  <c r="B12" i="1"/>
  <c r="B1024" i="1"/>
  <c r="C1025" i="1"/>
  <c r="C288" i="1"/>
  <c r="B287" i="1"/>
  <c r="C550" i="1"/>
  <c r="B549" i="1"/>
  <c r="B336" i="1"/>
  <c r="C337" i="1"/>
  <c r="B30" i="4"/>
  <c r="C31" i="4"/>
  <c r="C605" i="1"/>
  <c r="B604" i="1"/>
  <c r="B975" i="1"/>
  <c r="C976" i="1"/>
  <c r="B1176" i="1" l="1"/>
  <c r="C1177" i="1"/>
  <c r="C774" i="1"/>
  <c r="B774" i="1" s="1"/>
  <c r="B772" i="1"/>
  <c r="C358" i="1"/>
  <c r="B357" i="1"/>
  <c r="B362" i="1"/>
  <c r="C363" i="1"/>
  <c r="B363" i="1" s="1"/>
  <c r="C1229" i="1"/>
  <c r="B1228" i="1"/>
  <c r="B1100" i="1"/>
  <c r="C1101" i="1"/>
  <c r="C947" i="1"/>
  <c r="B946" i="1"/>
  <c r="C1050" i="1"/>
  <c r="B1049" i="1"/>
  <c r="B998" i="1"/>
  <c r="C999" i="1"/>
  <c r="C1202" i="1"/>
  <c r="B1201" i="1"/>
  <c r="B1124" i="1"/>
  <c r="C1125" i="1"/>
  <c r="B529" i="1"/>
  <c r="C530" i="1"/>
  <c r="B585" i="1"/>
  <c r="C586" i="1"/>
  <c r="B164" i="1"/>
  <c r="C165" i="1"/>
  <c r="B165" i="1" s="1"/>
  <c r="C20" i="1"/>
  <c r="C14" i="1"/>
  <c r="B13" i="1"/>
  <c r="C1150" i="1"/>
  <c r="B1149" i="1"/>
  <c r="C109" i="1"/>
  <c r="B108" i="1"/>
  <c r="C142" i="1"/>
  <c r="B136" i="1"/>
  <c r="C606" i="1"/>
  <c r="B605" i="1"/>
  <c r="B814" i="1"/>
  <c r="C816" i="1"/>
  <c r="B816" i="1" s="1"/>
  <c r="B212" i="1"/>
  <c r="C219" i="1"/>
  <c r="C213" i="1"/>
  <c r="B213" i="1" s="1"/>
  <c r="B189" i="1"/>
  <c r="C190" i="1"/>
  <c r="B190" i="1" s="1"/>
  <c r="B382" i="1"/>
  <c r="C383" i="1"/>
  <c r="B288" i="1"/>
  <c r="C289" i="1"/>
  <c r="B289" i="1" s="1"/>
  <c r="C859" i="1"/>
  <c r="B859" i="1" s="1"/>
  <c r="C847" i="1"/>
  <c r="B858" i="1"/>
  <c r="C649" i="1"/>
  <c r="B648" i="1"/>
  <c r="B900" i="1"/>
  <c r="C901" i="1"/>
  <c r="C240" i="1"/>
  <c r="B239" i="1"/>
  <c r="C1075" i="1"/>
  <c r="B1074" i="1"/>
  <c r="C629" i="1"/>
  <c r="B628" i="1"/>
  <c r="B282" i="1"/>
  <c r="C283" i="1"/>
  <c r="B184" i="1"/>
  <c r="C185" i="1"/>
  <c r="B61" i="1"/>
  <c r="C62" i="1"/>
  <c r="B31" i="4"/>
  <c r="C32" i="4"/>
  <c r="B316" i="1"/>
  <c r="C317" i="1"/>
  <c r="C872" i="1"/>
  <c r="B871" i="1"/>
  <c r="C568" i="1"/>
  <c r="B567" i="1"/>
  <c r="B85" i="1"/>
  <c r="C86" i="1"/>
  <c r="B159" i="1"/>
  <c r="C160" i="1"/>
  <c r="C1026" i="1"/>
  <c r="B1025" i="1"/>
  <c r="C551" i="1"/>
  <c r="B550" i="1"/>
  <c r="B668" i="1"/>
  <c r="C669" i="1"/>
  <c r="B827" i="1"/>
  <c r="C828" i="1"/>
  <c r="C235" i="1"/>
  <c r="B234" i="1"/>
  <c r="C922" i="1"/>
  <c r="B921" i="1"/>
  <c r="C39" i="1"/>
  <c r="C44" i="1"/>
  <c r="B38" i="1"/>
  <c r="C338" i="1"/>
  <c r="B338" i="1" s="1"/>
  <c r="B337" i="1"/>
  <c r="C977" i="1"/>
  <c r="B976" i="1"/>
  <c r="C261" i="1"/>
  <c r="B261" i="1" s="1"/>
  <c r="B260" i="1"/>
  <c r="C267" i="1"/>
  <c r="B332" i="1"/>
  <c r="C333" i="1"/>
  <c r="C1230" i="1" l="1"/>
  <c r="B1229" i="1"/>
  <c r="C1000" i="1"/>
  <c r="B999" i="1"/>
  <c r="C1102" i="1"/>
  <c r="B1101" i="1"/>
  <c r="B358" i="1"/>
  <c r="C359" i="1"/>
  <c r="C1051" i="1"/>
  <c r="B1050" i="1"/>
  <c r="C1178" i="1"/>
  <c r="B1177" i="1"/>
  <c r="B947" i="1"/>
  <c r="C948" i="1"/>
  <c r="C186" i="1"/>
  <c r="B185" i="1"/>
  <c r="B606" i="1"/>
  <c r="C607" i="1"/>
  <c r="C873" i="1"/>
  <c r="B872" i="1"/>
  <c r="B649" i="1"/>
  <c r="C650" i="1"/>
  <c r="C384" i="1"/>
  <c r="B383" i="1"/>
  <c r="B142" i="1"/>
  <c r="C143" i="1"/>
  <c r="C587" i="1"/>
  <c r="B586" i="1"/>
  <c r="B44" i="1"/>
  <c r="C45" i="1"/>
  <c r="B283" i="1"/>
  <c r="C284" i="1"/>
  <c r="B39" i="1"/>
  <c r="C40" i="1"/>
  <c r="C552" i="1"/>
  <c r="B551" i="1"/>
  <c r="C569" i="1"/>
  <c r="B568" i="1"/>
  <c r="C334" i="1"/>
  <c r="B333" i="1"/>
  <c r="C978" i="1"/>
  <c r="B977" i="1"/>
  <c r="C318" i="1"/>
  <c r="B317" i="1"/>
  <c r="B847" i="1"/>
  <c r="C848" i="1"/>
  <c r="C110" i="1"/>
  <c r="B109" i="1"/>
  <c r="B530" i="1"/>
  <c r="C531" i="1"/>
  <c r="B922" i="1"/>
  <c r="C923" i="1"/>
  <c r="C1027" i="1"/>
  <c r="B1026" i="1"/>
  <c r="B629" i="1"/>
  <c r="C630" i="1"/>
  <c r="C161" i="1"/>
  <c r="B160" i="1"/>
  <c r="C33" i="4"/>
  <c r="B32" i="4"/>
  <c r="B1150" i="1"/>
  <c r="C1151" i="1"/>
  <c r="B1125" i="1"/>
  <c r="C1126" i="1"/>
  <c r="B235" i="1"/>
  <c r="C236" i="1"/>
  <c r="C1076" i="1"/>
  <c r="B1075" i="1"/>
  <c r="C220" i="1"/>
  <c r="B219" i="1"/>
  <c r="B828" i="1"/>
  <c r="C829" i="1"/>
  <c r="B86" i="1"/>
  <c r="C87" i="1"/>
  <c r="C92" i="1"/>
  <c r="C15" i="1"/>
  <c r="B14" i="1"/>
  <c r="B267" i="1"/>
  <c r="C268" i="1"/>
  <c r="C241" i="1"/>
  <c r="B241" i="1" s="1"/>
  <c r="B240" i="1"/>
  <c r="C23" i="1"/>
  <c r="C22" i="1"/>
  <c r="B22" i="1" s="1"/>
  <c r="B20" i="1"/>
  <c r="C21" i="1"/>
  <c r="B21" i="1" s="1"/>
  <c r="B1202" i="1"/>
  <c r="C1203" i="1"/>
  <c r="B669" i="1"/>
  <c r="C670" i="1"/>
  <c r="C63" i="1"/>
  <c r="C68" i="1"/>
  <c r="B62" i="1"/>
  <c r="C902" i="1"/>
  <c r="B901" i="1"/>
  <c r="B1178" i="1" l="1"/>
  <c r="C1179" i="1"/>
  <c r="B1051" i="1"/>
  <c r="C1052" i="1"/>
  <c r="C365" i="1"/>
  <c r="B359" i="1"/>
  <c r="B1102" i="1"/>
  <c r="C1103" i="1"/>
  <c r="B1000" i="1"/>
  <c r="C1001" i="1"/>
  <c r="C949" i="1"/>
  <c r="B948" i="1"/>
  <c r="C1231" i="1"/>
  <c r="B1230" i="1"/>
  <c r="B334" i="1"/>
  <c r="C340" i="1"/>
  <c r="B15" i="1"/>
  <c r="C16" i="1"/>
  <c r="B902" i="1"/>
  <c r="C903" i="1"/>
  <c r="B1203" i="1"/>
  <c r="C1204" i="1"/>
  <c r="B1151" i="1"/>
  <c r="C1152" i="1"/>
  <c r="B531" i="1"/>
  <c r="C532" i="1"/>
  <c r="B45" i="1"/>
  <c r="C46" i="1"/>
  <c r="C291" i="1"/>
  <c r="C285" i="1"/>
  <c r="B285" i="1" s="1"/>
  <c r="B284" i="1"/>
  <c r="B569" i="1"/>
  <c r="C570" i="1"/>
  <c r="C874" i="1"/>
  <c r="B873" i="1"/>
  <c r="B1126" i="1"/>
  <c r="C1127" i="1"/>
  <c r="C69" i="1"/>
  <c r="B68" i="1"/>
  <c r="C93" i="1"/>
  <c r="B92" i="1"/>
  <c r="C88" i="1"/>
  <c r="B87" i="1"/>
  <c r="B33" i="4"/>
  <c r="C34" i="4"/>
  <c r="C111" i="1"/>
  <c r="B110" i="1"/>
  <c r="C117" i="1"/>
  <c r="B587" i="1"/>
  <c r="C588" i="1"/>
  <c r="C924" i="1"/>
  <c r="B923" i="1"/>
  <c r="B670" i="1"/>
  <c r="C671" i="1"/>
  <c r="C849" i="1"/>
  <c r="B848" i="1"/>
  <c r="C144" i="1"/>
  <c r="B143" i="1"/>
  <c r="B607" i="1"/>
  <c r="C608" i="1"/>
  <c r="B63" i="1"/>
  <c r="C64" i="1"/>
  <c r="B23" i="1"/>
  <c r="C24" i="1"/>
  <c r="B24" i="1" s="1"/>
  <c r="C830" i="1"/>
  <c r="B829" i="1"/>
  <c r="C221" i="1"/>
  <c r="B220" i="1"/>
  <c r="B161" i="1"/>
  <c r="C167" i="1"/>
  <c r="C553" i="1"/>
  <c r="B552" i="1"/>
  <c r="C651" i="1"/>
  <c r="B650" i="1"/>
  <c r="C631" i="1"/>
  <c r="B630" i="1"/>
  <c r="C41" i="1"/>
  <c r="B40" i="1"/>
  <c r="B1076" i="1"/>
  <c r="C1077" i="1"/>
  <c r="C319" i="1"/>
  <c r="B318" i="1"/>
  <c r="C385" i="1"/>
  <c r="B384" i="1"/>
  <c r="C269" i="1"/>
  <c r="B268" i="1"/>
  <c r="C237" i="1"/>
  <c r="B236" i="1"/>
  <c r="B1027" i="1"/>
  <c r="C1028" i="1"/>
  <c r="B978" i="1"/>
  <c r="C979" i="1"/>
  <c r="B186" i="1"/>
  <c r="C192" i="1"/>
  <c r="C1002" i="1" l="1"/>
  <c r="B1001" i="1"/>
  <c r="C1104" i="1"/>
  <c r="B1103" i="1"/>
  <c r="B365" i="1"/>
  <c r="C366" i="1"/>
  <c r="C1053" i="1"/>
  <c r="B1052" i="1"/>
  <c r="B949" i="1"/>
  <c r="C950" i="1"/>
  <c r="C1180" i="1"/>
  <c r="B1179" i="1"/>
  <c r="C1232" i="1"/>
  <c r="B1231" i="1"/>
  <c r="C1153" i="1"/>
  <c r="B1152" i="1"/>
  <c r="C980" i="1"/>
  <c r="B979" i="1"/>
  <c r="C554" i="1"/>
  <c r="B553" i="1"/>
  <c r="B608" i="1"/>
  <c r="C609" i="1"/>
  <c r="B1127" i="1"/>
  <c r="C1128" i="1"/>
  <c r="B269" i="1"/>
  <c r="C270" i="1"/>
  <c r="B167" i="1"/>
  <c r="C168" i="1"/>
  <c r="C589" i="1"/>
  <c r="B588" i="1"/>
  <c r="B1204" i="1"/>
  <c r="C1205" i="1"/>
  <c r="B1028" i="1"/>
  <c r="C1029" i="1"/>
  <c r="C243" i="1"/>
  <c r="B237" i="1"/>
  <c r="C145" i="1"/>
  <c r="B144" i="1"/>
  <c r="C118" i="1"/>
  <c r="B117" i="1"/>
  <c r="C875" i="1"/>
  <c r="B874" i="1"/>
  <c r="C904" i="1"/>
  <c r="B903" i="1"/>
  <c r="C222" i="1"/>
  <c r="B221" i="1"/>
  <c r="C571" i="1"/>
  <c r="B570" i="1"/>
  <c r="B41" i="1"/>
  <c r="C42" i="1"/>
  <c r="B42" i="1" s="1"/>
  <c r="B849" i="1"/>
  <c r="C861" i="1"/>
  <c r="B861" i="1" s="1"/>
  <c r="C852" i="1"/>
  <c r="B111" i="1"/>
  <c r="C112" i="1"/>
  <c r="C17" i="1"/>
  <c r="B16" i="1"/>
  <c r="B385" i="1"/>
  <c r="C386" i="1"/>
  <c r="B830" i="1"/>
  <c r="C831" i="1"/>
  <c r="C672" i="1"/>
  <c r="B671" i="1"/>
  <c r="C35" i="4"/>
  <c r="B34" i="4"/>
  <c r="C632" i="1"/>
  <c r="B631" i="1"/>
  <c r="B93" i="1"/>
  <c r="C94" i="1"/>
  <c r="C47" i="1"/>
  <c r="B46" i="1"/>
  <c r="C341" i="1"/>
  <c r="B340" i="1"/>
  <c r="B192" i="1"/>
  <c r="C193" i="1"/>
  <c r="B319" i="1"/>
  <c r="C320" i="1"/>
  <c r="B320" i="1" s="1"/>
  <c r="B291" i="1"/>
  <c r="C292" i="1"/>
  <c r="B1077" i="1"/>
  <c r="C1078" i="1"/>
  <c r="B64" i="1"/>
  <c r="C65" i="1"/>
  <c r="B88" i="1"/>
  <c r="C89" i="1"/>
  <c r="C70" i="1"/>
  <c r="B69" i="1"/>
  <c r="C533" i="1"/>
  <c r="B532" i="1"/>
  <c r="B651" i="1"/>
  <c r="C652" i="1"/>
  <c r="B924" i="1"/>
  <c r="C925" i="1"/>
  <c r="B1180" i="1" l="1"/>
  <c r="C1181" i="1"/>
  <c r="B950" i="1"/>
  <c r="C951" i="1"/>
  <c r="C367" i="1"/>
  <c r="B366" i="1"/>
  <c r="C1105" i="1"/>
  <c r="B1104" i="1"/>
  <c r="C1054" i="1"/>
  <c r="B1053" i="1"/>
  <c r="C1233" i="1"/>
  <c r="B1232" i="1"/>
  <c r="C1003" i="1"/>
  <c r="B1002" i="1"/>
  <c r="B17" i="1"/>
  <c r="C18" i="1"/>
  <c r="B18" i="1" s="1"/>
  <c r="B533" i="1"/>
  <c r="C534" i="1"/>
  <c r="B47" i="1"/>
  <c r="C48" i="1"/>
  <c r="B48" i="1" s="1"/>
  <c r="B112" i="1"/>
  <c r="C113" i="1"/>
  <c r="C244" i="1"/>
  <c r="B243" i="1"/>
  <c r="C293" i="1"/>
  <c r="B292" i="1"/>
  <c r="B94" i="1"/>
  <c r="C95" i="1"/>
  <c r="B1029" i="1"/>
  <c r="C1030" i="1"/>
  <c r="C1129" i="1"/>
  <c r="B1128" i="1"/>
  <c r="B852" i="1"/>
  <c r="C857" i="1"/>
  <c r="C905" i="1"/>
  <c r="B904" i="1"/>
  <c r="C36" i="4"/>
  <c r="B35" i="4"/>
  <c r="B1205" i="1"/>
  <c r="C1206" i="1"/>
  <c r="B609" i="1"/>
  <c r="C610" i="1"/>
  <c r="C926" i="1"/>
  <c r="B925" i="1"/>
  <c r="B70" i="1"/>
  <c r="C71" i="1"/>
  <c r="C876" i="1"/>
  <c r="B875" i="1"/>
  <c r="C90" i="1"/>
  <c r="B90" i="1" s="1"/>
  <c r="B89" i="1"/>
  <c r="C194" i="1"/>
  <c r="B193" i="1"/>
  <c r="C673" i="1"/>
  <c r="B672" i="1"/>
  <c r="C653" i="1"/>
  <c r="B652" i="1"/>
  <c r="B831" i="1"/>
  <c r="C832" i="1"/>
  <c r="C119" i="1"/>
  <c r="B118" i="1"/>
  <c r="B589" i="1"/>
  <c r="C590" i="1"/>
  <c r="C555" i="1"/>
  <c r="B554" i="1"/>
  <c r="C169" i="1"/>
  <c r="B168" i="1"/>
  <c r="C387" i="1"/>
  <c r="B386" i="1"/>
  <c r="B571" i="1"/>
  <c r="C572" i="1"/>
  <c r="B145" i="1"/>
  <c r="C146" i="1"/>
  <c r="B980" i="1"/>
  <c r="C981" i="1"/>
  <c r="C1079" i="1"/>
  <c r="B1078" i="1"/>
  <c r="C271" i="1"/>
  <c r="B271" i="1" s="1"/>
  <c r="B270" i="1"/>
  <c r="C66" i="1"/>
  <c r="B66" i="1" s="1"/>
  <c r="B65" i="1"/>
  <c r="B341" i="1"/>
  <c r="C342" i="1"/>
  <c r="C633" i="1"/>
  <c r="B632" i="1"/>
  <c r="C223" i="1"/>
  <c r="B223" i="1" s="1"/>
  <c r="B222" i="1"/>
  <c r="C1154" i="1"/>
  <c r="B1153" i="1"/>
  <c r="B1233" i="1" l="1"/>
  <c r="C1234" i="1"/>
  <c r="C1055" i="1"/>
  <c r="B1054" i="1"/>
  <c r="C368" i="1"/>
  <c r="B367" i="1"/>
  <c r="C1106" i="1"/>
  <c r="B1105" i="1"/>
  <c r="C952" i="1"/>
  <c r="B951" i="1"/>
  <c r="C1182" i="1"/>
  <c r="B1181" i="1"/>
  <c r="C1004" i="1"/>
  <c r="B1003" i="1"/>
  <c r="C343" i="1"/>
  <c r="B342" i="1"/>
  <c r="C611" i="1"/>
  <c r="B610" i="1"/>
  <c r="C634" i="1"/>
  <c r="B633" i="1"/>
  <c r="B1154" i="1"/>
  <c r="C1155" i="1"/>
  <c r="C556" i="1"/>
  <c r="B556" i="1" s="1"/>
  <c r="B555" i="1"/>
  <c r="C674" i="1"/>
  <c r="B673" i="1"/>
  <c r="C114" i="1"/>
  <c r="B113" i="1"/>
  <c r="B981" i="1"/>
  <c r="C982" i="1"/>
  <c r="B590" i="1"/>
  <c r="C591" i="1"/>
  <c r="C1207" i="1"/>
  <c r="B1206" i="1"/>
  <c r="C1130" i="1"/>
  <c r="B1129" i="1"/>
  <c r="B194" i="1"/>
  <c r="C198" i="1"/>
  <c r="B198" i="1" s="1"/>
  <c r="C197" i="1"/>
  <c r="B197" i="1" s="1"/>
  <c r="C196" i="1"/>
  <c r="B196" i="1" s="1"/>
  <c r="C195" i="1"/>
  <c r="B1030" i="1"/>
  <c r="C1031" i="1"/>
  <c r="C147" i="1"/>
  <c r="B147" i="1" s="1"/>
  <c r="B146" i="1"/>
  <c r="B119" i="1"/>
  <c r="C120" i="1"/>
  <c r="B36" i="4"/>
  <c r="C37" i="4"/>
  <c r="B95" i="1"/>
  <c r="C96" i="1"/>
  <c r="B96" i="1" s="1"/>
  <c r="C927" i="1"/>
  <c r="B926" i="1"/>
  <c r="C573" i="1"/>
  <c r="B572" i="1"/>
  <c r="B832" i="1"/>
  <c r="C833" i="1"/>
  <c r="B169" i="1"/>
  <c r="C170" i="1"/>
  <c r="B876" i="1"/>
  <c r="C877" i="1"/>
  <c r="C906" i="1"/>
  <c r="B905" i="1"/>
  <c r="B534" i="1"/>
  <c r="C535" i="1"/>
  <c r="C72" i="1"/>
  <c r="B72" i="1" s="1"/>
  <c r="B71" i="1"/>
  <c r="B857" i="1"/>
  <c r="C853" i="1"/>
  <c r="C294" i="1"/>
  <c r="B293" i="1"/>
  <c r="B1079" i="1"/>
  <c r="C1080" i="1"/>
  <c r="C388" i="1"/>
  <c r="B388" i="1" s="1"/>
  <c r="B387" i="1"/>
  <c r="B653" i="1"/>
  <c r="C654" i="1"/>
  <c r="B244" i="1"/>
  <c r="C245" i="1"/>
  <c r="C1183" i="1" l="1"/>
  <c r="B1182" i="1"/>
  <c r="B1004" i="1"/>
  <c r="C1005" i="1"/>
  <c r="C953" i="1"/>
  <c r="B952" i="1"/>
  <c r="B1055" i="1"/>
  <c r="C1056" i="1"/>
  <c r="B1106" i="1"/>
  <c r="C1107" i="1"/>
  <c r="B368" i="1"/>
  <c r="C369" i="1"/>
  <c r="C1235" i="1"/>
  <c r="B1234" i="1"/>
  <c r="B573" i="1"/>
  <c r="C574" i="1"/>
  <c r="B906" i="1"/>
  <c r="C907" i="1"/>
  <c r="C1032" i="1"/>
  <c r="B1031" i="1"/>
  <c r="B1207" i="1"/>
  <c r="C1208" i="1"/>
  <c r="C246" i="1"/>
  <c r="B245" i="1"/>
  <c r="C878" i="1"/>
  <c r="B877" i="1"/>
  <c r="C928" i="1"/>
  <c r="B927" i="1"/>
  <c r="B591" i="1"/>
  <c r="C592" i="1"/>
  <c r="B1155" i="1"/>
  <c r="C1156" i="1"/>
  <c r="B294" i="1"/>
  <c r="C295" i="1"/>
  <c r="B295" i="1" s="1"/>
  <c r="C199" i="1"/>
  <c r="B199" i="1" s="1"/>
  <c r="B195" i="1"/>
  <c r="C860" i="1"/>
  <c r="B853" i="1"/>
  <c r="C983" i="1"/>
  <c r="B982" i="1"/>
  <c r="B654" i="1"/>
  <c r="C655" i="1"/>
  <c r="B634" i="1"/>
  <c r="C635" i="1"/>
  <c r="C171" i="1"/>
  <c r="B170" i="1"/>
  <c r="B37" i="4"/>
  <c r="C38" i="4"/>
  <c r="C115" i="1"/>
  <c r="B115" i="1" s="1"/>
  <c r="B114" i="1"/>
  <c r="B611" i="1"/>
  <c r="C612" i="1"/>
  <c r="C1081" i="1"/>
  <c r="B1080" i="1"/>
  <c r="C834" i="1"/>
  <c r="B833" i="1"/>
  <c r="C121" i="1"/>
  <c r="B120" i="1"/>
  <c r="C675" i="1"/>
  <c r="B674" i="1"/>
  <c r="C344" i="1"/>
  <c r="B343" i="1"/>
  <c r="B535" i="1"/>
  <c r="C536" i="1"/>
  <c r="C1131" i="1"/>
  <c r="B1130" i="1"/>
  <c r="B369" i="1" l="1"/>
  <c r="C370" i="1"/>
  <c r="B370" i="1" s="1"/>
  <c r="C954" i="1"/>
  <c r="B953" i="1"/>
  <c r="C1006" i="1"/>
  <c r="B1005" i="1"/>
  <c r="B1056" i="1"/>
  <c r="C1057" i="1"/>
  <c r="C1108" i="1"/>
  <c r="B1107" i="1"/>
  <c r="B1235" i="1"/>
  <c r="C1236" i="1"/>
  <c r="B1183" i="1"/>
  <c r="C1184" i="1"/>
  <c r="B592" i="1"/>
  <c r="C593" i="1"/>
  <c r="C1033" i="1"/>
  <c r="B1032" i="1"/>
  <c r="C537" i="1"/>
  <c r="B537" i="1" s="1"/>
  <c r="B536" i="1"/>
  <c r="C1082" i="1"/>
  <c r="B1081" i="1"/>
  <c r="B907" i="1"/>
  <c r="C908" i="1"/>
  <c r="B983" i="1"/>
  <c r="C984" i="1"/>
  <c r="C929" i="1"/>
  <c r="B928" i="1"/>
  <c r="B344" i="1"/>
  <c r="C345" i="1"/>
  <c r="B345" i="1" s="1"/>
  <c r="C854" i="1"/>
  <c r="B860" i="1"/>
  <c r="C613" i="1"/>
  <c r="B612" i="1"/>
  <c r="B38" i="4"/>
  <c r="C39" i="4"/>
  <c r="B878" i="1"/>
  <c r="C879" i="1"/>
  <c r="C575" i="1"/>
  <c r="B575" i="1" s="1"/>
  <c r="B574" i="1"/>
  <c r="B635" i="1"/>
  <c r="C636" i="1"/>
  <c r="B636" i="1" s="1"/>
  <c r="C172" i="1"/>
  <c r="B172" i="1" s="1"/>
  <c r="B171" i="1"/>
  <c r="B246" i="1"/>
  <c r="C247" i="1"/>
  <c r="B247" i="1" s="1"/>
  <c r="I35" i="4"/>
  <c r="C1209" i="1"/>
  <c r="B1208" i="1"/>
  <c r="B675" i="1"/>
  <c r="C676" i="1"/>
  <c r="B655" i="1"/>
  <c r="C656" i="1"/>
  <c r="C122" i="1"/>
  <c r="B122" i="1" s="1"/>
  <c r="B121" i="1"/>
  <c r="I33" i="4" s="1"/>
  <c r="C1132" i="1"/>
  <c r="B1131" i="1"/>
  <c r="C835" i="1"/>
  <c r="B834" i="1"/>
  <c r="B1156" i="1"/>
  <c r="C1157" i="1"/>
  <c r="H35" i="4" l="1"/>
  <c r="O35" i="4" s="1"/>
  <c r="J30" i="4"/>
  <c r="M32" i="4"/>
  <c r="M35" i="4"/>
  <c r="J35" i="4"/>
  <c r="G36" i="4"/>
  <c r="C1237" i="1"/>
  <c r="B1236" i="1"/>
  <c r="B1108" i="1"/>
  <c r="C1109" i="1"/>
  <c r="C1058" i="1"/>
  <c r="B1057" i="1"/>
  <c r="C1007" i="1"/>
  <c r="B1006" i="1"/>
  <c r="C955" i="1"/>
  <c r="B954" i="1"/>
  <c r="B1184" i="1"/>
  <c r="C1185" i="1"/>
  <c r="C40" i="4"/>
  <c r="B39" i="4"/>
  <c r="J34" i="4"/>
  <c r="H33" i="4"/>
  <c r="O33" i="4" s="1"/>
  <c r="B879" i="1"/>
  <c r="C880" i="1"/>
  <c r="H38" i="4"/>
  <c r="O38" i="4" s="1"/>
  <c r="M38" i="4"/>
  <c r="K38" i="4"/>
  <c r="J38" i="4"/>
  <c r="I38" i="4"/>
  <c r="G38" i="4"/>
  <c r="K34" i="4"/>
  <c r="N34" i="4" s="1"/>
  <c r="I36" i="4"/>
  <c r="B929" i="1"/>
  <c r="C930" i="1"/>
  <c r="C1034" i="1"/>
  <c r="B1033" i="1"/>
  <c r="G33" i="4"/>
  <c r="J32" i="4"/>
  <c r="G35" i="4"/>
  <c r="C614" i="1"/>
  <c r="B613" i="1"/>
  <c r="K35" i="4"/>
  <c r="C836" i="1"/>
  <c r="B836" i="1" s="1"/>
  <c r="B835" i="1"/>
  <c r="K32" i="4"/>
  <c r="H37" i="4"/>
  <c r="O37" i="4" s="1"/>
  <c r="B593" i="1"/>
  <c r="C594" i="1"/>
  <c r="B594" i="1" s="1"/>
  <c r="B676" i="1"/>
  <c r="C677" i="1"/>
  <c r="B677" i="1" s="1"/>
  <c r="I37" i="4"/>
  <c r="C855" i="1"/>
  <c r="B854" i="1"/>
  <c r="K33" i="4"/>
  <c r="C1133" i="1"/>
  <c r="B1132" i="1"/>
  <c r="J37" i="4"/>
  <c r="I32" i="4"/>
  <c r="B984" i="1"/>
  <c r="C985" i="1"/>
  <c r="H36" i="4"/>
  <c r="O36" i="4" s="1"/>
  <c r="J31" i="4"/>
  <c r="M36" i="4"/>
  <c r="K37" i="4"/>
  <c r="J36" i="4"/>
  <c r="J33" i="4"/>
  <c r="B656" i="1"/>
  <c r="C657" i="1"/>
  <c r="B657" i="1" s="1"/>
  <c r="G37" i="4"/>
  <c r="C1158" i="1"/>
  <c r="B1157" i="1"/>
  <c r="B1209" i="1"/>
  <c r="C1210" i="1"/>
  <c r="M37" i="4"/>
  <c r="B908" i="1"/>
  <c r="C909" i="1"/>
  <c r="C1083" i="1"/>
  <c r="B1082" i="1"/>
  <c r="K36" i="4"/>
  <c r="N32" i="4" l="1"/>
  <c r="N35" i="4"/>
  <c r="N36" i="4"/>
  <c r="C1186" i="1"/>
  <c r="B1185" i="1"/>
  <c r="B955" i="1"/>
  <c r="C956" i="1"/>
  <c r="N38" i="4"/>
  <c r="C1008" i="1"/>
  <c r="B1007" i="1"/>
  <c r="B1058" i="1"/>
  <c r="C1059" i="1"/>
  <c r="B1109" i="1"/>
  <c r="C1110" i="1"/>
  <c r="C1238" i="1"/>
  <c r="B1237" i="1"/>
  <c r="B1133" i="1"/>
  <c r="C1134" i="1"/>
  <c r="N37" i="4"/>
  <c r="C1211" i="1"/>
  <c r="B1210" i="1"/>
  <c r="B1158" i="1"/>
  <c r="C1159" i="1"/>
  <c r="C881" i="1"/>
  <c r="B880" i="1"/>
  <c r="B855" i="1"/>
  <c r="C856" i="1"/>
  <c r="B856" i="1" s="1"/>
  <c r="C851" i="1"/>
  <c r="C1035" i="1"/>
  <c r="B1034" i="1"/>
  <c r="C986" i="1"/>
  <c r="B985" i="1"/>
  <c r="C615" i="1"/>
  <c r="B615" i="1" s="1"/>
  <c r="B614" i="1"/>
  <c r="C910" i="1"/>
  <c r="B909" i="1"/>
  <c r="B930" i="1"/>
  <c r="C931" i="1"/>
  <c r="C1084" i="1"/>
  <c r="B1083" i="1"/>
  <c r="C41" i="4"/>
  <c r="B40" i="4"/>
  <c r="B956" i="1" l="1"/>
  <c r="C957" i="1"/>
  <c r="B1186" i="1"/>
  <c r="C1187" i="1"/>
  <c r="C1239" i="1"/>
  <c r="B1238" i="1"/>
  <c r="B1110" i="1"/>
  <c r="C1111" i="1"/>
  <c r="B1008" i="1"/>
  <c r="C1009" i="1"/>
  <c r="B1059" i="1"/>
  <c r="C1060" i="1"/>
  <c r="C987" i="1"/>
  <c r="B986" i="1"/>
  <c r="C850" i="1"/>
  <c r="B850" i="1" s="1"/>
  <c r="B851" i="1"/>
  <c r="B1211" i="1"/>
  <c r="C1212" i="1"/>
  <c r="C42" i="4"/>
  <c r="B41" i="4"/>
  <c r="B1035" i="1"/>
  <c r="C1036" i="1"/>
  <c r="B1084" i="1"/>
  <c r="C1085" i="1"/>
  <c r="B881" i="1"/>
  <c r="C882" i="1"/>
  <c r="B1134" i="1"/>
  <c r="C1135" i="1"/>
  <c r="C932" i="1"/>
  <c r="B931" i="1"/>
  <c r="C911" i="1"/>
  <c r="B911" i="1" s="1"/>
  <c r="B910" i="1"/>
  <c r="C1160" i="1"/>
  <c r="B1159" i="1"/>
  <c r="C1061" i="1" l="1"/>
  <c r="B1060" i="1"/>
  <c r="C1010" i="1"/>
  <c r="B1009" i="1"/>
  <c r="B1111" i="1"/>
  <c r="C1112" i="1"/>
  <c r="C1188" i="1"/>
  <c r="B1187" i="1"/>
  <c r="C1240" i="1"/>
  <c r="B1239" i="1"/>
  <c r="C958" i="1"/>
  <c r="B957" i="1"/>
  <c r="B1160" i="1"/>
  <c r="C1161" i="1"/>
  <c r="B1085" i="1"/>
  <c r="C1086" i="1"/>
  <c r="C1213" i="1"/>
  <c r="B1212" i="1"/>
  <c r="C933" i="1"/>
  <c r="B932" i="1"/>
  <c r="B1135" i="1"/>
  <c r="C1136" i="1"/>
  <c r="C883" i="1"/>
  <c r="B882" i="1"/>
  <c r="B1036" i="1"/>
  <c r="C1037" i="1"/>
  <c r="B42" i="4"/>
  <c r="C43" i="4"/>
  <c r="C988" i="1"/>
  <c r="B988" i="1" s="1"/>
  <c r="B987" i="1"/>
  <c r="B958" i="1" l="1"/>
  <c r="C959" i="1"/>
  <c r="B1240" i="1"/>
  <c r="C1241" i="1"/>
  <c r="B1188" i="1"/>
  <c r="C1189" i="1"/>
  <c r="B1010" i="1"/>
  <c r="C1011" i="1"/>
  <c r="B1112" i="1"/>
  <c r="C1113" i="1"/>
  <c r="C1062" i="1"/>
  <c r="B1061" i="1"/>
  <c r="B883" i="1"/>
  <c r="C884" i="1"/>
  <c r="C1038" i="1"/>
  <c r="B1037" i="1"/>
  <c r="B1213" i="1"/>
  <c r="C1214" i="1"/>
  <c r="B1136" i="1"/>
  <c r="C1137" i="1"/>
  <c r="B1086" i="1"/>
  <c r="C1087" i="1"/>
  <c r="K22" i="4"/>
  <c r="G22" i="4"/>
  <c r="M22" i="4"/>
  <c r="K23" i="4"/>
  <c r="J22" i="4"/>
  <c r="I23" i="4"/>
  <c r="G23" i="4"/>
  <c r="H22" i="4"/>
  <c r="O22" i="4" s="1"/>
  <c r="I22" i="4"/>
  <c r="J23" i="4"/>
  <c r="M23" i="4"/>
  <c r="J24" i="4"/>
  <c r="G24" i="4"/>
  <c r="K26" i="4"/>
  <c r="H23" i="4"/>
  <c r="O23" i="4" s="1"/>
  <c r="M24" i="4"/>
  <c r="M25" i="4"/>
  <c r="K24" i="4"/>
  <c r="H25" i="4"/>
  <c r="O25" i="4" s="1"/>
  <c r="H24" i="4"/>
  <c r="O24" i="4" s="1"/>
  <c r="K25" i="4"/>
  <c r="I24" i="4"/>
  <c r="J26" i="4"/>
  <c r="J27" i="4"/>
  <c r="J28" i="4"/>
  <c r="J25" i="4"/>
  <c r="M26" i="4"/>
  <c r="N26" i="4" s="1"/>
  <c r="I26" i="4"/>
  <c r="I25" i="4"/>
  <c r="G26" i="4"/>
  <c r="G25" i="4"/>
  <c r="K27" i="4"/>
  <c r="H26" i="4"/>
  <c r="O26" i="4" s="1"/>
  <c r="I27" i="4"/>
  <c r="M27" i="4"/>
  <c r="M28" i="4"/>
  <c r="H27" i="4"/>
  <c r="O27" i="4" s="1"/>
  <c r="G27" i="4"/>
  <c r="H28" i="4"/>
  <c r="O28" i="4" s="1"/>
  <c r="K29" i="4"/>
  <c r="K28" i="4"/>
  <c r="J29" i="4"/>
  <c r="H29" i="4"/>
  <c r="O29" i="4" s="1"/>
  <c r="I29" i="4"/>
  <c r="K30" i="4"/>
  <c r="H32" i="4"/>
  <c r="O32" i="4" s="1"/>
  <c r="G28" i="4"/>
  <c r="G29" i="4"/>
  <c r="M29" i="4"/>
  <c r="I28" i="4"/>
  <c r="I31" i="4"/>
  <c r="M33" i="4"/>
  <c r="N33" i="4" s="1"/>
  <c r="G32" i="4"/>
  <c r="I30" i="4"/>
  <c r="G34" i="4"/>
  <c r="M31" i="4"/>
  <c r="G31" i="4"/>
  <c r="M30" i="4"/>
  <c r="N30" i="4" s="1"/>
  <c r="H31" i="4"/>
  <c r="O31" i="4" s="1"/>
  <c r="G30" i="4"/>
  <c r="H30" i="4"/>
  <c r="O30" i="4" s="1"/>
  <c r="C44" i="4"/>
  <c r="B43" i="4"/>
  <c r="C1162" i="1"/>
  <c r="B1161" i="1"/>
  <c r="C934" i="1"/>
  <c r="B933" i="1"/>
  <c r="N29" i="4" l="1"/>
  <c r="N23" i="4"/>
  <c r="B1062" i="1"/>
  <c r="C1063" i="1"/>
  <c r="B1113" i="1"/>
  <c r="C1114" i="1"/>
  <c r="B1114" i="1" s="1"/>
  <c r="B1011" i="1"/>
  <c r="C1012" i="1"/>
  <c r="C1190" i="1"/>
  <c r="B1189" i="1"/>
  <c r="B1241" i="1"/>
  <c r="C1242" i="1"/>
  <c r="B1242" i="1" s="1"/>
  <c r="N28" i="4"/>
  <c r="N27" i="4"/>
  <c r="B959" i="1"/>
  <c r="C960" i="1"/>
  <c r="C1215" i="1"/>
  <c r="B1214" i="1"/>
  <c r="B1087" i="1"/>
  <c r="C1088" i="1"/>
  <c r="C935" i="1"/>
  <c r="B934" i="1"/>
  <c r="B44" i="4"/>
  <c r="C45" i="4"/>
  <c r="N25" i="4"/>
  <c r="C1138" i="1"/>
  <c r="B1137" i="1"/>
  <c r="B1038" i="1"/>
  <c r="C1039" i="1"/>
  <c r="B1039" i="1" s="1"/>
  <c r="C1163" i="1"/>
  <c r="B1162" i="1"/>
  <c r="N24" i="4"/>
  <c r="B884" i="1"/>
  <c r="C885" i="1"/>
  <c r="N22" i="4"/>
  <c r="C961" i="1" l="1"/>
  <c r="B960" i="1"/>
  <c r="B1063" i="1"/>
  <c r="C1064" i="1"/>
  <c r="B1064" i="1" s="1"/>
  <c r="C1191" i="1"/>
  <c r="B1191" i="1" s="1"/>
  <c r="B1190" i="1"/>
  <c r="C1013" i="1"/>
  <c r="B1012" i="1"/>
  <c r="C46" i="4"/>
  <c r="B45" i="4"/>
  <c r="B935" i="1"/>
  <c r="C936" i="1"/>
  <c r="B936" i="1" s="1"/>
  <c r="C1089" i="1"/>
  <c r="B1089" i="1" s="1"/>
  <c r="B1088" i="1"/>
  <c r="C1164" i="1"/>
  <c r="B1163" i="1"/>
  <c r="C886" i="1"/>
  <c r="B886" i="1" s="1"/>
  <c r="B885" i="1"/>
  <c r="B1215" i="1"/>
  <c r="C1216" i="1"/>
  <c r="C1139" i="1"/>
  <c r="B1139" i="1" s="1"/>
  <c r="B1138" i="1"/>
  <c r="B1013" i="1" l="1"/>
  <c r="C1014" i="1"/>
  <c r="B1014" i="1" s="1"/>
  <c r="C962" i="1"/>
  <c r="B962" i="1" s="1"/>
  <c r="B961" i="1"/>
  <c r="I41" i="4"/>
  <c r="J43" i="4"/>
  <c r="M43" i="4"/>
  <c r="K43" i="4"/>
  <c r="G39" i="4"/>
  <c r="C1217" i="1"/>
  <c r="B1217" i="1" s="1"/>
  <c r="B1216" i="1"/>
  <c r="C51" i="4"/>
  <c r="B46" i="4"/>
  <c r="J44" i="4"/>
  <c r="G44" i="4"/>
  <c r="H44" i="4"/>
  <c r="O44" i="4" s="1"/>
  <c r="B1164" i="1"/>
  <c r="C1165" i="1"/>
  <c r="B1165" i="1" s="1"/>
  <c r="H39" i="4" s="1"/>
  <c r="O39" i="4" s="1"/>
  <c r="M42" i="4" l="1"/>
  <c r="J42" i="4"/>
  <c r="H42" i="4"/>
  <c r="O42" i="4" s="1"/>
  <c r="K40" i="4"/>
  <c r="H40" i="4"/>
  <c r="O40" i="4" s="1"/>
  <c r="I40" i="4"/>
  <c r="K42" i="4"/>
  <c r="I42" i="4"/>
  <c r="K44" i="4"/>
  <c r="G40" i="4"/>
  <c r="J40" i="4"/>
  <c r="G43" i="4"/>
  <c r="G45" i="4"/>
  <c r="K45" i="4"/>
  <c r="H43" i="4"/>
  <c r="O43" i="4" s="1"/>
  <c r="M45" i="4"/>
  <c r="I39" i="4"/>
  <c r="H45" i="4"/>
  <c r="O45" i="4" s="1"/>
  <c r="K46" i="4"/>
  <c r="J46" i="4"/>
  <c r="I46" i="4"/>
  <c r="M46" i="4"/>
  <c r="H46" i="4"/>
  <c r="O46" i="4" s="1"/>
  <c r="G46" i="4"/>
  <c r="B51" i="4"/>
  <c r="C52" i="4"/>
  <c r="H41" i="4"/>
  <c r="O41" i="4" s="1"/>
  <c r="I45" i="4"/>
  <c r="J39" i="4"/>
  <c r="J45" i="4"/>
  <c r="K39" i="4"/>
  <c r="M44" i="4"/>
  <c r="M41" i="4"/>
  <c r="M40" i="4"/>
  <c r="J41" i="4"/>
  <c r="K41" i="4"/>
  <c r="M39" i="4"/>
  <c r="G42" i="4"/>
  <c r="N43" i="4"/>
  <c r="I43" i="4"/>
  <c r="I44" i="4"/>
  <c r="N44" i="4" l="1"/>
  <c r="N40" i="4"/>
  <c r="N46" i="4"/>
  <c r="N42" i="4"/>
  <c r="N39" i="4"/>
  <c r="N41" i="4"/>
  <c r="N45" i="4"/>
  <c r="B52" i="4"/>
  <c r="C53" i="4"/>
  <c r="H51" i="4"/>
  <c r="O51" i="4" s="1"/>
  <c r="G51" i="4"/>
  <c r="M51" i="4"/>
  <c r="K51" i="4"/>
  <c r="J51" i="4"/>
  <c r="I51" i="4"/>
  <c r="N51" i="4" l="1"/>
  <c r="C54" i="4"/>
  <c r="B53" i="4"/>
  <c r="I52" i="4"/>
  <c r="H52" i="4"/>
  <c r="O52" i="4" s="1"/>
  <c r="G52" i="4"/>
  <c r="M52" i="4"/>
  <c r="K52" i="4"/>
  <c r="J52" i="4"/>
  <c r="N52" i="4" l="1"/>
  <c r="J53" i="4"/>
  <c r="I53" i="4"/>
  <c r="H53" i="4"/>
  <c r="O53" i="4" s="1"/>
  <c r="M53" i="4"/>
  <c r="K53" i="4"/>
  <c r="G53" i="4"/>
  <c r="C55" i="4"/>
  <c r="B54" i="4"/>
  <c r="N53" i="4" l="1"/>
  <c r="K54" i="4"/>
  <c r="J54" i="4"/>
  <c r="I54" i="4"/>
  <c r="H54" i="4"/>
  <c r="O54" i="4" s="1"/>
  <c r="G54" i="4"/>
  <c r="M54" i="4"/>
  <c r="C56" i="4"/>
  <c r="B55" i="4"/>
  <c r="N54" i="4" l="1"/>
  <c r="M55" i="4"/>
  <c r="K55" i="4"/>
  <c r="J55" i="4"/>
  <c r="I55" i="4"/>
  <c r="H55" i="4"/>
  <c r="O55" i="4" s="1"/>
  <c r="G55" i="4"/>
  <c r="B56" i="4"/>
  <c r="C57" i="4"/>
  <c r="C58" i="4"/>
  <c r="B58" i="4" s="1"/>
  <c r="N55" i="4" l="1"/>
  <c r="C59" i="4"/>
  <c r="B57" i="4"/>
  <c r="M56" i="4"/>
  <c r="K56" i="4"/>
  <c r="J56" i="4"/>
  <c r="I56" i="4"/>
  <c r="H56" i="4"/>
  <c r="O56" i="4" s="1"/>
  <c r="G56" i="4"/>
  <c r="H58" i="4"/>
  <c r="O58" i="4" s="1"/>
  <c r="M58" i="4"/>
  <c r="K58" i="4"/>
  <c r="J58" i="4"/>
  <c r="I58" i="4"/>
  <c r="G58" i="4"/>
  <c r="N56" i="4" l="1"/>
  <c r="N58" i="4"/>
  <c r="M57" i="4"/>
  <c r="G57" i="4"/>
  <c r="K57" i="4"/>
  <c r="J57" i="4"/>
  <c r="I57" i="4"/>
  <c r="H57" i="4"/>
  <c r="O57" i="4" s="1"/>
  <c r="B59" i="4"/>
  <c r="C64" i="4"/>
  <c r="B64" i="4" l="1"/>
  <c r="C65" i="4"/>
  <c r="I59" i="4"/>
  <c r="H59" i="4"/>
  <c r="O59" i="4" s="1"/>
  <c r="G59" i="4"/>
  <c r="M59" i="4"/>
  <c r="K59" i="4"/>
  <c r="J59" i="4"/>
  <c r="N57" i="4"/>
  <c r="N59" i="4" l="1"/>
  <c r="N49" i="4" s="1"/>
  <c r="M64" i="4"/>
  <c r="K64" i="4"/>
  <c r="I64" i="4"/>
  <c r="H64" i="4"/>
  <c r="O64" i="4" s="1"/>
  <c r="G64" i="4"/>
  <c r="J64" i="4"/>
  <c r="C66" i="4"/>
  <c r="B65" i="4"/>
  <c r="M65" i="4" l="1"/>
  <c r="G65" i="4"/>
  <c r="K65" i="4"/>
  <c r="J65" i="4"/>
  <c r="I65" i="4"/>
  <c r="H65" i="4"/>
  <c r="O65" i="4" s="1"/>
  <c r="B66" i="4"/>
  <c r="C67" i="4"/>
  <c r="N64" i="4"/>
  <c r="N65" i="4" l="1"/>
  <c r="C68" i="4"/>
  <c r="B67" i="4"/>
  <c r="H66" i="4"/>
  <c r="O66" i="4" s="1"/>
  <c r="M66" i="4"/>
  <c r="K66" i="4"/>
  <c r="J66" i="4"/>
  <c r="I66" i="4"/>
  <c r="G66" i="4"/>
  <c r="N66" i="4" l="1"/>
  <c r="I67" i="4"/>
  <c r="M67" i="4"/>
  <c r="K67" i="4"/>
  <c r="J67" i="4"/>
  <c r="H67" i="4"/>
  <c r="O67" i="4" s="1"/>
  <c r="G67" i="4"/>
  <c r="C69" i="4"/>
  <c r="B68" i="4"/>
  <c r="N67" i="4" l="1"/>
  <c r="J68" i="4"/>
  <c r="M68" i="4"/>
  <c r="K68" i="4"/>
  <c r="I68" i="4"/>
  <c r="H68" i="4"/>
  <c r="O68" i="4" s="1"/>
  <c r="G68" i="4"/>
  <c r="C70" i="4"/>
  <c r="B69" i="4"/>
  <c r="K69" i="4" l="1"/>
  <c r="I69" i="4"/>
  <c r="H69" i="4"/>
  <c r="O69" i="4" s="1"/>
  <c r="G69" i="4"/>
  <c r="M69" i="4"/>
  <c r="J69" i="4"/>
  <c r="B70" i="4"/>
  <c r="C71" i="4"/>
  <c r="N68" i="4"/>
  <c r="N69" i="4" l="1"/>
  <c r="G70" i="4"/>
  <c r="M70" i="4"/>
  <c r="K70" i="4"/>
  <c r="J70" i="4"/>
  <c r="I70" i="4"/>
  <c r="H70" i="4"/>
  <c r="O70" i="4" s="1"/>
  <c r="B71" i="4"/>
  <c r="C72" i="4"/>
  <c r="N70" i="4" l="1"/>
  <c r="B72" i="4"/>
  <c r="C73" i="4"/>
  <c r="H71" i="4"/>
  <c r="O71" i="4" s="1"/>
  <c r="G71" i="4"/>
  <c r="M71" i="4"/>
  <c r="K71" i="4"/>
  <c r="J71" i="4"/>
  <c r="I71" i="4"/>
  <c r="N71" i="4" l="1"/>
  <c r="C74" i="4"/>
  <c r="B73" i="4"/>
  <c r="I72" i="4"/>
  <c r="H72" i="4"/>
  <c r="O72" i="4" s="1"/>
  <c r="G72" i="4"/>
  <c r="M72" i="4"/>
  <c r="K72" i="4"/>
  <c r="J72" i="4"/>
  <c r="N72" i="4" l="1"/>
  <c r="C75" i="4"/>
  <c r="B74" i="4"/>
  <c r="J73" i="4"/>
  <c r="I73" i="4"/>
  <c r="H73" i="4"/>
  <c r="O73" i="4" s="1"/>
  <c r="M73" i="4"/>
  <c r="K73" i="4"/>
  <c r="G73" i="4"/>
  <c r="N73" i="4" l="1"/>
  <c r="K74" i="4"/>
  <c r="J74" i="4"/>
  <c r="I74" i="4"/>
  <c r="G74" i="4"/>
  <c r="M74" i="4"/>
  <c r="H74" i="4"/>
  <c r="O74" i="4" s="1"/>
  <c r="B75" i="4"/>
  <c r="C76" i="4"/>
  <c r="N74" i="4" l="1"/>
  <c r="M75" i="4"/>
  <c r="K75" i="4"/>
  <c r="J75" i="4"/>
  <c r="I75" i="4"/>
  <c r="H75" i="4"/>
  <c r="O75" i="4" s="1"/>
  <c r="G75" i="4"/>
  <c r="B76" i="4"/>
  <c r="C77" i="4"/>
  <c r="M76" i="4" l="1"/>
  <c r="K76" i="4"/>
  <c r="J76" i="4"/>
  <c r="I76" i="4"/>
  <c r="H76" i="4"/>
  <c r="O76" i="4" s="1"/>
  <c r="G76" i="4"/>
  <c r="B77" i="4"/>
  <c r="C78" i="4"/>
  <c r="N75" i="4"/>
  <c r="N76" i="4" l="1"/>
  <c r="C79" i="4"/>
  <c r="B78" i="4"/>
  <c r="M77" i="4"/>
  <c r="G77" i="4"/>
  <c r="J77" i="4"/>
  <c r="I77" i="4"/>
  <c r="H77" i="4"/>
  <c r="O77" i="4" s="1"/>
  <c r="K77" i="4"/>
  <c r="N77" i="4" l="1"/>
  <c r="H78" i="4"/>
  <c r="O78" i="4" s="1"/>
  <c r="M78" i="4"/>
  <c r="K78" i="4"/>
  <c r="J78" i="4"/>
  <c r="I78" i="4"/>
  <c r="G78" i="4"/>
  <c r="C80" i="4"/>
  <c r="B79" i="4"/>
  <c r="I79" i="4" l="1"/>
  <c r="G79" i="4"/>
  <c r="M79" i="4"/>
  <c r="K79" i="4"/>
  <c r="J79" i="4"/>
  <c r="H79" i="4"/>
  <c r="O79" i="4" s="1"/>
  <c r="C81" i="4"/>
  <c r="B80" i="4"/>
  <c r="N78" i="4"/>
  <c r="N79" i="4" l="1"/>
  <c r="J80" i="4"/>
  <c r="M80" i="4"/>
  <c r="K80" i="4"/>
  <c r="I80" i="4"/>
  <c r="H80" i="4"/>
  <c r="O80" i="4" s="1"/>
  <c r="G80" i="4"/>
  <c r="C82" i="4"/>
  <c r="B81" i="4"/>
  <c r="N80" i="4" l="1"/>
  <c r="K81" i="4"/>
  <c r="M81" i="4"/>
  <c r="J81" i="4"/>
  <c r="I81" i="4"/>
  <c r="H81" i="4"/>
  <c r="O81" i="4" s="1"/>
  <c r="G81" i="4"/>
  <c r="B82" i="4"/>
  <c r="C83" i="4"/>
  <c r="G82" i="4" l="1"/>
  <c r="M82" i="4"/>
  <c r="J82" i="4"/>
  <c r="I82" i="4"/>
  <c r="H82" i="4"/>
  <c r="O82" i="4" s="1"/>
  <c r="K82" i="4"/>
  <c r="N81" i="4"/>
  <c r="C84" i="4"/>
  <c r="B83" i="4"/>
  <c r="N82" i="4" l="1"/>
  <c r="H83" i="4"/>
  <c r="O83" i="4" s="1"/>
  <c r="G83" i="4"/>
  <c r="M83" i="4"/>
  <c r="K83" i="4"/>
  <c r="J83" i="4"/>
  <c r="I83" i="4"/>
  <c r="B84" i="4"/>
  <c r="C85" i="4"/>
  <c r="N83" i="4" l="1"/>
  <c r="B85" i="4"/>
  <c r="C86" i="4"/>
  <c r="I84" i="4"/>
  <c r="H84" i="4"/>
  <c r="O84" i="4" s="1"/>
  <c r="G84" i="4"/>
  <c r="M84" i="4"/>
  <c r="K84" i="4"/>
  <c r="J84" i="4"/>
  <c r="N84" i="4" l="1"/>
  <c r="C87" i="4"/>
  <c r="B86" i="4"/>
  <c r="J85" i="4"/>
  <c r="I85" i="4"/>
  <c r="H85" i="4"/>
  <c r="O85" i="4" s="1"/>
  <c r="M85" i="4"/>
  <c r="K85" i="4"/>
  <c r="G85" i="4"/>
  <c r="N85" i="4" l="1"/>
  <c r="K86" i="4"/>
  <c r="J86" i="4"/>
  <c r="I86" i="4"/>
  <c r="M86" i="4"/>
  <c r="H86" i="4"/>
  <c r="O86" i="4" s="1"/>
  <c r="G86" i="4"/>
  <c r="B87" i="4"/>
  <c r="C88" i="4"/>
  <c r="N86" i="4" l="1"/>
  <c r="B88" i="4"/>
  <c r="C93" i="4"/>
  <c r="M87" i="4"/>
  <c r="K87" i="4"/>
  <c r="J87" i="4"/>
  <c r="H87" i="4"/>
  <c r="O87" i="4" s="1"/>
  <c r="G87" i="4"/>
  <c r="I87" i="4"/>
  <c r="N87" i="4" l="1"/>
  <c r="C94" i="4"/>
  <c r="B93" i="4"/>
  <c r="M88" i="4"/>
  <c r="K88" i="4"/>
  <c r="G88" i="4"/>
  <c r="J88" i="4"/>
  <c r="I88" i="4"/>
  <c r="H88" i="4"/>
  <c r="O88" i="4" s="1"/>
  <c r="N88" i="4" l="1"/>
  <c r="N62" i="4" s="1"/>
  <c r="J93" i="4"/>
  <c r="I93" i="4"/>
  <c r="H93" i="4"/>
  <c r="O93" i="4" s="1"/>
  <c r="M93" i="4"/>
  <c r="K93" i="4"/>
  <c r="G93" i="4"/>
  <c r="C95" i="4"/>
  <c r="B94" i="4"/>
  <c r="N93" i="4" l="1"/>
  <c r="K94" i="4"/>
  <c r="J94" i="4"/>
  <c r="I94" i="4"/>
  <c r="M94" i="4"/>
  <c r="H94" i="4"/>
  <c r="O94" i="4" s="1"/>
  <c r="G94" i="4"/>
  <c r="H6" i="4"/>
  <c r="C96" i="4"/>
  <c r="B95" i="4"/>
  <c r="N94" i="4" l="1"/>
  <c r="Y6" i="4"/>
  <c r="M15" i="4"/>
  <c r="M16" i="4" s="1"/>
  <c r="B96" i="4"/>
  <c r="C97" i="4"/>
  <c r="M95" i="4"/>
  <c r="K95" i="4"/>
  <c r="J95" i="4"/>
  <c r="G95" i="4"/>
  <c r="I95" i="4"/>
  <c r="H95" i="4"/>
  <c r="O95" i="4" s="1"/>
  <c r="N95" i="4" l="1"/>
  <c r="B97" i="4"/>
  <c r="C98" i="4"/>
  <c r="M96" i="4"/>
  <c r="K96" i="4"/>
  <c r="H96" i="4"/>
  <c r="O96" i="4" s="1"/>
  <c r="G96" i="4"/>
  <c r="J96" i="4"/>
  <c r="I96" i="4"/>
  <c r="M91" i="4"/>
  <c r="M20" i="4"/>
  <c r="M120" i="4"/>
  <c r="M49" i="4"/>
  <c r="M62" i="4"/>
  <c r="Y7" i="4"/>
  <c r="Y8" i="4"/>
  <c r="N96" i="4" l="1"/>
  <c r="Y10" i="4"/>
  <c r="M11" i="4" s="1"/>
  <c r="L1125" i="1" s="1"/>
  <c r="C99" i="4"/>
  <c r="B98" i="4"/>
  <c r="M97" i="4"/>
  <c r="I97" i="4"/>
  <c r="H97" i="4"/>
  <c r="O97" i="4" s="1"/>
  <c r="G97" i="4"/>
  <c r="K97" i="4"/>
  <c r="J97" i="4"/>
  <c r="L973" i="1" l="1"/>
  <c r="L999" i="1"/>
  <c r="L1176" i="1"/>
  <c r="L1150" i="1"/>
  <c r="L1025" i="1"/>
  <c r="L1228" i="1"/>
  <c r="G41" i="4" s="1"/>
  <c r="L11" i="1"/>
  <c r="L356" i="1"/>
  <c r="L133" i="1"/>
  <c r="L35" i="1"/>
  <c r="L306" i="1"/>
  <c r="L183" i="1"/>
  <c r="L847" i="1"/>
  <c r="L331" i="1"/>
  <c r="L897" i="1"/>
  <c r="L872" i="1"/>
  <c r="L1202" i="1"/>
  <c r="L282" i="1"/>
  <c r="L947" i="1"/>
  <c r="L1100" i="1"/>
  <c r="L381" i="1"/>
  <c r="L83" i="1"/>
  <c r="L210" i="1"/>
  <c r="K31" i="4" s="1"/>
  <c r="N31" i="4" s="1"/>
  <c r="N20" i="4" s="1"/>
  <c r="L258" i="1"/>
  <c r="L1075" i="1"/>
  <c r="L158" i="1"/>
  <c r="L1050" i="1"/>
  <c r="L59" i="1"/>
  <c r="L107" i="1"/>
  <c r="L234" i="1"/>
  <c r="L922" i="1"/>
  <c r="N97" i="4"/>
  <c r="J98" i="4"/>
  <c r="I98" i="4"/>
  <c r="H98" i="4"/>
  <c r="O98" i="4" s="1"/>
  <c r="M98" i="4"/>
  <c r="K98" i="4"/>
  <c r="G98" i="4"/>
  <c r="C100" i="4"/>
  <c r="B99" i="4"/>
  <c r="N98" i="4" l="1"/>
  <c r="K99" i="4"/>
  <c r="J99" i="4"/>
  <c r="I99" i="4"/>
  <c r="M99" i="4"/>
  <c r="H99" i="4"/>
  <c r="O99" i="4" s="1"/>
  <c r="G99" i="4"/>
  <c r="C101" i="4"/>
  <c r="B100" i="4"/>
  <c r="N99" i="4" l="1"/>
  <c r="M100" i="4"/>
  <c r="K100" i="4"/>
  <c r="J100" i="4"/>
  <c r="I100" i="4"/>
  <c r="H100" i="4"/>
  <c r="O100" i="4" s="1"/>
  <c r="G100" i="4"/>
  <c r="C102" i="4"/>
  <c r="B101" i="4"/>
  <c r="N100" i="4" l="1"/>
  <c r="M101" i="4"/>
  <c r="K101" i="4"/>
  <c r="H101" i="4"/>
  <c r="O101" i="4" s="1"/>
  <c r="G101" i="4"/>
  <c r="J101" i="4"/>
  <c r="I101" i="4"/>
  <c r="C103" i="4"/>
  <c r="B102" i="4"/>
  <c r="N101" i="4" l="1"/>
  <c r="G102" i="4"/>
  <c r="M102" i="4"/>
  <c r="K102" i="4"/>
  <c r="J102" i="4"/>
  <c r="I102" i="4"/>
  <c r="H102" i="4"/>
  <c r="O102" i="4" s="1"/>
  <c r="B103" i="4"/>
  <c r="C104" i="4"/>
  <c r="N102" i="4" l="1"/>
  <c r="C105" i="4"/>
  <c r="B104" i="4"/>
  <c r="H103" i="4"/>
  <c r="O103" i="4" s="1"/>
  <c r="G103" i="4"/>
  <c r="J103" i="4"/>
  <c r="I103" i="4"/>
  <c r="M103" i="4"/>
  <c r="K103" i="4"/>
  <c r="N103" i="4" l="1"/>
  <c r="I104" i="4"/>
  <c r="H104" i="4"/>
  <c r="O104" i="4" s="1"/>
  <c r="G104" i="4"/>
  <c r="M104" i="4"/>
  <c r="K104" i="4"/>
  <c r="J104" i="4"/>
  <c r="C106" i="4"/>
  <c r="B105" i="4"/>
  <c r="N104" i="4" l="1"/>
  <c r="J105" i="4"/>
  <c r="I105" i="4"/>
  <c r="H105" i="4"/>
  <c r="O105" i="4" s="1"/>
  <c r="M105" i="4"/>
  <c r="K105" i="4"/>
  <c r="G105" i="4"/>
  <c r="C107" i="4"/>
  <c r="B106" i="4"/>
  <c r="N105" i="4" l="1"/>
  <c r="K106" i="4"/>
  <c r="J106" i="4"/>
  <c r="I106" i="4"/>
  <c r="M106" i="4"/>
  <c r="H106" i="4"/>
  <c r="O106" i="4" s="1"/>
  <c r="G106" i="4"/>
  <c r="B107" i="4"/>
  <c r="C108" i="4"/>
  <c r="N106" i="4" l="1"/>
  <c r="C109" i="4"/>
  <c r="B108" i="4"/>
  <c r="M107" i="4"/>
  <c r="K107" i="4"/>
  <c r="J107" i="4"/>
  <c r="G107" i="4"/>
  <c r="I107" i="4"/>
  <c r="H107" i="4"/>
  <c r="O107" i="4" s="1"/>
  <c r="M108" i="4" l="1"/>
  <c r="K108" i="4"/>
  <c r="H108" i="4"/>
  <c r="O108" i="4" s="1"/>
  <c r="G108" i="4"/>
  <c r="J108" i="4"/>
  <c r="I108" i="4"/>
  <c r="N107" i="4"/>
  <c r="C110" i="4"/>
  <c r="B109" i="4"/>
  <c r="N108" i="4" l="1"/>
  <c r="M109" i="4"/>
  <c r="I109" i="4"/>
  <c r="H109" i="4"/>
  <c r="O109" i="4" s="1"/>
  <c r="G109" i="4"/>
  <c r="K109" i="4"/>
  <c r="J109" i="4"/>
  <c r="B110" i="4"/>
  <c r="C111" i="4"/>
  <c r="N109" i="4" l="1"/>
  <c r="C112" i="4"/>
  <c r="B111" i="4"/>
  <c r="J110" i="4"/>
  <c r="I110" i="4"/>
  <c r="H110" i="4"/>
  <c r="O110" i="4" s="1"/>
  <c r="M110" i="4"/>
  <c r="K110" i="4"/>
  <c r="G110" i="4"/>
  <c r="N110" i="4" l="1"/>
  <c r="C113" i="4"/>
  <c r="B112" i="4"/>
  <c r="K111" i="4"/>
  <c r="J111" i="4"/>
  <c r="I111" i="4"/>
  <c r="M111" i="4"/>
  <c r="H111" i="4"/>
  <c r="O111" i="4" s="1"/>
  <c r="G111" i="4"/>
  <c r="N111" i="4" l="1"/>
  <c r="M112" i="4"/>
  <c r="K112" i="4"/>
  <c r="J112" i="4"/>
  <c r="G112" i="4"/>
  <c r="I112" i="4"/>
  <c r="H112" i="4"/>
  <c r="O112" i="4" s="1"/>
  <c r="C114" i="4"/>
  <c r="B113" i="4"/>
  <c r="N112" i="4" l="1"/>
  <c r="M113" i="4"/>
  <c r="K113" i="4"/>
  <c r="J113" i="4"/>
  <c r="I113" i="4"/>
  <c r="H113" i="4"/>
  <c r="O113" i="4" s="1"/>
  <c r="G113" i="4"/>
  <c r="B114" i="4"/>
  <c r="C115" i="4"/>
  <c r="N113" i="4" l="1"/>
  <c r="C116" i="4"/>
  <c r="B115" i="4"/>
  <c r="G114" i="4"/>
  <c r="M114" i="4"/>
  <c r="I114" i="4"/>
  <c r="H114" i="4"/>
  <c r="O114" i="4" s="1"/>
  <c r="K114" i="4"/>
  <c r="J114" i="4"/>
  <c r="N114" i="4" l="1"/>
  <c r="C117" i="4"/>
  <c r="B116" i="4"/>
  <c r="H115" i="4"/>
  <c r="O115" i="4" s="1"/>
  <c r="G115" i="4"/>
  <c r="M115" i="4"/>
  <c r="K115" i="4"/>
  <c r="J115" i="4"/>
  <c r="I115" i="4"/>
  <c r="N115" i="4" l="1"/>
  <c r="I116" i="4"/>
  <c r="H116" i="4"/>
  <c r="O116" i="4" s="1"/>
  <c r="G116" i="4"/>
  <c r="K116" i="4"/>
  <c r="J116" i="4"/>
  <c r="M116" i="4"/>
  <c r="C122" i="4"/>
  <c r="B117" i="4"/>
  <c r="N116" i="4" l="1"/>
  <c r="J117" i="4"/>
  <c r="I117" i="4"/>
  <c r="H117" i="4"/>
  <c r="O117" i="4" s="1"/>
  <c r="M117" i="4"/>
  <c r="K117" i="4"/>
  <c r="G117" i="4"/>
  <c r="B122" i="4"/>
  <c r="C123" i="4"/>
  <c r="N117" i="4" l="1"/>
  <c r="N91" i="4" s="1"/>
  <c r="C124" i="4"/>
  <c r="B123" i="4"/>
  <c r="G122" i="4"/>
  <c r="M122" i="4"/>
  <c r="H122" i="4"/>
  <c r="O122" i="4" s="1"/>
  <c r="K122" i="4"/>
  <c r="J122" i="4"/>
  <c r="I122" i="4"/>
  <c r="N122" i="4" l="1"/>
  <c r="H123" i="4"/>
  <c r="O123" i="4" s="1"/>
  <c r="G123" i="4"/>
  <c r="M123" i="4"/>
  <c r="K123" i="4"/>
  <c r="J123" i="4"/>
  <c r="I123" i="4"/>
  <c r="C125" i="4"/>
  <c r="B124" i="4"/>
  <c r="N123" i="4" l="1"/>
  <c r="I124" i="4"/>
  <c r="H124" i="4"/>
  <c r="O124" i="4" s="1"/>
  <c r="G124" i="4"/>
  <c r="M124" i="4"/>
  <c r="K124" i="4"/>
  <c r="J124" i="4"/>
  <c r="C126" i="4"/>
  <c r="B125" i="4"/>
  <c r="N124" i="4" l="1"/>
  <c r="J125" i="4"/>
  <c r="I125" i="4"/>
  <c r="H125" i="4"/>
  <c r="O125" i="4" s="1"/>
  <c r="M125" i="4"/>
  <c r="K125" i="4"/>
  <c r="G125" i="4"/>
  <c r="C127" i="4"/>
  <c r="B126" i="4"/>
  <c r="N125" i="4" l="1"/>
  <c r="K126" i="4"/>
  <c r="J126" i="4"/>
  <c r="I126" i="4"/>
  <c r="H126" i="4"/>
  <c r="O126" i="4" s="1"/>
  <c r="G126" i="4"/>
  <c r="M126" i="4"/>
  <c r="C128" i="4"/>
  <c r="B127" i="4"/>
  <c r="N126" i="4" l="1"/>
  <c r="M127" i="4"/>
  <c r="K127" i="4"/>
  <c r="J127" i="4"/>
  <c r="G127" i="4"/>
  <c r="I127" i="4"/>
  <c r="H127" i="4"/>
  <c r="O127" i="4" s="1"/>
  <c r="C129" i="4"/>
  <c r="B129" i="4" s="1"/>
  <c r="B128" i="4"/>
  <c r="N127" i="4" l="1"/>
  <c r="M128" i="4"/>
  <c r="K128" i="4"/>
  <c r="H128" i="4"/>
  <c r="O128" i="4" s="1"/>
  <c r="G128" i="4"/>
  <c r="J128" i="4"/>
  <c r="I128" i="4"/>
  <c r="M129" i="4"/>
  <c r="K129" i="4"/>
  <c r="J129" i="4"/>
  <c r="I129" i="4"/>
  <c r="H129" i="4"/>
  <c r="O129" i="4" s="1"/>
  <c r="G129" i="4"/>
  <c r="N128" i="4" l="1"/>
  <c r="N129" i="4"/>
  <c r="N12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Fitflow</author>
  </authors>
  <commentList>
    <comment ref="E7" authorId="0" shapeId="0" xr:uid="{38668766-B280-40D3-9D67-3477B40FC6BA}">
      <text>
        <r>
          <rPr>
            <b/>
            <sz val="9"/>
            <color indexed="81"/>
            <rFont val="Tahoma"/>
            <family val="2"/>
          </rPr>
          <t>Altitude Correction</t>
        </r>
      </text>
    </comment>
    <comment ref="C67" authorId="1" shapeId="0" xr:uid="{72596C57-0E70-44CF-ACEA-7CA0C0BB3233}">
      <text>
        <r>
          <rPr>
            <b/>
            <sz val="9"/>
            <color indexed="81"/>
            <rFont val="Tahoma"/>
            <family val="2"/>
          </rPr>
          <t xml:space="preserve">formula antigua
</t>
        </r>
      </text>
    </comment>
    <comment ref="M67" authorId="1" shapeId="0" xr:uid="{14415893-AA0E-46C3-A8E2-F6FD7281ED41}">
      <text>
        <r>
          <rPr>
            <b/>
            <sz val="9"/>
            <color indexed="81"/>
            <rFont val="Tahoma"/>
            <family val="2"/>
          </rPr>
          <t xml:space="preserve">Formula antigua
</t>
        </r>
      </text>
    </comment>
    <comment ref="D75" authorId="1" shapeId="0" xr:uid="{77999028-61CF-463D-B0FD-066B7EB11BCF}">
      <text>
        <r>
          <rPr>
            <b/>
            <sz val="9"/>
            <color indexed="81"/>
            <rFont val="Tahoma"/>
            <family val="2"/>
          </rPr>
          <t xml:space="preserve">Formula antigua
</t>
        </r>
      </text>
    </comment>
    <comment ref="N75" authorId="1" shapeId="0" xr:uid="{CF48D548-DFCF-4688-BAD7-A87292671235}">
      <text>
        <r>
          <rPr>
            <b/>
            <sz val="9"/>
            <color indexed="81"/>
            <rFont val="Tahoma"/>
            <family val="2"/>
          </rPr>
          <t xml:space="preserve">Formula antigua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E5" authorId="0" shapeId="0" xr:uid="{74BF4E83-447E-4DC1-A90C-07D6D6910A48}">
      <text>
        <r>
          <rPr>
            <b/>
            <sz val="9"/>
            <color indexed="81"/>
            <rFont val="Tahoma"/>
            <family val="2"/>
          </rPr>
          <t>Altitude Correction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Roberto Manriquez</author>
  </authors>
  <commentList>
    <comment ref="L1" authorId="0" shapeId="0" xr:uid="{07B4230B-96FD-45E0-BED8-3E84440292DD}">
      <text>
        <r>
          <rPr>
            <b/>
            <sz val="9"/>
            <color indexed="81"/>
            <rFont val="Tahoma"/>
            <family val="2"/>
          </rPr>
          <t>LISTA PRECIOS VENTA - ESPECIAL 2026 1</t>
        </r>
      </text>
    </comment>
  </commentList>
</comments>
</file>

<file path=xl/sharedStrings.xml><?xml version="1.0" encoding="utf-8"?>
<sst xmlns="http://schemas.openxmlformats.org/spreadsheetml/2006/main" count="7713" uniqueCount="269">
  <si>
    <t>KEY</t>
  </si>
  <si>
    <t>IN</t>
  </si>
  <si>
    <t>TIPO</t>
  </si>
  <si>
    <t>CILINDRO</t>
  </si>
  <si>
    <t>AGENTE</t>
  </si>
  <si>
    <t>Ítem</t>
  </si>
  <si>
    <t>Marca</t>
  </si>
  <si>
    <t>Codigo</t>
  </si>
  <si>
    <t>Producto</t>
  </si>
  <si>
    <t>U/M</t>
  </si>
  <si>
    <t>Cant.</t>
  </si>
  <si>
    <t>Entrega</t>
  </si>
  <si>
    <t>Descripción</t>
  </si>
  <si>
    <t>SISTEMA</t>
  </si>
  <si>
    <t>TANK SIZE 8L</t>
  </si>
  <si>
    <t>FM-200</t>
  </si>
  <si>
    <t>ANSUL</t>
  </si>
  <si>
    <t>AGLIMP-RECARGA-00</t>
  </si>
  <si>
    <t>SERVICIO DE CARGA DE AGENTE 8L</t>
  </si>
  <si>
    <t>c/u.</t>
  </si>
  <si>
    <t>8L CARGA</t>
  </si>
  <si>
    <t>TANK SIZE 8L, Fill: 9-17 lb.</t>
  </si>
  <si>
    <t>FM-200-SRL</t>
  </si>
  <si>
    <t>FM-200 Agent,</t>
  </si>
  <si>
    <t>Gauge, Cylinder Valve FM-200</t>
  </si>
  <si>
    <t>Label FM-200 8/16/52L UL/FM</t>
  </si>
  <si>
    <t>Cylinder Low Pressure Switch</t>
  </si>
  <si>
    <t>Electric Actuator Shipping Assembly</t>
  </si>
  <si>
    <t>A1638150HY</t>
  </si>
  <si>
    <t>Local Manual Actuator</t>
  </si>
  <si>
    <t>570085-R2</t>
  </si>
  <si>
    <t>Tank Bracket Assembly (Fits 20, 50 &amp; 90 lb. Tanks)</t>
  </si>
  <si>
    <t>17549OK</t>
  </si>
  <si>
    <t>Nozzle, según memoria de calculo</t>
  </si>
  <si>
    <t>NOZ. 8L</t>
  </si>
  <si>
    <t>442927-R2</t>
  </si>
  <si>
    <t>NAMEPLATE, FM200, DO NOT ENTER</t>
  </si>
  <si>
    <t>442928-R2</t>
  </si>
  <si>
    <t>NAMEPLATE, FM200, PROTECTED,</t>
  </si>
  <si>
    <t>Single-Tank Swivel Adaptor, 1 in. (P/N 309002016)</t>
  </si>
  <si>
    <t>Switch, Pressure, 3PDT</t>
  </si>
  <si>
    <t>Acutation Hose, 16 in., 1/4 in. NPT x 7/16-20 in. F Flare</t>
  </si>
  <si>
    <t>Male Straight Connector, 7/16 - 20 x 1/4 in. NPT</t>
  </si>
  <si>
    <t>OPCIONAL</t>
  </si>
  <si>
    <t>570539-R2</t>
  </si>
  <si>
    <t>Flexible Discharge Hose, 1 in.</t>
  </si>
  <si>
    <t>Switch, Maintenance, Surface Mount</t>
  </si>
  <si>
    <t>TANK SIZE 16L</t>
  </si>
  <si>
    <t>SERVICIO DE CARGA DE AGENTE 16L</t>
  </si>
  <si>
    <t>16L CARGA</t>
  </si>
  <si>
    <t>TANK SIZE 16L, Fill: 18-35 lb.</t>
  </si>
  <si>
    <t>NOZ. 16L</t>
  </si>
  <si>
    <t>TANK SIZE 32L</t>
  </si>
  <si>
    <t>SERVICIO DE CARGA DE AGENTE 32L</t>
  </si>
  <si>
    <t>32L CARGA</t>
  </si>
  <si>
    <t>TANK SIZE 32L, Fill: 36-70 lb.</t>
  </si>
  <si>
    <t>Label FM-200 32/106/147/180/343L UL/FM</t>
  </si>
  <si>
    <t>NOZ. 32L</t>
  </si>
  <si>
    <t>TANK SIZE 52L</t>
  </si>
  <si>
    <t>SERVICIO DE CARGA DE AGENTE 52L</t>
  </si>
  <si>
    <t>52L CARGA</t>
  </si>
  <si>
    <t>TANK SIZE 52L, Fill: 58-114 lb.</t>
  </si>
  <si>
    <t>570092-R2</t>
  </si>
  <si>
    <t>Tank Bracket Assembly (Fits 140, 280, 390 &amp; 450 lb. Tanks)</t>
  </si>
  <si>
    <t>NOZ. 52L</t>
  </si>
  <si>
    <t>Single-Tank Swivel Adaptor, 2 in.  (P/N 309002017)</t>
  </si>
  <si>
    <t>Acutation Hose, 32 in., 1/4 in. NPT x 7/16-20 in. F Flare</t>
  </si>
  <si>
    <t>570538-R2</t>
  </si>
  <si>
    <t>Flexible Discharge Hose, 2 in.</t>
  </si>
  <si>
    <t>TANK SIZE 106L</t>
  </si>
  <si>
    <t>SERVICIO DE CARGA DE AGENTE 106L</t>
  </si>
  <si>
    <t>106L CARGA</t>
  </si>
  <si>
    <t>TANK SIZE 106L, Fill: 117-233 lb</t>
  </si>
  <si>
    <t>NOZ. 106L</t>
  </si>
  <si>
    <t>Liquid Level Indicator (For 280 lb. Tank), 32 in.</t>
  </si>
  <si>
    <t>TANK SIZE 147L</t>
  </si>
  <si>
    <t>SERVICIO DE CARGA DE AGENTE 147L</t>
  </si>
  <si>
    <t>147L CARGA</t>
  </si>
  <si>
    <t>TANK SIZE 147L, Fill: 163-324 lb.</t>
  </si>
  <si>
    <t>NOZ. 147L</t>
  </si>
  <si>
    <t>Liquid Level Indicator (For 390 &amp; 850 lb. Tanks), 43 in.</t>
  </si>
  <si>
    <t>TANK SIZE 180L</t>
  </si>
  <si>
    <t>SERVICIO DE CARGA DE AGENTE 180L</t>
  </si>
  <si>
    <t>180L CARGA</t>
  </si>
  <si>
    <t>TANK SIZE 180L, Fill: 199-396 lb.</t>
  </si>
  <si>
    <t>NOZ. 180L</t>
  </si>
  <si>
    <t>TANK SIZE 343L</t>
  </si>
  <si>
    <t>SERVICIO DE CARGA DE AGENTE 343L</t>
  </si>
  <si>
    <t>343L CARGA</t>
  </si>
  <si>
    <t>TANK SIZE 343L, Fill: 379-756 lb.</t>
  </si>
  <si>
    <t>570336-R2</t>
  </si>
  <si>
    <t>Tank Bracket Assembly (Fits 850 lb. Tank)</t>
  </si>
  <si>
    <t>NOZ. 343L</t>
  </si>
  <si>
    <t>Single-Tank Swivel Adaptor, 3 in. Flare to 3 in. Grooved</t>
  </si>
  <si>
    <t>Acutation Hose, 42 in., 1/4 in. NPT x 7/16-20 in. F Flare</t>
  </si>
  <si>
    <t>CHECK VALVE, 3", W/ ADAPTOR ASSY</t>
  </si>
  <si>
    <t>3" Flexible Hose ASM</t>
  </si>
  <si>
    <t>Discharge Hose/Check Valve Assembly, 3 in.</t>
  </si>
  <si>
    <t>FK-5-1-12</t>
  </si>
  <si>
    <t>TANK SIZE 8L, Fill: 9-21 lb.</t>
  </si>
  <si>
    <t>FK-5-1-12  FLUID FACTORY FILL PER L</t>
  </si>
  <si>
    <t>Pressure Gauge, FK-5-1-12</t>
  </si>
  <si>
    <t>SAPPHIRE Label 8/16/52L UL/FM</t>
  </si>
  <si>
    <t>314207101-R2</t>
  </si>
  <si>
    <t>DOOR NOTICE (LESS THAN NOAEL)</t>
  </si>
  <si>
    <t>314207103-R2</t>
  </si>
  <si>
    <t>MANUAL RELEASE SIGN</t>
  </si>
  <si>
    <t>TANK SIZE 16L, Fill: 18 - 42 lbs.</t>
  </si>
  <si>
    <t>TANK SIZE 32L, Fill: 36 - 84 lbs.</t>
  </si>
  <si>
    <t>SAPPHIRE Label 32/106 a 343L UL/FM</t>
  </si>
  <si>
    <t>TANK SIZE 52L, Fill: 58-137 lb.</t>
  </si>
  <si>
    <t>TANK SIZE 106L, Fill: 117-280 lb.</t>
  </si>
  <si>
    <t>TANK SIZE 147L, Fill: 163-388 lb.</t>
  </si>
  <si>
    <t>TANK SIZE 180L, Fill: 199-459 lb.</t>
  </si>
  <si>
    <t>Liquid Level Indicator (For 450 lb. Tank), 55 in.</t>
  </si>
  <si>
    <t>TANK SIZE 343L, Fill: 379-851 lb.</t>
  </si>
  <si>
    <t>RESERVA</t>
  </si>
  <si>
    <t>MAIN RESERVE</t>
  </si>
  <si>
    <t>switch main reserve, surface mount</t>
  </si>
  <si>
    <t>Manifold Check Valve, 1 in.</t>
  </si>
  <si>
    <t>Pneumatic Actuator</t>
  </si>
  <si>
    <t>Male Elbow, 7/16-20 x 1/4 in. NPT</t>
  </si>
  <si>
    <t>Actuation Hose, Swivel, Stainless Braided, 24 in., 1/4 in. Female</t>
  </si>
  <si>
    <t>Male Tee, 7/16 - 20 x 1/4 in. NPT</t>
  </si>
  <si>
    <t>Manifold Check Valve, 2 in.</t>
  </si>
  <si>
    <t>69841-R2</t>
  </si>
  <si>
    <t>SISTEMA MANIFOLD</t>
  </si>
  <si>
    <t>METROS</t>
  </si>
  <si>
    <t>PIES</t>
  </si>
  <si>
    <t>ALTURA GEOGRAFICA</t>
  </si>
  <si>
    <t>METROS (msnm)</t>
  </si>
  <si>
    <t>SALA 1</t>
  </si>
  <si>
    <t>SALA 2</t>
  </si>
  <si>
    <t>SALA 3</t>
  </si>
  <si>
    <t>SALA 4</t>
  </si>
  <si>
    <t>LARGO</t>
  </si>
  <si>
    <t>ANCHO</t>
  </si>
  <si>
    <t>ALTO</t>
  </si>
  <si>
    <t>PISO FALSO</t>
  </si>
  <si>
    <t>CIELO FALSO</t>
  </si>
  <si>
    <t>ALTO TOTAL</t>
  </si>
  <si>
    <t>AREA</t>
  </si>
  <si>
    <t>VOLUMEN</t>
  </si>
  <si>
    <t>FM - 200</t>
  </si>
  <si>
    <t>NOVEC - 1230</t>
  </si>
  <si>
    <t>ECARO - 25</t>
  </si>
  <si>
    <t>HAZARD INFORMATION</t>
  </si>
  <si>
    <t>AREA 1</t>
  </si>
  <si>
    <t>AREA 2</t>
  </si>
  <si>
    <t>AREA 3</t>
  </si>
  <si>
    <t>AREA 4</t>
  </si>
  <si>
    <t>AREA 5</t>
  </si>
  <si>
    <t>AREA 6</t>
  </si>
  <si>
    <t xml:space="preserve">Area Name: </t>
  </si>
  <si>
    <t xml:space="preserve">Length (ft.): </t>
  </si>
  <si>
    <t xml:space="preserve">Width (ft.): </t>
  </si>
  <si>
    <t xml:space="preserve">Height (ft.): </t>
  </si>
  <si>
    <t xml:space="preserve">Area (sq. ft.): </t>
  </si>
  <si>
    <t xml:space="preserve">Volume (cu. ft.): </t>
  </si>
  <si>
    <t xml:space="preserve">Specified Volume (cu. ft.): </t>
  </si>
  <si>
    <t xml:space="preserve"> Structural Reductions (cu. ft.):</t>
  </si>
  <si>
    <t>Net Volume:</t>
  </si>
  <si>
    <t>DESIGN CONCENTRATION:</t>
  </si>
  <si>
    <t xml:space="preserve">Minimum Ambient Temp.: </t>
  </si>
  <si>
    <t xml:space="preserve">Maximum Ambient Temp.: </t>
  </si>
  <si>
    <t xml:space="preserve">Normal Ambient Temperature: </t>
  </si>
  <si>
    <t xml:space="preserve">Altitude Correction: </t>
  </si>
  <si>
    <t>VOLUME CALCULATIONS:</t>
  </si>
  <si>
    <t>Area Name:</t>
  </si>
  <si>
    <t>Length (ft.):</t>
  </si>
  <si>
    <t>Width (ft.):</t>
  </si>
  <si>
    <t>Height (ft.):</t>
  </si>
  <si>
    <t>Area (sq. ft.):</t>
  </si>
  <si>
    <t>Volume (cu. ft.):</t>
  </si>
  <si>
    <t>Addtional Volume (air receivers, etc.)(sq. ft.):</t>
  </si>
  <si>
    <t>Gross Volume (cu. ft.):</t>
  </si>
  <si>
    <t>Volume Reductions:</t>
  </si>
  <si>
    <t>(Volume - Structural Reductions)</t>
  </si>
  <si>
    <t xml:space="preserve"> Movable Object Reductions (cu. ft.):</t>
  </si>
  <si>
    <t>(If More Than 25% of Reduced Volume)</t>
  </si>
  <si>
    <t>Total Reduced Volume (cu. ft.):</t>
  </si>
  <si>
    <t>(Reduced Volume - Movable Object Reductions)</t>
  </si>
  <si>
    <t>ROOM MINIMUM AMBIENT TEMP.:</t>
  </si>
  <si>
    <t>FLOODING FACTOR:</t>
  </si>
  <si>
    <t>(From Table)</t>
  </si>
  <si>
    <t>INITIAL FM200 QUANTITY CALC.:</t>
  </si>
  <si>
    <t>INITIAL NOVEC 1230 QUANTITY CALC.:</t>
  </si>
  <si>
    <t>FM200 Quantity (lbs.):</t>
  </si>
  <si>
    <t>NOVEC 1230 Quantity (lbs.):</t>
  </si>
  <si>
    <t>Quantity (lbs.):</t>
  </si>
  <si>
    <t xml:space="preserve"> (Total Reduced Volume x Flooding factor) or (Formula from Design Manual)</t>
  </si>
  <si>
    <t>ALTITUDE CORRECTION:</t>
  </si>
  <si>
    <t>Height Above or Below Sea Level:</t>
  </si>
  <si>
    <t>Factor:</t>
  </si>
  <si>
    <t>(From Design Manual Table)</t>
  </si>
  <si>
    <t>ACTUAL FM200 QTY (lbs.):</t>
  </si>
  <si>
    <t>ACTUAL NOVEC 1230 QTY (lbs.):</t>
  </si>
  <si>
    <t>ACTUAL  QTY (lbs.):</t>
  </si>
  <si>
    <t>(Initial FM200 Quantity x Altitude Correction Factor)</t>
  </si>
  <si>
    <t>(Initial NOVEC 1230 Quantity x Altitude Correction Factor)</t>
  </si>
  <si>
    <t>PISO</t>
  </si>
  <si>
    <t>CIELO</t>
  </si>
  <si>
    <t>TOTAL FM200 QTY (lbs.):</t>
  </si>
  <si>
    <t>TOTAL NOVEC 1230 QTY (lbs.):</t>
  </si>
  <si>
    <t>TOTAL QTY (lbs.):</t>
  </si>
  <si>
    <t>(Sum of all Actual FM200 qty's)</t>
  </si>
  <si>
    <t>(Sum of all Actual NOVEC 1230 qty's)</t>
  </si>
  <si>
    <t>(Sum of all Actual  qty's)</t>
  </si>
  <si>
    <t>validador</t>
  </si>
  <si>
    <t>Manifold</t>
  </si>
  <si>
    <t>extremos</t>
  </si>
  <si>
    <t xml:space="preserve"> </t>
  </si>
  <si>
    <t>Q cilindros</t>
  </si>
  <si>
    <t>Equivalent Altitude*</t>
  </si>
  <si>
    <t>km</t>
  </si>
  <si>
    <t>(ft)</t>
  </si>
  <si>
    <t>Factor</t>
  </si>
  <si>
    <t>Temp</t>
  </si>
  <si>
    <t>tabla temp FM</t>
  </si>
  <si>
    <t>Vapor Volume S (ft3 / lb)</t>
  </si>
  <si>
    <t>key</t>
  </si>
  <si>
    <t>T (ºF)</t>
  </si>
  <si>
    <t>(ft3/lb)</t>
  </si>
  <si>
    <t>MODELO CIL.</t>
  </si>
  <si>
    <t>DEFAULT</t>
  </si>
  <si>
    <t>nozzle novec</t>
  </si>
  <si>
    <t>9,14 m.</t>
  </si>
  <si>
    <t>radio</t>
  </si>
  <si>
    <t>TIPO SIST.</t>
  </si>
  <si>
    <t>MANIFOLD</t>
  </si>
  <si>
    <t>DIMENSIONES</t>
  </si>
  <si>
    <t>TEMPERATURA</t>
  </si>
  <si>
    <t>15 m.</t>
  </si>
  <si>
    <t>CILINDROS CANT.</t>
  </si>
  <si>
    <t>MIN Cº</t>
  </si>
  <si>
    <t>nozzle fm</t>
  </si>
  <si>
    <t xml:space="preserve">8,7 m. </t>
  </si>
  <si>
    <t>10,05 m.</t>
  </si>
  <si>
    <t>CANTIDAD Lbs.</t>
  </si>
  <si>
    <t>MAX Cº</t>
  </si>
  <si>
    <t>COD. CIL.</t>
  </si>
  <si>
    <t>nozzle</t>
  </si>
  <si>
    <t>Actualizar Stock</t>
  </si>
  <si>
    <t>CONEXIÓN DESCARGA</t>
  </si>
  <si>
    <t>FLEXIBLE</t>
  </si>
  <si>
    <t>piso</t>
  </si>
  <si>
    <t>-OPCIONAL</t>
  </si>
  <si>
    <t>cielo</t>
  </si>
  <si>
    <t>Altura Nozz</t>
  </si>
  <si>
    <t>total nozzle</t>
  </si>
  <si>
    <t>Nozzle</t>
  </si>
  <si>
    <t>Kg</t>
  </si>
  <si>
    <t xml:space="preserve">Libras </t>
  </si>
  <si>
    <t>Conc. Novec</t>
  </si>
  <si>
    <t>Nombre de la sala</t>
  </si>
  <si>
    <t>Conc. FM200</t>
  </si>
  <si>
    <t>AAA</t>
  </si>
  <si>
    <t>Capacidad cil</t>
  </si>
  <si>
    <t>Llenado Cil</t>
  </si>
  <si>
    <t>TOTAL</t>
  </si>
  <si>
    <t>Para espacios que contengan riesgos eléctricos mayores a 480 voltios, se deben desenergizar los equipos antes de la descarga. En caso de que los equipos tienen que seguir energizados comunicarse con su ejecutivo comercial.</t>
  </si>
  <si>
    <t>V.Unitario</t>
  </si>
  <si>
    <t>V.Total</t>
  </si>
  <si>
    <t>STOCK</t>
  </si>
  <si>
    <t>RESPALDO</t>
  </si>
  <si>
    <t>id</t>
  </si>
  <si>
    <t>Ver cotizacion</t>
  </si>
  <si>
    <t>COMPLETAR SOLO CUANDO SE QUIERE PROTEGER 2 O MAS SALAS CON 1 SISTEMA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</si>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</sst>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1" formatCode="_ * #,##0_ ;_ * \-#,##0_ ;_ * &quot;-&quot;_ ;_ @_ "/>
    <numFmt numFmtId="164" formatCode="0.0000"/>
    <numFmt numFmtId="165" formatCode="0.0"/>
    <numFmt numFmtId="166" formatCode="0.000"/>
    <numFmt numFmtId="167" formatCode="_-* #,##0.00_-;\-* #,##0.00_-;_-* &quot;-&quot;??_-;_-@_-"/>
    <numFmt numFmtId="168" formatCode="_-* #,##0\ _€_-;\-* #,##0\ _€_-;_-* &quot;-&quot;??\ _€_-;_-@_-"/>
    <numFmt numFmtId="169" formatCode="_-* #,##0.00\ _€_-;\-* #,##0.00\ _€_-;_-* &quot;-&quot;??\ _€_-;_-@_-"/>
    <numFmt numFmtId="170" formatCode="0.0%"/>
    <numFmt numFmtId="171" formatCode="[$USD]\ #,##0.00_);\([$USD]\ #,##0.00\)"/>
    <numFmt numFmtId="172" formatCode="&quot;$&quot;#,##0.00"/>
    <numFmt numFmtId="173" formatCode="0.000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8"/>
      <name val="Calibri"/>
      <family val="2"/>
      <scheme val="minor"/>
    </font>
    <font>
      <i/>
      <sz val="8"/>
      <name val="Calibri"/>
      <family val="2"/>
      <scheme val="minor"/>
    </font>
    <font>
      <b/>
      <sz val="9"/>
      <color indexed="81"/>
      <name val="Tahoma"/>
      <family val="2"/>
    </font>
    <font>
      <sz val="8"/>
      <color rgb="FF000000"/>
      <name val="Tahoma"/>
      <family val="2"/>
    </font>
    <font>
      <sz val="8"/>
      <color theme="0"/>
      <name val="Calibri"/>
      <family val="2"/>
      <scheme val="minor"/>
    </font>
    <font>
      <i/>
      <sz val="8"/>
      <color rgb="FF231F20"/>
      <name val="Arial"/>
      <family val="2"/>
    </font>
    <font>
      <sz val="8"/>
      <color rgb="FF231F20"/>
      <name val="Arial"/>
      <family val="2"/>
    </font>
    <font>
      <sz val="11"/>
      <color indexed="8"/>
      <name val="Calibri"/>
      <family val="2"/>
    </font>
    <font>
      <b/>
      <sz val="8"/>
      <color theme="0"/>
      <name val="Calibri"/>
      <family val="2"/>
      <scheme val="minor"/>
    </font>
    <font>
      <sz val="8"/>
      <color rgb="FF231F20"/>
      <name val="Symbol"/>
      <family val="1"/>
      <charset val="2"/>
    </font>
    <font>
      <b/>
      <sz val="9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B5FA8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16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5" fillId="0" borderId="0" applyFont="0" applyFill="0" applyBorder="0" applyAlignment="0" applyProtection="0"/>
  </cellStyleXfs>
  <cellXfs count="276">
    <xf numFmtId="0" fontId="0" fillId="0" borderId="0" xfId="0"/>
    <xf numFmtId="0" fontId="3" fillId="3" borderId="0" xfId="0" applyFont="1" applyFill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64" fontId="5" fillId="0" borderId="0" xfId="0" applyNumberFormat="1" applyFont="1"/>
    <xf numFmtId="0" fontId="5" fillId="0" borderId="0" xfId="0" applyFont="1"/>
    <xf numFmtId="0" fontId="5" fillId="4" borderId="0" xfId="0" applyFont="1" applyFill="1"/>
    <xf numFmtId="0" fontId="5" fillId="0" borderId="0" xfId="0" applyFont="1" applyAlignment="1">
      <alignment horizontal="center" vertical="center"/>
    </xf>
    <xf numFmtId="0" fontId="5" fillId="5" borderId="0" xfId="0" applyFont="1" applyFill="1"/>
    <xf numFmtId="0" fontId="5" fillId="0" borderId="0" xfId="0" applyFont="1" applyAlignment="1">
      <alignment horizontal="center"/>
    </xf>
    <xf numFmtId="0" fontId="6" fillId="0" borderId="0" xfId="0" applyFont="1"/>
    <xf numFmtId="0" fontId="3" fillId="0" borderId="1" xfId="0" applyFont="1" applyBorder="1"/>
    <xf numFmtId="0" fontId="3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5" fillId="0" borderId="5" xfId="0" applyFont="1" applyBorder="1"/>
    <xf numFmtId="164" fontId="5" fillId="0" borderId="5" xfId="0" applyNumberFormat="1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5" fillId="0" borderId="9" xfId="0" applyFont="1" applyBorder="1"/>
    <xf numFmtId="164" fontId="5" fillId="0" borderId="10" xfId="0" applyNumberFormat="1" applyFont="1" applyBorder="1"/>
    <xf numFmtId="164" fontId="5" fillId="0" borderId="11" xfId="0" applyNumberFormat="1" applyFont="1" applyBorder="1"/>
    <xf numFmtId="0" fontId="5" fillId="0" borderId="10" xfId="0" applyFont="1" applyBorder="1"/>
    <xf numFmtId="0" fontId="5" fillId="0" borderId="12" xfId="0" applyFont="1" applyBorder="1"/>
    <xf numFmtId="164" fontId="5" fillId="0" borderId="13" xfId="0" applyNumberFormat="1" applyFont="1" applyBorder="1"/>
    <xf numFmtId="2" fontId="5" fillId="0" borderId="0" xfId="0" applyNumberFormat="1" applyFont="1"/>
    <xf numFmtId="2" fontId="5" fillId="0" borderId="10" xfId="0" applyNumberFormat="1" applyFont="1" applyBorder="1"/>
    <xf numFmtId="0" fontId="5" fillId="0" borderId="14" xfId="0" applyFont="1" applyBorder="1"/>
    <xf numFmtId="2" fontId="3" fillId="7" borderId="15" xfId="0" applyNumberFormat="1" applyFont="1" applyFill="1" applyBorder="1"/>
    <xf numFmtId="164" fontId="5" fillId="0" borderId="16" xfId="0" applyNumberFormat="1" applyFont="1" applyBorder="1"/>
    <xf numFmtId="2" fontId="5" fillId="7" borderId="0" xfId="0" applyNumberFormat="1" applyFont="1" applyFill="1"/>
    <xf numFmtId="2" fontId="5" fillId="7" borderId="15" xfId="0" applyNumberFormat="1" applyFont="1" applyFill="1" applyBorder="1"/>
    <xf numFmtId="0" fontId="3" fillId="8" borderId="6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0" fontId="7" fillId="0" borderId="0" xfId="0" applyFont="1" applyAlignment="1" applyProtection="1">
      <alignment horizontal="right"/>
      <protection locked="0" hidden="1"/>
    </xf>
    <xf numFmtId="0" fontId="8" fillId="0" borderId="0" xfId="0" applyFont="1" applyAlignment="1" applyProtection="1">
      <alignment horizontal="center"/>
      <protection locked="0" hidden="1"/>
    </xf>
    <xf numFmtId="0" fontId="6" fillId="0" borderId="0" xfId="0" applyFont="1" applyAlignment="1" applyProtection="1">
      <alignment horizontal="right"/>
      <protection locked="0" hidden="1"/>
    </xf>
    <xf numFmtId="2" fontId="6" fillId="9" borderId="17" xfId="0" applyNumberFormat="1" applyFont="1" applyFill="1" applyBorder="1" applyAlignment="1" applyProtection="1">
      <alignment horizontal="center"/>
      <protection locked="0" hidden="1"/>
    </xf>
    <xf numFmtId="2" fontId="5" fillId="9" borderId="17" xfId="0" applyNumberFormat="1" applyFont="1" applyFill="1" applyBorder="1" applyAlignment="1" applyProtection="1">
      <alignment horizontal="center"/>
      <protection locked="0" hidden="1"/>
    </xf>
    <xf numFmtId="0" fontId="5" fillId="0" borderId="0" xfId="0" applyFont="1" applyProtection="1">
      <protection hidden="1"/>
    </xf>
    <xf numFmtId="165" fontId="6" fillId="0" borderId="5" xfId="0" applyNumberFormat="1" applyFont="1" applyBorder="1" applyAlignment="1" applyProtection="1">
      <alignment horizontal="center"/>
      <protection hidden="1"/>
    </xf>
    <xf numFmtId="1" fontId="6" fillId="0" borderId="5" xfId="0" applyNumberFormat="1" applyFont="1" applyBorder="1" applyAlignment="1" applyProtection="1">
      <alignment horizontal="center"/>
      <protection hidden="1"/>
    </xf>
    <xf numFmtId="2" fontId="6" fillId="0" borderId="17" xfId="0" applyNumberFormat="1" applyFont="1" applyBorder="1" applyAlignment="1" applyProtection="1">
      <alignment horizontal="center"/>
      <protection locked="0" hidden="1"/>
    </xf>
    <xf numFmtId="2" fontId="6" fillId="0" borderId="5" xfId="0" applyNumberFormat="1" applyFont="1" applyBorder="1" applyAlignment="1" applyProtection="1">
      <alignment horizontal="center"/>
      <protection locked="0" hidden="1"/>
    </xf>
    <xf numFmtId="2" fontId="6" fillId="9" borderId="5" xfId="0" applyNumberFormat="1" applyFont="1" applyFill="1" applyBorder="1" applyAlignment="1" applyProtection="1">
      <alignment horizontal="center"/>
      <protection locked="0" hidden="1"/>
    </xf>
    <xf numFmtId="1" fontId="6" fillId="0" borderId="5" xfId="0" applyNumberFormat="1" applyFont="1" applyBorder="1" applyAlignment="1" applyProtection="1">
      <alignment horizontal="center"/>
      <protection locked="0" hidden="1"/>
    </xf>
    <xf numFmtId="2" fontId="7" fillId="9" borderId="0" xfId="0" applyNumberFormat="1" applyFont="1" applyFill="1" applyAlignment="1" applyProtection="1">
      <alignment horizontal="center"/>
      <protection locked="0" hidden="1"/>
    </xf>
    <xf numFmtId="165" fontId="6" fillId="9" borderId="5" xfId="0" applyNumberFormat="1" applyFont="1" applyFill="1" applyBorder="1" applyAlignment="1" applyProtection="1">
      <alignment horizontal="center"/>
      <protection locked="0" hidden="1"/>
    </xf>
    <xf numFmtId="0" fontId="5" fillId="9" borderId="17" xfId="0" applyFont="1" applyFill="1" applyBorder="1" applyAlignment="1" applyProtection="1">
      <alignment horizontal="center"/>
      <protection locked="0" hidden="1"/>
    </xf>
    <xf numFmtId="164" fontId="6" fillId="9" borderId="17" xfId="0" applyNumberFormat="1" applyFont="1" applyFill="1" applyBorder="1" applyAlignment="1" applyProtection="1">
      <alignment horizontal="center"/>
      <protection locked="0" hidden="1"/>
    </xf>
    <xf numFmtId="0" fontId="7" fillId="0" borderId="0" xfId="0" applyFont="1" applyAlignment="1">
      <alignment horizontal="right"/>
    </xf>
    <xf numFmtId="0" fontId="8" fillId="0" borderId="18" xfId="0" applyFont="1" applyBorder="1" applyAlignment="1">
      <alignment horizontal="center"/>
    </xf>
    <xf numFmtId="0" fontId="6" fillId="0" borderId="0" xfId="0" applyFont="1" applyAlignment="1">
      <alignment horizontal="right"/>
    </xf>
    <xf numFmtId="2" fontId="6" fillId="0" borderId="5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65" fontId="6" fillId="0" borderId="5" xfId="0" applyNumberFormat="1" applyFont="1" applyBorder="1" applyAlignment="1">
      <alignment horizontal="center"/>
    </xf>
    <xf numFmtId="1" fontId="6" fillId="0" borderId="5" xfId="0" applyNumberFormat="1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0" fontId="9" fillId="0" borderId="0" xfId="0" applyFont="1" applyAlignment="1">
      <alignment horizontal="right"/>
    </xf>
    <xf numFmtId="2" fontId="6" fillId="0" borderId="5" xfId="0" applyNumberFormat="1" applyFont="1" applyBorder="1" applyAlignment="1" applyProtection="1">
      <alignment horizontal="center"/>
      <protection locked="0"/>
    </xf>
    <xf numFmtId="164" fontId="6" fillId="10" borderId="5" xfId="0" applyNumberFormat="1" applyFont="1" applyFill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165" fontId="6" fillId="4" borderId="5" xfId="0" applyNumberFormat="1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6" fillId="0" borderId="5" xfId="0" applyFont="1" applyBorder="1" applyAlignment="1">
      <alignment horizontal="center"/>
    </xf>
    <xf numFmtId="2" fontId="6" fillId="10" borderId="5" xfId="0" applyNumberFormat="1" applyFont="1" applyFill="1" applyBorder="1" applyAlignment="1">
      <alignment horizontal="center"/>
    </xf>
    <xf numFmtId="166" fontId="6" fillId="0" borderId="5" xfId="0" applyNumberFormat="1" applyFont="1" applyBorder="1" applyAlignment="1">
      <alignment horizontal="center"/>
    </xf>
    <xf numFmtId="2" fontId="7" fillId="0" borderId="5" xfId="0" applyNumberFormat="1" applyFont="1" applyBorder="1" applyAlignment="1">
      <alignment horizontal="center"/>
    </xf>
    <xf numFmtId="2" fontId="5" fillId="0" borderId="5" xfId="0" applyNumberFormat="1" applyFont="1" applyBorder="1" applyAlignment="1">
      <alignment horizontal="right"/>
    </xf>
    <xf numFmtId="2" fontId="7" fillId="0" borderId="0" xfId="0" applyNumberFormat="1" applyFont="1" applyAlignment="1">
      <alignment horizontal="right"/>
    </xf>
    <xf numFmtId="2" fontId="6" fillId="0" borderId="5" xfId="0" applyNumberFormat="1" applyFont="1" applyBorder="1" applyAlignment="1">
      <alignment horizontal="right"/>
    </xf>
    <xf numFmtId="9" fontId="5" fillId="0" borderId="0" xfId="3" applyFont="1"/>
    <xf numFmtId="3" fontId="5" fillId="0" borderId="0" xfId="0" applyNumberFormat="1" applyFont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0" applyNumberFormat="1" applyFont="1"/>
    <xf numFmtId="2" fontId="3" fillId="3" borderId="0" xfId="0" applyNumberFormat="1" applyFont="1" applyFill="1"/>
    <xf numFmtId="2" fontId="3" fillId="0" borderId="0" xfId="0" applyNumberFormat="1" applyFont="1"/>
    <xf numFmtId="0" fontId="5" fillId="11" borderId="0" xfId="0" applyFont="1" applyFill="1"/>
    <xf numFmtId="164" fontId="5" fillId="3" borderId="0" xfId="0" applyNumberFormat="1" applyFont="1" applyFill="1"/>
    <xf numFmtId="1" fontId="5" fillId="0" borderId="0" xfId="0" applyNumberFormat="1" applyFont="1"/>
    <xf numFmtId="0" fontId="5" fillId="0" borderId="5" xfId="0" applyFont="1" applyBorder="1" applyAlignment="1">
      <alignment horizontal="left" vertical="center"/>
    </xf>
    <xf numFmtId="0" fontId="3" fillId="11" borderId="5" xfId="0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 vertical="center"/>
    </xf>
    <xf numFmtId="17" fontId="7" fillId="12" borderId="0" xfId="0" applyNumberFormat="1" applyFont="1" applyFill="1" applyAlignment="1">
      <alignment horizontal="center"/>
    </xf>
    <xf numFmtId="2" fontId="5" fillId="12" borderId="0" xfId="0" applyNumberFormat="1" applyFont="1" applyFill="1"/>
    <xf numFmtId="2" fontId="6" fillId="0" borderId="0" xfId="0" applyNumberFormat="1" applyFont="1"/>
    <xf numFmtId="0" fontId="12" fillId="13" borderId="0" xfId="0" applyFont="1" applyFill="1"/>
    <xf numFmtId="0" fontId="12" fillId="0" borderId="0" xfId="0" applyFont="1"/>
    <xf numFmtId="0" fontId="5" fillId="11" borderId="5" xfId="0" applyFont="1" applyFill="1" applyBorder="1" applyAlignment="1">
      <alignment horizontal="center" vertical="center"/>
    </xf>
    <xf numFmtId="0" fontId="13" fillId="11" borderId="0" xfId="0" applyFont="1" applyFill="1" applyAlignment="1">
      <alignment horizontal="center" vertical="center" wrapText="1"/>
    </xf>
    <xf numFmtId="0" fontId="14" fillId="11" borderId="0" xfId="0" applyFont="1" applyFill="1" applyAlignment="1">
      <alignment horizontal="center" vertical="center" wrapText="1"/>
    </xf>
    <xf numFmtId="0" fontId="14" fillId="11" borderId="0" xfId="0" applyFont="1" applyFill="1" applyAlignment="1">
      <alignment horizontal="left" vertical="center" wrapText="1" indent="4"/>
    </xf>
    <xf numFmtId="0" fontId="3" fillId="0" borderId="5" xfId="0" applyFont="1" applyBorder="1" applyAlignment="1" applyProtection="1">
      <alignment horizontal="center" vertical="center"/>
      <protection locked="0"/>
    </xf>
    <xf numFmtId="168" fontId="16" fillId="14" borderId="5" xfId="4" applyNumberFormat="1" applyFont="1" applyFill="1" applyBorder="1" applyAlignment="1" applyProtection="1">
      <alignment horizontal="center" vertical="center"/>
    </xf>
    <xf numFmtId="0" fontId="12" fillId="15" borderId="5" xfId="0" applyFont="1" applyFill="1" applyBorder="1" applyAlignment="1">
      <alignment horizontal="center"/>
    </xf>
    <xf numFmtId="0" fontId="5" fillId="13" borderId="0" xfId="0" applyFont="1" applyFill="1"/>
    <xf numFmtId="0" fontId="5" fillId="11" borderId="0" xfId="0" applyFont="1" applyFill="1" applyAlignment="1">
      <alignment vertical="top" wrapText="1"/>
    </xf>
    <xf numFmtId="0" fontId="17" fillId="11" borderId="0" xfId="0" applyFont="1" applyFill="1" applyAlignment="1">
      <alignment horizontal="left" vertical="center" wrapText="1" indent="3"/>
    </xf>
    <xf numFmtId="1" fontId="3" fillId="0" borderId="5" xfId="0" applyNumberFormat="1" applyFont="1" applyBorder="1" applyAlignment="1" applyProtection="1">
      <alignment horizontal="center" vertical="center"/>
      <protection locked="0"/>
    </xf>
    <xf numFmtId="0" fontId="16" fillId="14" borderId="5" xfId="0" applyFont="1" applyFill="1" applyBorder="1" applyAlignment="1">
      <alignment horizontal="center" vertical="center"/>
    </xf>
    <xf numFmtId="2" fontId="5" fillId="4" borderId="5" xfId="0" applyNumberFormat="1" applyFont="1" applyFill="1" applyBorder="1" applyAlignment="1" applyProtection="1">
      <alignment horizontal="right"/>
      <protection locked="0"/>
    </xf>
    <xf numFmtId="2" fontId="5" fillId="3" borderId="5" xfId="0" applyNumberFormat="1" applyFont="1" applyFill="1" applyBorder="1"/>
    <xf numFmtId="0" fontId="6" fillId="0" borderId="8" xfId="0" applyFont="1" applyBorder="1"/>
    <xf numFmtId="0" fontId="14" fillId="11" borderId="0" xfId="0" applyFont="1" applyFill="1" applyAlignment="1">
      <alignment horizontal="left" vertical="center" wrapText="1" indent="5"/>
    </xf>
    <xf numFmtId="2" fontId="3" fillId="0" borderId="0" xfId="0" applyNumberFormat="1" applyFont="1" applyAlignment="1">
      <alignment horizontal="center" vertical="center"/>
    </xf>
    <xf numFmtId="0" fontId="3" fillId="11" borderId="0" xfId="0" applyFont="1" applyFill="1" applyAlignment="1">
      <alignment horizontal="left"/>
    </xf>
    <xf numFmtId="1" fontId="3" fillId="4" borderId="8" xfId="0" applyNumberFormat="1" applyFont="1" applyFill="1" applyBorder="1" applyProtection="1">
      <protection locked="0"/>
    </xf>
    <xf numFmtId="0" fontId="5" fillId="11" borderId="0" xfId="0" applyFont="1" applyFill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0" fontId="7" fillId="11" borderId="5" xfId="0" applyFont="1" applyFill="1" applyBorder="1" applyAlignment="1">
      <alignment horizontal="center" vertical="center"/>
    </xf>
    <xf numFmtId="168" fontId="16" fillId="11" borderId="0" xfId="4" applyNumberFormat="1" applyFont="1" applyFill="1" applyBorder="1" applyAlignment="1" applyProtection="1">
      <alignment horizontal="center" vertical="center"/>
    </xf>
    <xf numFmtId="0" fontId="5" fillId="11" borderId="5" xfId="0" applyFont="1" applyFill="1" applyBorder="1"/>
    <xf numFmtId="2" fontId="5" fillId="11" borderId="5" xfId="0" applyNumberFormat="1" applyFont="1" applyFill="1" applyBorder="1"/>
    <xf numFmtId="2" fontId="5" fillId="11" borderId="0" xfId="0" applyNumberFormat="1" applyFont="1" applyFill="1"/>
    <xf numFmtId="0" fontId="18" fillId="4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2" fontId="5" fillId="11" borderId="0" xfId="0" applyNumberFormat="1" applyFont="1" applyFill="1" applyAlignment="1">
      <alignment vertical="center"/>
    </xf>
    <xf numFmtId="0" fontId="5" fillId="11" borderId="0" xfId="0" applyFont="1" applyFill="1" applyAlignment="1">
      <alignment vertical="center" wrapText="1"/>
    </xf>
    <xf numFmtId="2" fontId="5" fillId="11" borderId="5" xfId="0" applyNumberFormat="1" applyFont="1" applyFill="1" applyBorder="1" applyAlignment="1">
      <alignment horizontal="right"/>
    </xf>
    <xf numFmtId="1" fontId="5" fillId="11" borderId="0" xfId="0" applyNumberFormat="1" applyFont="1" applyFill="1"/>
    <xf numFmtId="0" fontId="5" fillId="0" borderId="0" xfId="0" quotePrefix="1" applyFont="1"/>
    <xf numFmtId="2" fontId="3" fillId="3" borderId="5" xfId="0" applyNumberFormat="1" applyFont="1" applyFill="1" applyBorder="1"/>
    <xf numFmtId="0" fontId="3" fillId="11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/>
    </xf>
    <xf numFmtId="9" fontId="6" fillId="0" borderId="0" xfId="3" applyFont="1" applyProtection="1"/>
    <xf numFmtId="0" fontId="16" fillId="11" borderId="0" xfId="0" applyFont="1" applyFill="1" applyAlignment="1">
      <alignment horizontal="center"/>
    </xf>
    <xf numFmtId="0" fontId="3" fillId="11" borderId="0" xfId="0" applyFont="1" applyFill="1" applyAlignment="1">
      <alignment horizontal="center" vertical="center"/>
    </xf>
    <xf numFmtId="0" fontId="3" fillId="4" borderId="5" xfId="0" applyFont="1" applyFill="1" applyBorder="1" applyAlignment="1" applyProtection="1">
      <alignment horizontal="center"/>
      <protection locked="0"/>
    </xf>
    <xf numFmtId="169" fontId="6" fillId="0" borderId="0" xfId="1" applyFont="1" applyProtection="1"/>
    <xf numFmtId="0" fontId="3" fillId="11" borderId="0" xfId="0" applyFont="1" applyFill="1"/>
    <xf numFmtId="2" fontId="5" fillId="11" borderId="0" xfId="2" applyNumberFormat="1" applyFont="1" applyFill="1" applyBorder="1" applyAlignment="1" applyProtection="1">
      <alignment horizontal="right"/>
    </xf>
    <xf numFmtId="0" fontId="7" fillId="11" borderId="0" xfId="0" applyFont="1" applyFill="1" applyAlignment="1">
      <alignment horizontal="center" vertical="center"/>
    </xf>
    <xf numFmtId="2" fontId="5" fillId="3" borderId="14" xfId="0" applyNumberFormat="1" applyFont="1" applyFill="1" applyBorder="1"/>
    <xf numFmtId="2" fontId="5" fillId="0" borderId="12" xfId="0" applyNumberFormat="1" applyFont="1" applyBorder="1"/>
    <xf numFmtId="170" fontId="5" fillId="0" borderId="0" xfId="3" applyNumberFormat="1" applyFont="1" applyProtection="1"/>
    <xf numFmtId="2" fontId="6" fillId="11" borderId="0" xfId="0" applyNumberFormat="1" applyFont="1" applyFill="1" applyAlignment="1">
      <alignment horizontal="center" vertical="center"/>
    </xf>
    <xf numFmtId="2" fontId="5" fillId="11" borderId="0" xfId="0" applyNumberFormat="1" applyFont="1" applyFill="1" applyAlignment="1">
      <alignment horizontal="center" vertical="center"/>
    </xf>
    <xf numFmtId="171" fontId="5" fillId="11" borderId="0" xfId="1" applyNumberFormat="1" applyFont="1" applyFill="1" applyBorder="1" applyAlignment="1">
      <alignment horizontal="center" vertical="center"/>
    </xf>
    <xf numFmtId="0" fontId="5" fillId="4" borderId="5" xfId="0" applyFont="1" applyFill="1" applyBorder="1"/>
    <xf numFmtId="2" fontId="3" fillId="0" borderId="5" xfId="0" applyNumberFormat="1" applyFont="1" applyBorder="1" applyAlignment="1">
      <alignment horizontal="center"/>
    </xf>
    <xf numFmtId="2" fontId="5" fillId="4" borderId="6" xfId="0" applyNumberFormat="1" applyFont="1" applyFill="1" applyBorder="1" applyProtection="1">
      <protection locked="0"/>
    </xf>
    <xf numFmtId="2" fontId="3" fillId="0" borderId="12" xfId="0" applyNumberFormat="1" applyFont="1" applyBorder="1"/>
    <xf numFmtId="2" fontId="6" fillId="0" borderId="5" xfId="0" applyNumberFormat="1" applyFont="1" applyBorder="1" applyAlignment="1">
      <alignment horizontal="center" vertical="center"/>
    </xf>
    <xf numFmtId="0" fontId="6" fillId="11" borderId="5" xfId="0" applyFont="1" applyFill="1" applyBorder="1"/>
    <xf numFmtId="0" fontId="19" fillId="0" borderId="0" xfId="0" applyFont="1" applyAlignment="1">
      <alignment horizontal="center" vertical="center"/>
    </xf>
    <xf numFmtId="9" fontId="5" fillId="11" borderId="0" xfId="0" applyNumberFormat="1" applyFont="1" applyFill="1"/>
    <xf numFmtId="0" fontId="19" fillId="0" borderId="0" xfId="0" applyFont="1"/>
    <xf numFmtId="0" fontId="4" fillId="0" borderId="0" xfId="0" applyFont="1" applyAlignment="1">
      <alignment horizontal="center" vertical="center"/>
    </xf>
    <xf numFmtId="2" fontId="3" fillId="4" borderId="5" xfId="0" applyNumberFormat="1" applyFont="1" applyFill="1" applyBorder="1" applyAlignment="1" applyProtection="1">
      <alignment horizontal="center"/>
      <protection locked="0"/>
    </xf>
    <xf numFmtId="0" fontId="12" fillId="11" borderId="0" xfId="0" applyFont="1" applyFill="1"/>
    <xf numFmtId="0" fontId="4" fillId="0" borderId="0" xfId="0" applyFont="1"/>
    <xf numFmtId="0" fontId="3" fillId="11" borderId="13" xfId="0" applyFont="1" applyFill="1" applyBorder="1" applyAlignment="1">
      <alignment horizontal="center" vertical="center"/>
    </xf>
    <xf numFmtId="1" fontId="5" fillId="0" borderId="5" xfId="0" applyNumberFormat="1" applyFont="1" applyBorder="1"/>
    <xf numFmtId="0" fontId="4" fillId="13" borderId="0" xfId="0" applyFont="1" applyFill="1"/>
    <xf numFmtId="0" fontId="4" fillId="11" borderId="0" xfId="0" applyFont="1" applyFill="1" applyAlignment="1">
      <alignment horizontal="center" vertical="center"/>
    </xf>
    <xf numFmtId="0" fontId="4" fillId="11" borderId="0" xfId="0" applyFont="1" applyFill="1"/>
    <xf numFmtId="0" fontId="7" fillId="11" borderId="0" xfId="0" applyFont="1" applyFill="1" applyAlignment="1">
      <alignment horizontal="right" wrapText="1"/>
    </xf>
    <xf numFmtId="2" fontId="3" fillId="11" borderId="0" xfId="0" applyNumberFormat="1" applyFont="1" applyFill="1"/>
    <xf numFmtId="1" fontId="5" fillId="11" borderId="0" xfId="0" applyNumberFormat="1" applyFont="1" applyFill="1" applyAlignment="1">
      <alignment horizontal="center" vertical="center"/>
    </xf>
    <xf numFmtId="0" fontId="5" fillId="11" borderId="13" xfId="0" applyFont="1" applyFill="1" applyBorder="1" applyAlignment="1">
      <alignment horizontal="center" vertical="center"/>
    </xf>
    <xf numFmtId="9" fontId="3" fillId="0" borderId="5" xfId="3" applyFont="1" applyBorder="1" applyProtection="1"/>
    <xf numFmtId="0" fontId="12" fillId="11" borderId="0" xfId="0" applyFont="1" applyFill="1" applyAlignment="1">
      <alignment horizontal="center" vertical="center"/>
    </xf>
    <xf numFmtId="0" fontId="16" fillId="11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" fontId="16" fillId="14" borderId="9" xfId="0" applyNumberFormat="1" applyFont="1" applyFill="1" applyBorder="1" applyAlignment="1">
      <alignment horizontal="center" vertical="center"/>
    </xf>
    <xf numFmtId="172" fontId="16" fillId="14" borderId="10" xfId="0" applyNumberFormat="1" applyFont="1" applyFill="1" applyBorder="1" applyProtection="1">
      <protection locked="0"/>
    </xf>
    <xf numFmtId="0" fontId="16" fillId="14" borderId="10" xfId="0" applyFont="1" applyFill="1" applyBorder="1"/>
    <xf numFmtId="0" fontId="16" fillId="14" borderId="10" xfId="0" applyFont="1" applyFill="1" applyBorder="1" applyAlignment="1">
      <alignment horizontal="center" vertical="center"/>
    </xf>
    <xf numFmtId="0" fontId="12" fillId="14" borderId="10" xfId="0" applyFont="1" applyFill="1" applyBorder="1" applyAlignment="1">
      <alignment horizontal="right"/>
    </xf>
    <xf numFmtId="0" fontId="7" fillId="3" borderId="18" xfId="0" applyFont="1" applyFill="1" applyBorder="1" applyAlignment="1">
      <alignment horizontal="center"/>
    </xf>
    <xf numFmtId="0" fontId="7" fillId="11" borderId="0" xfId="0" applyFont="1" applyFill="1" applyAlignment="1">
      <alignment vertical="center" wrapText="1"/>
    </xf>
    <xf numFmtId="0" fontId="16" fillId="14" borderId="12" xfId="0" applyFont="1" applyFill="1" applyBorder="1" applyAlignment="1">
      <alignment horizontal="center" vertical="center"/>
    </xf>
    <xf numFmtId="0" fontId="16" fillId="14" borderId="0" xfId="0" applyFont="1" applyFill="1" applyProtection="1">
      <protection locked="0"/>
    </xf>
    <xf numFmtId="0" fontId="16" fillId="14" borderId="0" xfId="0" applyFont="1" applyFill="1"/>
    <xf numFmtId="0" fontId="16" fillId="14" borderId="0" xfId="0" applyFont="1" applyFill="1" applyAlignment="1">
      <alignment horizontal="center" vertical="center"/>
    </xf>
    <xf numFmtId="0" fontId="3" fillId="14" borderId="0" xfId="0" applyFont="1" applyFill="1"/>
    <xf numFmtId="9" fontId="12" fillId="14" borderId="0" xfId="0" applyNumberFormat="1" applyFont="1" applyFill="1" applyAlignment="1">
      <alignment horizontal="right"/>
    </xf>
    <xf numFmtId="2" fontId="7" fillId="3" borderId="19" xfId="0" applyNumberFormat="1" applyFont="1" applyFill="1" applyBorder="1"/>
    <xf numFmtId="0" fontId="5" fillId="11" borderId="0" xfId="0" applyFont="1" applyFill="1" applyAlignment="1">
      <alignment wrapText="1"/>
    </xf>
    <xf numFmtId="2" fontId="7" fillId="11" borderId="0" xfId="0" applyNumberFormat="1" applyFont="1" applyFill="1"/>
    <xf numFmtId="0" fontId="16" fillId="14" borderId="18" xfId="0" applyFont="1" applyFill="1" applyBorder="1" applyAlignment="1">
      <alignment horizontal="center" vertical="center" textRotation="90"/>
    </xf>
    <xf numFmtId="0" fontId="16" fillId="14" borderId="19" xfId="0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 wrapText="1"/>
    </xf>
    <xf numFmtId="0" fontId="12" fillId="11" borderId="0" xfId="0" applyFont="1" applyFill="1" applyAlignment="1">
      <alignment horizontal="center"/>
    </xf>
    <xf numFmtId="0" fontId="16" fillId="14" borderId="20" xfId="0" applyFont="1" applyFill="1" applyBorder="1" applyAlignment="1">
      <alignment horizontal="center" vertical="center" textRotation="90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1" fontId="5" fillId="0" borderId="5" xfId="0" applyNumberFormat="1" applyFont="1" applyBorder="1" applyAlignment="1">
      <alignment horizontal="center" vertical="center"/>
    </xf>
    <xf numFmtId="2" fontId="5" fillId="0" borderId="5" xfId="0" applyNumberFormat="1" applyFont="1" applyBorder="1"/>
    <xf numFmtId="1" fontId="12" fillId="11" borderId="0" xfId="0" applyNumberFormat="1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2" fontId="6" fillId="11" borderId="0" xfId="0" applyNumberFormat="1" applyFont="1" applyFill="1"/>
    <xf numFmtId="1" fontId="6" fillId="11" borderId="0" xfId="0" applyNumberFormat="1" applyFont="1" applyFill="1"/>
    <xf numFmtId="1" fontId="12" fillId="6" borderId="0" xfId="0" applyNumberFormat="1" applyFont="1" applyFill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left"/>
    </xf>
    <xf numFmtId="1" fontId="5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/>
    <xf numFmtId="0" fontId="16" fillId="14" borderId="19" xfId="0" applyFont="1" applyFill="1" applyBorder="1" applyAlignment="1">
      <alignment horizontal="center" vertical="center" textRotation="90"/>
    </xf>
    <xf numFmtId="2" fontId="12" fillId="14" borderId="11" xfId="0" applyNumberFormat="1" applyFont="1" applyFill="1" applyBorder="1" applyAlignment="1">
      <alignment horizontal="right"/>
    </xf>
    <xf numFmtId="2" fontId="7" fillId="3" borderId="18" xfId="0" applyNumberFormat="1" applyFont="1" applyFill="1" applyBorder="1" applyAlignment="1">
      <alignment horizontal="center"/>
    </xf>
    <xf numFmtId="2" fontId="16" fillId="14" borderId="5" xfId="0" applyNumberFormat="1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0" fontId="6" fillId="11" borderId="0" xfId="0" applyFont="1" applyFill="1"/>
    <xf numFmtId="0" fontId="7" fillId="2" borderId="5" xfId="0" applyFont="1" applyFill="1" applyBorder="1" applyAlignment="1">
      <alignment horizontal="center" vertical="center"/>
    </xf>
    <xf numFmtId="0" fontId="3" fillId="0" borderId="0" xfId="0" applyFont="1" applyFill="1"/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164" fontId="4" fillId="0" borderId="0" xfId="0" applyNumberFormat="1" applyFont="1" applyFill="1"/>
    <xf numFmtId="164" fontId="5" fillId="0" borderId="0" xfId="0" applyNumberFormat="1" applyFont="1" applyFill="1"/>
    <xf numFmtId="0" fontId="5" fillId="0" borderId="0" xfId="0" applyFont="1" applyFill="1"/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/>
    </xf>
    <xf numFmtId="2" fontId="6" fillId="0" borderId="0" xfId="0" applyNumberFormat="1" applyFont="1" applyFill="1"/>
    <xf numFmtId="1" fontId="5" fillId="0" borderId="0" xfId="0" applyNumberFormat="1" applyFont="1" applyFill="1"/>
    <xf numFmtId="1" fontId="5" fillId="0" borderId="0" xfId="0" applyNumberFormat="1" applyFont="1" applyFill="1" applyAlignment="1">
      <alignment horizontal="right"/>
    </xf>
    <xf numFmtId="0" fontId="6" fillId="0" borderId="0" xfId="0" applyFont="1" applyFill="1"/>
    <xf numFmtId="0" fontId="20" fillId="0" borderId="0" xfId="0" applyFont="1" applyProtection="1">
      <protection locked="0"/>
    </xf>
    <xf numFmtId="0" fontId="20" fillId="0" borderId="0" xfId="0" applyFont="1"/>
    <xf numFmtId="0" fontId="18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/>
    </xf>
    <xf numFmtId="0" fontId="21" fillId="0" borderId="0" xfId="0" applyFont="1"/>
    <xf numFmtId="0" fontId="2" fillId="0" borderId="0" xfId="0" applyFont="1"/>
    <xf numFmtId="0" fontId="20" fillId="0" borderId="5" xfId="0" applyFont="1" applyBorder="1" applyProtection="1">
      <protection locked="0"/>
    </xf>
    <xf numFmtId="164" fontId="20" fillId="0" borderId="5" xfId="0" applyNumberFormat="1" applyFont="1" applyBorder="1"/>
    <xf numFmtId="0" fontId="20" fillId="16" borderId="1" xfId="0" applyFont="1" applyFill="1" applyBorder="1"/>
    <xf numFmtId="0" fontId="20" fillId="16" borderId="21" xfId="0" applyFont="1" applyFill="1" applyBorder="1"/>
    <xf numFmtId="0" fontId="20" fillId="16" borderId="2" xfId="0" applyFont="1" applyFill="1" applyBorder="1"/>
    <xf numFmtId="0" fontId="20" fillId="16" borderId="22" xfId="0" applyFont="1" applyFill="1" applyBorder="1"/>
    <xf numFmtId="0" fontId="18" fillId="4" borderId="0" xfId="0" applyFont="1" applyFill="1" applyAlignment="1">
      <alignment horizontal="center"/>
    </xf>
    <xf numFmtId="0" fontId="20" fillId="16" borderId="23" xfId="0" applyFont="1" applyFill="1" applyBorder="1"/>
    <xf numFmtId="0" fontId="20" fillId="16" borderId="0" xfId="0" applyFont="1" applyFill="1"/>
    <xf numFmtId="0" fontId="22" fillId="17" borderId="6" xfId="0" applyFont="1" applyFill="1" applyBorder="1" applyAlignment="1">
      <alignment horizontal="center"/>
    </xf>
    <xf numFmtId="0" fontId="22" fillId="17" borderId="7" xfId="0" applyFont="1" applyFill="1" applyBorder="1" applyAlignment="1">
      <alignment horizontal="center"/>
    </xf>
    <xf numFmtId="0" fontId="22" fillId="17" borderId="8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7" xfId="0" applyFont="1" applyBorder="1" applyAlignment="1">
      <alignment horizontal="center"/>
    </xf>
    <xf numFmtId="0" fontId="18" fillId="16" borderId="0" xfId="0" applyFont="1" applyFill="1" applyAlignment="1">
      <alignment horizontal="center"/>
    </xf>
    <xf numFmtId="0" fontId="23" fillId="15" borderId="5" xfId="0" applyFont="1" applyFill="1" applyBorder="1" applyAlignment="1">
      <alignment horizontal="center"/>
    </xf>
    <xf numFmtId="0" fontId="18" fillId="18" borderId="9" xfId="0" applyFont="1" applyFill="1" applyBorder="1"/>
    <xf numFmtId="173" fontId="20" fillId="0" borderId="10" xfId="0" applyNumberFormat="1" applyFont="1" applyBorder="1" applyAlignment="1" applyProtection="1">
      <alignment horizontal="right"/>
      <protection locked="0"/>
    </xf>
    <xf numFmtId="164" fontId="20" fillId="2" borderId="11" xfId="0" applyNumberFormat="1" applyFont="1" applyFill="1" applyBorder="1"/>
    <xf numFmtId="0" fontId="20" fillId="0" borderId="10" xfId="0" applyFont="1" applyBorder="1" applyProtection="1">
      <protection locked="0"/>
    </xf>
    <xf numFmtId="0" fontId="18" fillId="18" borderId="12" xfId="0" applyFont="1" applyFill="1" applyBorder="1"/>
    <xf numFmtId="173" fontId="20" fillId="0" borderId="0" xfId="0" applyNumberFormat="1" applyFont="1" applyAlignment="1" applyProtection="1">
      <alignment horizontal="right"/>
      <protection locked="0"/>
    </xf>
    <xf numFmtId="164" fontId="20" fillId="2" borderId="13" xfId="0" applyNumberFormat="1" applyFont="1" applyFill="1" applyBorder="1"/>
    <xf numFmtId="2" fontId="20" fillId="0" borderId="0" xfId="0" applyNumberFormat="1" applyFont="1" applyProtection="1">
      <protection locked="0"/>
    </xf>
    <xf numFmtId="2" fontId="20" fillId="0" borderId="10" xfId="0" applyNumberFormat="1" applyFont="1" applyBorder="1" applyProtection="1">
      <protection locked="0"/>
    </xf>
    <xf numFmtId="0" fontId="18" fillId="18" borderId="14" xfId="0" applyFont="1" applyFill="1" applyBorder="1"/>
    <xf numFmtId="2" fontId="18" fillId="7" borderId="15" xfId="0" applyNumberFormat="1" applyFont="1" applyFill="1" applyBorder="1"/>
    <xf numFmtId="164" fontId="20" fillId="2" borderId="16" xfId="0" applyNumberFormat="1" applyFont="1" applyFill="1" applyBorder="1"/>
    <xf numFmtId="2" fontId="20" fillId="7" borderId="0" xfId="0" applyNumberFormat="1" applyFont="1" applyFill="1"/>
    <xf numFmtId="2" fontId="20" fillId="7" borderId="15" xfId="0" applyNumberFormat="1" applyFont="1" applyFill="1" applyBorder="1"/>
    <xf numFmtId="0" fontId="24" fillId="0" borderId="0" xfId="0" applyFont="1"/>
    <xf numFmtId="2" fontId="24" fillId="0" borderId="0" xfId="0" applyNumberFormat="1" applyFont="1"/>
    <xf numFmtId="0" fontId="24" fillId="16" borderId="22" xfId="0" applyFont="1" applyFill="1" applyBorder="1"/>
    <xf numFmtId="0" fontId="24" fillId="16" borderId="0" xfId="0" applyFont="1" applyFill="1"/>
    <xf numFmtId="0" fontId="20" fillId="16" borderId="3" xfId="0" applyFont="1" applyFill="1" applyBorder="1"/>
    <xf numFmtId="0" fontId="20" fillId="16" borderId="24" xfId="0" applyFont="1" applyFill="1" applyBorder="1"/>
    <xf numFmtId="0" fontId="20" fillId="16" borderId="4" xfId="0" applyFont="1" applyFill="1" applyBorder="1"/>
  </cellXfs>
  <cellStyles count="5">
    <cellStyle name="Millares" xfId="1" builtinId="3"/>
    <cellStyle name="Millares [0]" xfId="2" builtinId="6"/>
    <cellStyle name="Millares 2" xfId="4" xr:uid="{E7F60673-D526-4BB5-B3EC-8139BDC4F606}"/>
    <cellStyle name="Normal" xfId="0" builtinId="0"/>
    <cellStyle name="Porcentaje" xfId="3" builtinId="5"/>
  </cellStyles>
  <dxfs count="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/>
        <i val="0"/>
        <color theme="6" tint="-0.24994659260841701"/>
      </font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1" tint="0.24994659260841701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6" tint="-0.2499465926084170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6" tint="-0.24994659260841701"/>
      </font>
      <fill>
        <patternFill patternType="none">
          <bgColor auto="1"/>
        </patternFill>
      </fill>
    </dxf>
    <dxf>
      <font>
        <b/>
        <i val="0"/>
        <color theme="6" tint="-0.24994659260841701"/>
      </font>
      <fill>
        <patternFill patternType="none">
          <bgColor auto="1"/>
        </patternFill>
      </fill>
    </dxf>
    <dxf>
      <font>
        <b/>
        <i val="0"/>
        <color theme="6" tint="-0.24994659260841701"/>
      </font>
      <fill>
        <patternFill patternType="none">
          <bgColor auto="1"/>
        </patternFill>
      </fill>
    </dxf>
    <dxf>
      <font>
        <b/>
        <i val="0"/>
        <color theme="6" tint="-0.24994659260841701"/>
      </font>
      <fill>
        <patternFill patternType="none">
          <bgColor auto="1"/>
        </patternFill>
      </fill>
    </dxf>
    <dxf>
      <font>
        <b/>
        <i val="0"/>
        <color theme="6" tint="-0.24994659260841701"/>
      </font>
      <fill>
        <patternFill patternType="none">
          <bgColor auto="1"/>
        </patternFill>
      </fill>
    </dxf>
    <dxf>
      <font>
        <b/>
        <i val="0"/>
        <color theme="6" tint="-0.24994659260841701"/>
      </font>
      <fill>
        <patternFill patternType="none">
          <bgColor auto="1"/>
        </patternFill>
      </fill>
    </dxf>
    <dxf>
      <font>
        <b/>
        <i val="0"/>
        <color theme="6" tint="-0.24994659260841701"/>
      </font>
      <fill>
        <patternFill patternType="none">
          <bgColor auto="1"/>
        </patternFill>
      </fill>
    </dxf>
    <dxf>
      <font>
        <b/>
        <i val="0"/>
        <color theme="6" tint="-0.24994659260841701"/>
      </font>
      <fill>
        <patternFill patternType="none">
          <bgColor auto="1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theme="6"/>
      </font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</dxfs>
  <tableStyles count="1" defaultTableStyle="TableStyleMedium2" defaultPivotStyle="PivotStyleLight16">
    <tableStyle name="Invisible" pivot="0" table="0" count="0" xr9:uid="{A348D8E3-CA4D-49C7-9196-ED3FCC6E19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fmlaLink="#REF!" lockText="1" noThreeD="1"/>
</file>

<file path=xl/ctrlProps/ctrlProp2.xml><?xml version="1.0" encoding="utf-8"?>
<formControlPr xmlns="http://schemas.microsoft.com/office/spreadsheetml/2009/9/main" objectType="CheckBox" checked="Checked" fmlaLink="#REF!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PORTADA!A1"/><Relationship Id="rId1" Type="http://schemas.openxmlformats.org/officeDocument/2006/relationships/hyperlink" Target="#COTIZACION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419100</xdr:colOff>
      <xdr:row>3</xdr:row>
      <xdr:rowOff>247650</xdr:rowOff>
    </xdr:from>
    <xdr:to>
      <xdr:col>17</xdr:col>
      <xdr:colOff>76200</xdr:colOff>
      <xdr:row>3</xdr:row>
      <xdr:rowOff>561975</xdr:rowOff>
    </xdr:to>
    <xdr:sp macro="" textlink="$P$4">
      <xdr:nvSpPr>
        <xdr:cNvPr id="2" name="3 Rectángulo redondea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602E41-82EA-4288-9434-AA9B460A2DDC}"/>
            </a:ext>
          </a:extLst>
        </xdr:cNvPr>
        <xdr:cNvSpPr/>
      </xdr:nvSpPr>
      <xdr:spPr>
        <a:xfrm>
          <a:off x="7324725" y="704850"/>
          <a:ext cx="1590675" cy="314325"/>
        </a:xfrm>
        <a:prstGeom prst="round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BEA63D20-4BC7-463C-8E3C-703BF50F1CAA}" type="TxLink">
            <a:rPr lang="es-CL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Ver cotizacion</a:t>
          </a:fld>
          <a:endParaRPr lang="es-CL" sz="1100" b="1"/>
        </a:p>
      </xdr:txBody>
    </xdr:sp>
    <xdr:clientData/>
  </xdr:twoCellAnchor>
  <xdr:twoCellAnchor editAs="oneCell">
    <xdr:from>
      <xdr:col>17</xdr:col>
      <xdr:colOff>457201</xdr:colOff>
      <xdr:row>3</xdr:row>
      <xdr:rowOff>85726</xdr:rowOff>
    </xdr:from>
    <xdr:to>
      <xdr:col>19</xdr:col>
      <xdr:colOff>38101</xdr:colOff>
      <xdr:row>4</xdr:row>
      <xdr:rowOff>28576</xdr:rowOff>
    </xdr:to>
    <xdr:pic>
      <xdr:nvPicPr>
        <xdr:cNvPr id="3" name="4 Imagen" descr="Resultado de imagen para hom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55983D-81A7-48B0-9CE3-80C247D30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6401" y="542926"/>
          <a:ext cx="55245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314325</xdr:colOff>
          <xdr:row>2</xdr:row>
          <xdr:rowOff>142875</xdr:rowOff>
        </xdr:from>
        <xdr:to>
          <xdr:col>8</xdr:col>
          <xdr:colOff>1647825</xdr:colOff>
          <xdr:row>4</xdr:row>
          <xdr:rowOff>85725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2CC0952D-A06D-4BA7-B524-102AA138C5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CL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RESPALDO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314325</xdr:colOff>
          <xdr:row>4</xdr:row>
          <xdr:rowOff>104775</xdr:rowOff>
        </xdr:from>
        <xdr:to>
          <xdr:col>8</xdr:col>
          <xdr:colOff>1647825</xdr:colOff>
          <xdr:row>6</xdr:row>
          <xdr:rowOff>47625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71EF92A5-403F-4425-A1E2-282125FF3C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CL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MAIN RESERVE</a:t>
              </a:r>
            </a:p>
          </xdr:txBody>
        </xdr:sp>
        <xdr:clientData fLocksWithSheet="0"/>
      </xdr:twoCellAnchor>
    </mc:Choice>
    <mc:Fallback/>
  </mc:AlternateContent>
  <xdr:twoCellAnchor editAs="oneCell">
    <xdr:from>
      <xdr:col>19</xdr:col>
      <xdr:colOff>742950</xdr:colOff>
      <xdr:row>20</xdr:row>
      <xdr:rowOff>9525</xdr:rowOff>
    </xdr:from>
    <xdr:to>
      <xdr:col>22</xdr:col>
      <xdr:colOff>57600</xdr:colOff>
      <xdr:row>75</xdr:row>
      <xdr:rowOff>18456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0F4797D-8FCF-432D-A461-A08DCA003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91675" y="2819400"/>
          <a:ext cx="3219899" cy="78670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itflow-my.sharepoint.com/personal/msandoval_fitflow_com/Documents/Documentos/Gesti&#243;n%20Regional/Supresion/TABLA_COTIZAR_V14_REGIONAL_2026_R2.xlsm" TargetMode="External"/><Relationship Id="rId1" Type="http://schemas.openxmlformats.org/officeDocument/2006/relationships/externalLinkPath" Target="TABLA_COTIZAR_V14_REGIONAL_2026_R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UEVOS PRECIOS"/>
      <sheetName val="BDD_SISTEMAS- MANIFOLD"/>
      <sheetName val="CALC_AGENT"/>
      <sheetName val="tabla_temperatura"/>
      <sheetName val="N-P"/>
      <sheetName val="COT AGENTES"/>
      <sheetName val="Hoja6"/>
      <sheetName val="Hoja5"/>
      <sheetName val="Hoja4"/>
      <sheetName val="Hoja3"/>
      <sheetName val="TABLA"/>
      <sheetName val="Hoja2"/>
      <sheetName val="Hoja1"/>
      <sheetName val="COT A101-LVS-EXT"/>
      <sheetName val="LP EXT-LVS-A101"/>
      <sheetName val="LP CO2-INER"/>
      <sheetName val="Datos"/>
      <sheetName val="Hoja7"/>
      <sheetName val="STOCK"/>
      <sheetName val="INGRESO_DATOS_SALA"/>
      <sheetName val="PORTADA"/>
      <sheetName val="calc-fluodinamic"/>
    </sheetNames>
    <sheetDataSet>
      <sheetData sheetId="0" refreshError="1"/>
      <sheetData sheetId="1"/>
      <sheetData sheetId="2">
        <row r="4">
          <cell r="E4">
            <v>3.2808299999999999</v>
          </cell>
        </row>
      </sheetData>
      <sheetData sheetId="3" refreshError="1"/>
      <sheetData sheetId="4" refreshError="1"/>
      <sheetData sheetId="5">
        <row r="3">
          <cell r="M3">
            <v>1</v>
          </cell>
        </row>
        <row r="4">
          <cell r="M4">
            <v>1</v>
          </cell>
        </row>
        <row r="5">
          <cell r="M5">
            <v>1</v>
          </cell>
        </row>
        <row r="10">
          <cell r="H10">
            <v>1</v>
          </cell>
        </row>
      </sheetData>
      <sheetData sheetId="6" refreshError="1"/>
      <sheetData sheetId="7" refreshError="1"/>
      <sheetData sheetId="8" refreshError="1"/>
      <sheetData sheetId="9" refreshError="1"/>
      <sheetData sheetId="10">
        <row r="15">
          <cell r="B15" t="str">
            <v>TANK SIZE 8L</v>
          </cell>
          <cell r="G15" t="str">
            <v>TANK SIZE 8L</v>
          </cell>
        </row>
        <row r="20">
          <cell r="A20">
            <v>445732</v>
          </cell>
          <cell r="B20" t="str">
            <v>TANK SIZE 8L, Fill: 9-17 lb.</v>
          </cell>
          <cell r="C20">
            <v>9</v>
          </cell>
          <cell r="D20">
            <v>17</v>
          </cell>
          <cell r="F20">
            <v>445732</v>
          </cell>
          <cell r="G20" t="str">
            <v>TANK SIZE 8L, Fill: 9-21 lb.</v>
          </cell>
          <cell r="H20">
            <v>9</v>
          </cell>
          <cell r="I20">
            <v>21</v>
          </cell>
        </row>
        <row r="21">
          <cell r="A21">
            <v>445733</v>
          </cell>
          <cell r="B21" t="str">
            <v>TANK SIZE 16L, Fill: 18-35 lb.</v>
          </cell>
          <cell r="C21">
            <v>18</v>
          </cell>
          <cell r="D21">
            <v>35</v>
          </cell>
          <cell r="F21">
            <v>445733</v>
          </cell>
          <cell r="G21" t="str">
            <v>TANK SIZE 16L, Fill: 18 - 42 lbs.</v>
          </cell>
          <cell r="H21">
            <v>18</v>
          </cell>
          <cell r="I21">
            <v>42</v>
          </cell>
        </row>
        <row r="22">
          <cell r="A22">
            <v>445734</v>
          </cell>
          <cell r="B22" t="str">
            <v>TANK SIZE 32L, Fill: 36-70 lb.</v>
          </cell>
          <cell r="C22">
            <v>36</v>
          </cell>
          <cell r="D22">
            <v>70</v>
          </cell>
          <cell r="F22">
            <v>445734</v>
          </cell>
          <cell r="G22" t="str">
            <v>TANK SIZE 32L, Fill: 36 - 84 lbs.</v>
          </cell>
          <cell r="H22">
            <v>36</v>
          </cell>
          <cell r="I22">
            <v>84</v>
          </cell>
        </row>
        <row r="23">
          <cell r="A23">
            <v>445735</v>
          </cell>
          <cell r="B23" t="str">
            <v>TANK SIZE 52L, Fill: 58-114 lb.</v>
          </cell>
          <cell r="C23">
            <v>58</v>
          </cell>
          <cell r="D23">
            <v>114</v>
          </cell>
          <cell r="F23">
            <v>445735</v>
          </cell>
          <cell r="G23" t="str">
            <v>TANK SIZE 52L, Fill: 58-137 lb.</v>
          </cell>
          <cell r="H23">
            <v>58</v>
          </cell>
          <cell r="I23">
            <v>137</v>
          </cell>
        </row>
        <row r="24">
          <cell r="A24">
            <v>445736</v>
          </cell>
          <cell r="B24" t="str">
            <v>TANK SIZE 106L, Fill: 117-233 lb</v>
          </cell>
          <cell r="C24">
            <v>117</v>
          </cell>
          <cell r="D24">
            <v>233</v>
          </cell>
          <cell r="F24">
            <v>445736</v>
          </cell>
          <cell r="G24" t="str">
            <v>TANK SIZE 106L, Fill: 117-280 lb.</v>
          </cell>
          <cell r="H24">
            <v>117</v>
          </cell>
          <cell r="I24">
            <v>280</v>
          </cell>
        </row>
        <row r="25">
          <cell r="A25">
            <v>445737</v>
          </cell>
          <cell r="B25" t="str">
            <v>TANK SIZE 147L, Fill: 163-324 lb.</v>
          </cell>
          <cell r="C25">
            <v>163</v>
          </cell>
          <cell r="D25">
            <v>324</v>
          </cell>
          <cell r="F25">
            <v>445737</v>
          </cell>
          <cell r="G25" t="str">
            <v>TANK SIZE 147L, Fill: 163-388 lb.</v>
          </cell>
          <cell r="H25">
            <v>163</v>
          </cell>
          <cell r="I25">
            <v>388</v>
          </cell>
        </row>
        <row r="26">
          <cell r="A26">
            <v>445738</v>
          </cell>
          <cell r="B26" t="str">
            <v>TANK SIZE 180L, Fill: 199-396 lb.</v>
          </cell>
          <cell r="C26">
            <v>199</v>
          </cell>
          <cell r="D26">
            <v>396</v>
          </cell>
          <cell r="F26">
            <v>445738</v>
          </cell>
          <cell r="G26" t="str">
            <v>TANK SIZE 180L, Fill: 199-459 lb.</v>
          </cell>
          <cell r="H26">
            <v>199</v>
          </cell>
          <cell r="I26">
            <v>459</v>
          </cell>
        </row>
        <row r="27">
          <cell r="A27">
            <v>445739</v>
          </cell>
          <cell r="B27" t="str">
            <v>TANK SIZE 343L, Fill: 379-756 lb.</v>
          </cell>
          <cell r="C27">
            <v>379</v>
          </cell>
          <cell r="D27">
            <v>756</v>
          </cell>
          <cell r="F27">
            <v>445739</v>
          </cell>
          <cell r="G27" t="str">
            <v>TANK SIZE 343L, Fill: 379-851 lb.</v>
          </cell>
          <cell r="H27">
            <v>379</v>
          </cell>
          <cell r="I27">
            <v>851</v>
          </cell>
        </row>
      </sheetData>
      <sheetData sheetId="11" refreshError="1"/>
      <sheetData sheetId="12" refreshError="1"/>
      <sheetData sheetId="13">
        <row r="19">
          <cell r="J19" t="str">
            <v>CH-74</v>
          </cell>
        </row>
      </sheetData>
      <sheetData sheetId="14" refreshError="1"/>
      <sheetData sheetId="15" refreshError="1"/>
      <sheetData sheetId="16">
        <row r="11">
          <cell r="S11">
            <v>445732</v>
          </cell>
          <cell r="T11">
            <v>1</v>
          </cell>
        </row>
        <row r="12">
          <cell r="S12">
            <v>445733</v>
          </cell>
          <cell r="T12">
            <v>1</v>
          </cell>
        </row>
        <row r="13">
          <cell r="S13">
            <v>445734</v>
          </cell>
          <cell r="T13">
            <v>1</v>
          </cell>
        </row>
        <row r="14">
          <cell r="S14">
            <v>445735</v>
          </cell>
          <cell r="T14">
            <v>1</v>
          </cell>
        </row>
        <row r="15">
          <cell r="S15">
            <v>445736</v>
          </cell>
          <cell r="T15">
            <v>1</v>
          </cell>
        </row>
        <row r="16">
          <cell r="S16">
            <v>445737</v>
          </cell>
          <cell r="T16">
            <v>1</v>
          </cell>
        </row>
        <row r="17">
          <cell r="S17">
            <v>445738</v>
          </cell>
          <cell r="T17">
            <v>2</v>
          </cell>
        </row>
        <row r="18">
          <cell r="S18">
            <v>445739</v>
          </cell>
          <cell r="T18">
            <v>2</v>
          </cell>
        </row>
        <row r="97">
          <cell r="B97" t="str">
            <v>570539-R2</v>
          </cell>
          <cell r="C97" t="str">
            <v>Flexible Discharge Hose, 1 in.</v>
          </cell>
        </row>
      </sheetData>
      <sheetData sheetId="17">
        <row r="5">
          <cell r="C5" t="str">
            <v>P/N</v>
          </cell>
          <cell r="D5" t="str">
            <v>DESCRIPTION OF ITEM</v>
          </cell>
        </row>
        <row r="6">
          <cell r="C6">
            <v>445732</v>
          </cell>
          <cell r="D6" t="str">
            <v>TANK SIZE 8L</v>
          </cell>
          <cell r="E6">
            <v>560.59</v>
          </cell>
          <cell r="F6">
            <v>577.41</v>
          </cell>
        </row>
        <row r="7">
          <cell r="C7">
            <v>445733</v>
          </cell>
          <cell r="D7" t="str">
            <v>TANK SIZE 16L</v>
          </cell>
          <cell r="E7">
            <v>606.04999999999995</v>
          </cell>
          <cell r="F7">
            <v>624.23</v>
          </cell>
        </row>
        <row r="8">
          <cell r="C8">
            <v>445734</v>
          </cell>
          <cell r="D8" t="str">
            <v>TANK SIZE 32L</v>
          </cell>
          <cell r="E8">
            <v>674.23</v>
          </cell>
          <cell r="F8">
            <v>694.46</v>
          </cell>
        </row>
        <row r="9">
          <cell r="C9">
            <v>445735</v>
          </cell>
          <cell r="D9" t="str">
            <v>TANK SIZE 52L</v>
          </cell>
          <cell r="E9">
            <v>1151.49</v>
          </cell>
          <cell r="F9">
            <v>1186.03</v>
          </cell>
        </row>
        <row r="10">
          <cell r="C10">
            <v>445736</v>
          </cell>
          <cell r="D10" t="str">
            <v>TANK SIZE 106L</v>
          </cell>
          <cell r="E10">
            <v>1555.52</v>
          </cell>
          <cell r="F10">
            <v>1602.19</v>
          </cell>
        </row>
        <row r="11">
          <cell r="C11">
            <v>445737</v>
          </cell>
          <cell r="D11" t="str">
            <v>TANK SIZE 147L</v>
          </cell>
          <cell r="E11">
            <v>2253.7399999999998</v>
          </cell>
          <cell r="F11">
            <v>2321.35</v>
          </cell>
        </row>
        <row r="12">
          <cell r="C12">
            <v>445738</v>
          </cell>
          <cell r="D12" t="str">
            <v>TANK SIZE 180L</v>
          </cell>
          <cell r="E12">
            <v>2342.12</v>
          </cell>
          <cell r="F12">
            <v>2412.38</v>
          </cell>
        </row>
        <row r="13">
          <cell r="C13">
            <v>445739</v>
          </cell>
          <cell r="D13" t="str">
            <v>TANK SIZE 343L</v>
          </cell>
          <cell r="E13">
            <v>3888.81</v>
          </cell>
          <cell r="F13">
            <v>4005.47</v>
          </cell>
        </row>
        <row r="14">
          <cell r="C14">
            <v>570055</v>
          </cell>
          <cell r="D14" t="str">
            <v>Gauge, Cylinder Valve FM-200</v>
          </cell>
          <cell r="E14">
            <v>28.29</v>
          </cell>
          <cell r="F14">
            <v>29.14</v>
          </cell>
        </row>
        <row r="15">
          <cell r="C15">
            <v>302207021</v>
          </cell>
          <cell r="D15" t="str">
            <v xml:space="preserve">Pressure Gauge, FK-5-1-12 </v>
          </cell>
          <cell r="E15">
            <v>48.03</v>
          </cell>
          <cell r="F15">
            <v>49.47</v>
          </cell>
        </row>
        <row r="16">
          <cell r="C16">
            <v>314205321</v>
          </cell>
          <cell r="D16" t="str">
            <v>FM-200 25 BAR NAMEPLATES UL/FM L 8 L / 16 L / 52 L</v>
          </cell>
          <cell r="E16">
            <v>33.159999999999997</v>
          </cell>
          <cell r="F16">
            <v>34.15</v>
          </cell>
        </row>
        <row r="17">
          <cell r="C17">
            <v>314205314</v>
          </cell>
          <cell r="D17" t="str">
            <v>FM-200 25 BAR NEW NAMEPLATES UL/FM 32 L / 106L a 343 L</v>
          </cell>
          <cell r="E17">
            <v>39.979999999999997</v>
          </cell>
          <cell r="F17">
            <v>41.18</v>
          </cell>
        </row>
        <row r="18">
          <cell r="C18">
            <v>314207207</v>
          </cell>
          <cell r="D18" t="str">
            <v>SAPPHIRE 25 BAR FK-5-1-12 UL/FM L 8 L / 16 L / 52 L</v>
          </cell>
          <cell r="E18">
            <v>27.96</v>
          </cell>
          <cell r="F18">
            <v>28.8</v>
          </cell>
        </row>
        <row r="19">
          <cell r="C19">
            <v>314207329</v>
          </cell>
          <cell r="D19" t="str">
            <v xml:space="preserve">SAPPHIRE 25 BAR FK-5-1-12 UL/FM 32 L / 106L a 343 L </v>
          </cell>
          <cell r="E19">
            <v>31.93</v>
          </cell>
          <cell r="F19">
            <v>32.89</v>
          </cell>
        </row>
        <row r="20">
          <cell r="C20">
            <v>570585</v>
          </cell>
          <cell r="D20" t="str">
            <v>Cylinder Low Pressure Switch</v>
          </cell>
          <cell r="E20">
            <v>88.38</v>
          </cell>
          <cell r="F20">
            <v>91.03</v>
          </cell>
        </row>
        <row r="21">
          <cell r="C21">
            <v>437900</v>
          </cell>
          <cell r="D21" t="str">
            <v>Switch, Pressure, 3PDT</v>
          </cell>
          <cell r="E21">
            <v>211.69</v>
          </cell>
          <cell r="F21">
            <v>218.04</v>
          </cell>
        </row>
        <row r="22">
          <cell r="C22">
            <v>73597</v>
          </cell>
          <cell r="D22" t="str">
            <v>Acutation Hose, 16 in., 1/4 in. NPT x 7/16-20 in. F Flare</v>
          </cell>
          <cell r="E22">
            <v>25.49</v>
          </cell>
          <cell r="F22">
            <v>26.25</v>
          </cell>
        </row>
        <row r="23">
          <cell r="C23">
            <v>415142</v>
          </cell>
          <cell r="D23" t="str">
            <v>Acutation Hose, 32 in., 1/4 in. NPT x 7/16-20 in. F Flare</v>
          </cell>
          <cell r="E23">
            <v>37.729999999999997</v>
          </cell>
          <cell r="F23">
            <v>38.86</v>
          </cell>
        </row>
        <row r="24">
          <cell r="C24">
            <v>430815</v>
          </cell>
          <cell r="D24" t="str">
            <v>Acutation Hose, 42 in., 1/4 in. NPT x 7/16-20 in. F Flare</v>
          </cell>
          <cell r="E24">
            <v>58.38</v>
          </cell>
          <cell r="F24">
            <v>60.13</v>
          </cell>
        </row>
        <row r="25">
          <cell r="C25">
            <v>32338</v>
          </cell>
          <cell r="D25" t="str">
            <v>Male Straight Connector, 7/16 - 20 x 1/4 in. NPT</v>
          </cell>
          <cell r="E25">
            <v>4.78</v>
          </cell>
          <cell r="F25">
            <v>4.92</v>
          </cell>
        </row>
        <row r="26">
          <cell r="C26">
            <v>570550</v>
          </cell>
          <cell r="D26" t="str">
            <v>Pneumatic Actuator</v>
          </cell>
          <cell r="E26">
            <v>128.54</v>
          </cell>
          <cell r="F26">
            <v>132.4</v>
          </cell>
        </row>
        <row r="27">
          <cell r="C27">
            <v>570566</v>
          </cell>
          <cell r="D27" t="str">
            <v>Manifold Check Valve, 1 in.</v>
          </cell>
          <cell r="E27">
            <v>441.55</v>
          </cell>
          <cell r="F27">
            <v>454.8</v>
          </cell>
        </row>
        <row r="28">
          <cell r="C28">
            <v>570568</v>
          </cell>
          <cell r="D28" t="str">
            <v>Manifold Check Valve, 2 in.</v>
          </cell>
          <cell r="E28">
            <v>646.96</v>
          </cell>
          <cell r="F28">
            <v>666.37</v>
          </cell>
        </row>
        <row r="29">
          <cell r="C29">
            <v>69841</v>
          </cell>
          <cell r="D29" t="str">
            <v>Discharge Hose/Check Valve Assembly, 3 in.</v>
          </cell>
          <cell r="E29">
            <v>2388.31</v>
          </cell>
          <cell r="F29">
            <v>2459.96</v>
          </cell>
        </row>
        <row r="30">
          <cell r="C30" t="str">
            <v>69841-R2</v>
          </cell>
          <cell r="D30" t="str">
            <v>Discharge Hose/Check Valve Assembly, 3 in.</v>
          </cell>
          <cell r="E30">
            <v>1728.78</v>
          </cell>
          <cell r="F30">
            <v>1780.64</v>
          </cell>
        </row>
        <row r="31">
          <cell r="C31">
            <v>31810</v>
          </cell>
          <cell r="D31" t="str">
            <v>Male Elbow, 7/16-20 x 1/4 in. NPT</v>
          </cell>
          <cell r="E31">
            <v>10.65</v>
          </cell>
          <cell r="F31">
            <v>10.97</v>
          </cell>
        </row>
        <row r="32">
          <cell r="C32">
            <v>31811</v>
          </cell>
          <cell r="D32" t="str">
            <v>Male Tee, 7/16 - 20 x 1/4 in. NPT</v>
          </cell>
          <cell r="E32">
            <v>13.09</v>
          </cell>
          <cell r="F32">
            <v>13.48</v>
          </cell>
        </row>
        <row r="33">
          <cell r="C33">
            <v>32336</v>
          </cell>
          <cell r="D33" t="str">
            <v>Actuation Hose, Swivel, Stainless Braided, 24 in., 1/4 in. Female</v>
          </cell>
          <cell r="E33">
            <v>44.01</v>
          </cell>
          <cell r="F33">
            <v>45.33</v>
          </cell>
        </row>
        <row r="34">
          <cell r="C34">
            <v>76498</v>
          </cell>
          <cell r="D34" t="str">
            <v>Switch, Maintenance, Surface Mount</v>
          </cell>
          <cell r="E34">
            <v>276.66000000000003</v>
          </cell>
          <cell r="F34">
            <v>284.95999999999998</v>
          </cell>
        </row>
        <row r="35">
          <cell r="C35">
            <v>570558</v>
          </cell>
          <cell r="D35" t="str">
            <v>UNION ADAPTOR 2"</v>
          </cell>
          <cell r="E35">
            <v>71.959999999999994</v>
          </cell>
          <cell r="F35">
            <v>74.12</v>
          </cell>
        </row>
        <row r="36">
          <cell r="C36">
            <v>304205030</v>
          </cell>
          <cell r="D36" t="str">
            <v>Electrical Actuator UL B R and P Switch</v>
          </cell>
          <cell r="E36">
            <v>388.88</v>
          </cell>
          <cell r="F36">
            <v>400.55</v>
          </cell>
        </row>
        <row r="37">
          <cell r="C37" t="str">
            <v>A1638150HY</v>
          </cell>
          <cell r="D37" t="str">
            <v>LOCAL MANUAL</v>
          </cell>
          <cell r="E37">
            <v>79.540000000000006</v>
          </cell>
          <cell r="F37">
            <v>81.93</v>
          </cell>
        </row>
        <row r="38">
          <cell r="C38">
            <v>570557</v>
          </cell>
          <cell r="D38" t="str">
            <v>UNION ADAPTOR 1"</v>
          </cell>
          <cell r="E38">
            <v>26.02</v>
          </cell>
          <cell r="F38">
            <v>26.8</v>
          </cell>
        </row>
        <row r="39">
          <cell r="C39">
            <v>76496</v>
          </cell>
          <cell r="D39" t="str">
            <v>SELECTOR SWITCH, SURF MT</v>
          </cell>
          <cell r="E39">
            <v>207.5</v>
          </cell>
          <cell r="F39">
            <v>213.73</v>
          </cell>
        </row>
        <row r="40">
          <cell r="C40">
            <v>570277</v>
          </cell>
          <cell r="D40" t="str">
            <v>LIQUID LEVEL INDICATOR 32</v>
          </cell>
          <cell r="E40">
            <v>713.33</v>
          </cell>
          <cell r="F40">
            <v>734.73</v>
          </cell>
        </row>
        <row r="41">
          <cell r="C41">
            <v>570584</v>
          </cell>
          <cell r="D41" t="str">
            <v>O-RING KIT 2"</v>
          </cell>
          <cell r="E41">
            <v>39.85</v>
          </cell>
          <cell r="F41">
            <v>41.05</v>
          </cell>
        </row>
        <row r="42">
          <cell r="C42">
            <v>570559</v>
          </cell>
          <cell r="D42" t="str">
            <v>25mm 1" VALVE REFURB O-RING KIT</v>
          </cell>
          <cell r="E42">
            <v>32.93</v>
          </cell>
          <cell r="F42">
            <v>33.92</v>
          </cell>
        </row>
        <row r="43">
          <cell r="C43">
            <v>69471</v>
          </cell>
          <cell r="D43" t="str">
            <v>Single-Tank Swivel Adaptor, 3 in. Flare to 3 in. Grooved</v>
          </cell>
          <cell r="E43">
            <v>292.04000000000002</v>
          </cell>
          <cell r="F43">
            <v>300.8</v>
          </cell>
        </row>
        <row r="44">
          <cell r="C44">
            <v>570278</v>
          </cell>
          <cell r="D44" t="str">
            <v>Liquid Level Measuring Device - 147, 180, and 343 Liter Tanks</v>
          </cell>
          <cell r="E44">
            <v>748.96</v>
          </cell>
          <cell r="F44">
            <v>771.43</v>
          </cell>
        </row>
        <row r="45">
          <cell r="C45">
            <v>570589</v>
          </cell>
          <cell r="D45" t="str">
            <v>Liquid Level Indicator (For 450 lb. Tank), 55 in.</v>
          </cell>
          <cell r="E45">
            <v>769.92</v>
          </cell>
          <cell r="F45">
            <v>793.02</v>
          </cell>
        </row>
        <row r="46">
          <cell r="C46">
            <v>56803</v>
          </cell>
          <cell r="D46" t="str">
            <v>Actuation Isolator</v>
          </cell>
          <cell r="E46">
            <v>396.14</v>
          </cell>
          <cell r="F46">
            <v>408.02</v>
          </cell>
        </row>
        <row r="47">
          <cell r="C47">
            <v>570373</v>
          </cell>
          <cell r="D47" t="str">
            <v>Rebuild Kit, 3 in.</v>
          </cell>
          <cell r="E47">
            <v>64.930000000000007</v>
          </cell>
          <cell r="F47">
            <v>66.88</v>
          </cell>
        </row>
        <row r="48">
          <cell r="C48">
            <v>570342</v>
          </cell>
          <cell r="D48" t="str">
            <v>Male Adaptor, Master Tank Pilot Port</v>
          </cell>
          <cell r="E48">
            <v>21.48</v>
          </cell>
          <cell r="F48">
            <v>22.12</v>
          </cell>
        </row>
        <row r="49">
          <cell r="C49">
            <v>570539</v>
          </cell>
          <cell r="D49" t="str">
            <v>1" FLEXIBLE DISCHARGE HOSE</v>
          </cell>
          <cell r="E49">
            <v>91.15</v>
          </cell>
          <cell r="F49">
            <v>93.88</v>
          </cell>
        </row>
        <row r="50">
          <cell r="C50" t="str">
            <v>570539-R2</v>
          </cell>
          <cell r="D50" t="str">
            <v>Flexible Discharge Hose, 1 in.</v>
          </cell>
          <cell r="E50">
            <v>91.15</v>
          </cell>
          <cell r="F50">
            <v>93.88</v>
          </cell>
        </row>
        <row r="51">
          <cell r="C51">
            <v>570538</v>
          </cell>
          <cell r="D51" t="str">
            <v>2" FLEXIBLE DISC HOSE</v>
          </cell>
          <cell r="E51">
            <v>467.69</v>
          </cell>
          <cell r="F51">
            <v>481.72</v>
          </cell>
        </row>
        <row r="52">
          <cell r="C52" t="str">
            <v>570538-R2</v>
          </cell>
          <cell r="D52" t="str">
            <v>Flexible Discharge Hose, 2 in.</v>
          </cell>
          <cell r="E52">
            <v>467.69</v>
          </cell>
          <cell r="F52">
            <v>467.69</v>
          </cell>
        </row>
        <row r="53">
          <cell r="C53">
            <v>452162</v>
          </cell>
          <cell r="D53" t="str">
            <v>CHECK VALVE, 3", W/ ADAPTOR ASSY</v>
          </cell>
          <cell r="E53">
            <v>1499.28</v>
          </cell>
          <cell r="F53">
            <v>1544.26</v>
          </cell>
        </row>
        <row r="54">
          <cell r="C54">
            <v>69990</v>
          </cell>
          <cell r="D54" t="str">
            <v>3" FLEXIBLE HOSE ASM</v>
          </cell>
          <cell r="E54">
            <v>405.14</v>
          </cell>
          <cell r="F54">
            <v>417.29</v>
          </cell>
        </row>
        <row r="55">
          <cell r="F55">
            <v>0</v>
          </cell>
        </row>
        <row r="56">
          <cell r="C56" t="str">
            <v>8L CARGA</v>
          </cell>
          <cell r="D56" t="str">
            <v>SERVICIO DE CARGA DE AGENTE 8L</v>
          </cell>
          <cell r="E56">
            <v>48.74</v>
          </cell>
          <cell r="F56">
            <v>50.2</v>
          </cell>
        </row>
        <row r="57">
          <cell r="C57" t="str">
            <v>16L CARGA</v>
          </cell>
          <cell r="D57" t="str">
            <v>SERVICIO DE CARGA DE AGENTE 16L</v>
          </cell>
          <cell r="E57">
            <v>48.74</v>
          </cell>
          <cell r="F57">
            <v>50.2</v>
          </cell>
        </row>
        <row r="58">
          <cell r="C58" t="str">
            <v>32L CARGA</v>
          </cell>
          <cell r="D58" t="str">
            <v>SERVICIO DE CARGA DE AGENTE 32L</v>
          </cell>
          <cell r="E58">
            <v>92.24</v>
          </cell>
          <cell r="F58">
            <v>95.01</v>
          </cell>
        </row>
        <row r="59">
          <cell r="C59" t="str">
            <v>52L CARGA</v>
          </cell>
          <cell r="D59" t="str">
            <v>SERVICIO DE CARGA DE AGENTE 52L</v>
          </cell>
          <cell r="E59">
            <v>135.72999999999999</v>
          </cell>
          <cell r="F59">
            <v>139.80000000000001</v>
          </cell>
        </row>
        <row r="60">
          <cell r="C60" t="str">
            <v>106L CARGA</v>
          </cell>
          <cell r="D60" t="str">
            <v>SERVICIO DE CARGA DE AGENTE 106L</v>
          </cell>
          <cell r="E60">
            <v>135.72999999999999</v>
          </cell>
          <cell r="F60">
            <v>139.80000000000001</v>
          </cell>
        </row>
        <row r="61">
          <cell r="C61" t="str">
            <v>147L CARGA</v>
          </cell>
          <cell r="D61" t="str">
            <v>SERVICIO DE CARGA DE AGENTE 147L</v>
          </cell>
          <cell r="E61">
            <v>179.23</v>
          </cell>
          <cell r="F61">
            <v>184.61</v>
          </cell>
        </row>
        <row r="62">
          <cell r="C62" t="str">
            <v>180L CARGA</v>
          </cell>
          <cell r="D62" t="str">
            <v>SERVICIO DE CARGA DE AGENTE 180L</v>
          </cell>
          <cell r="E62">
            <v>222.72</v>
          </cell>
          <cell r="F62">
            <v>229.4</v>
          </cell>
        </row>
        <row r="63">
          <cell r="C63" t="str">
            <v>343L CARGA</v>
          </cell>
          <cell r="D63" t="str">
            <v>SERVICIO DE CARGA DE AGENTE 343L</v>
          </cell>
          <cell r="E63">
            <v>266.22000000000003</v>
          </cell>
          <cell r="F63">
            <v>274.20999999999998</v>
          </cell>
        </row>
        <row r="64">
          <cell r="F64">
            <v>0</v>
          </cell>
        </row>
        <row r="65">
          <cell r="C65" t="str">
            <v>570085-R2</v>
          </cell>
          <cell r="D65" t="str">
            <v>FIJACIÓN CHICA - bracket</v>
          </cell>
          <cell r="E65">
            <v>14.466666666666667</v>
          </cell>
          <cell r="F65">
            <v>14.9</v>
          </cell>
        </row>
        <row r="66">
          <cell r="C66" t="str">
            <v>570092-R2</v>
          </cell>
          <cell r="D66" t="str">
            <v>FIJACIÓN MEDIANA - bracket</v>
          </cell>
          <cell r="E66">
            <v>18.666666666666668</v>
          </cell>
          <cell r="F66">
            <v>19.23</v>
          </cell>
        </row>
        <row r="67">
          <cell r="C67" t="str">
            <v>570336-R2</v>
          </cell>
          <cell r="D67" t="str">
            <v>FIJACIÓN GRANDE - bracket</v>
          </cell>
          <cell r="E67">
            <v>22.711111111111109</v>
          </cell>
          <cell r="F67">
            <v>23.39</v>
          </cell>
        </row>
        <row r="68">
          <cell r="F68">
            <v>0</v>
          </cell>
        </row>
        <row r="69">
          <cell r="C69" t="str">
            <v>314207101-R2</v>
          </cell>
          <cell r="D69" t="str">
            <v>DOOR NOTICE (LESS THAN NOAEL)</v>
          </cell>
          <cell r="E69">
            <v>8.43</v>
          </cell>
          <cell r="F69">
            <v>8.68</v>
          </cell>
        </row>
        <row r="70">
          <cell r="C70" t="str">
            <v>314207103-R2</v>
          </cell>
          <cell r="D70" t="str">
            <v>MANUAL RELEASE SIGN</v>
          </cell>
          <cell r="E70">
            <v>8.09</v>
          </cell>
          <cell r="F70">
            <v>8.33</v>
          </cell>
        </row>
        <row r="71">
          <cell r="C71" t="str">
            <v>442927-R2</v>
          </cell>
          <cell r="D71" t="str">
            <v>NAMEPLATE, FM200, DO NOT ENTER</v>
          </cell>
          <cell r="E71">
            <v>5.24</v>
          </cell>
          <cell r="F71">
            <v>5.4</v>
          </cell>
        </row>
        <row r="72">
          <cell r="C72" t="str">
            <v>442928-R2</v>
          </cell>
          <cell r="D72" t="str">
            <v>NAMEPLATE, FM200, PROTECTED,</v>
          </cell>
          <cell r="E72">
            <v>5.24</v>
          </cell>
          <cell r="F72">
            <v>5.4</v>
          </cell>
        </row>
        <row r="73">
          <cell r="F73">
            <v>0</v>
          </cell>
        </row>
        <row r="74">
          <cell r="C74" t="str">
            <v>NOZ. 8L</v>
          </cell>
          <cell r="D74" t="str">
            <v>8-7 perforaciones de XX mm. en XXX ° - (10mm.) 3/8"</v>
          </cell>
          <cell r="E74">
            <v>75.599999999999994</v>
          </cell>
          <cell r="F74">
            <v>77.87</v>
          </cell>
        </row>
        <row r="75">
          <cell r="C75" t="str">
            <v>NOZ. 16L</v>
          </cell>
          <cell r="D75" t="str">
            <v>8-7 perforaciones de XX mm. en XXX ° - (10mm.) 3/8"</v>
          </cell>
          <cell r="E75">
            <v>75.599999999999994</v>
          </cell>
          <cell r="F75">
            <v>77.87</v>
          </cell>
        </row>
        <row r="76">
          <cell r="C76" t="str">
            <v>NOZ. 32L</v>
          </cell>
          <cell r="D76" t="str">
            <v>8-7 perforaciones de XX mm. en XXX ° - (15mm.) 1/2"</v>
          </cell>
          <cell r="E76">
            <v>81.98</v>
          </cell>
          <cell r="F76">
            <v>84.44</v>
          </cell>
        </row>
        <row r="77">
          <cell r="C77" t="str">
            <v>NOZ. 52L</v>
          </cell>
          <cell r="D77" t="str">
            <v>8-7 perforaciones de XX mm. en XXX ° - (20mm.) 3/4"</v>
          </cell>
          <cell r="E77">
            <v>89.52</v>
          </cell>
          <cell r="F77">
            <v>92.21</v>
          </cell>
        </row>
        <row r="78">
          <cell r="C78" t="str">
            <v>NOZ. 106L</v>
          </cell>
          <cell r="D78" t="str">
            <v>8-7 perforaciones de XX mm. en XXX ° - (25mm.) 1"</v>
          </cell>
          <cell r="E78">
            <v>99.01</v>
          </cell>
          <cell r="F78">
            <v>101.98</v>
          </cell>
        </row>
        <row r="79">
          <cell r="C79" t="str">
            <v>NOZ. 147L</v>
          </cell>
          <cell r="D79" t="str">
            <v>16-7 perforaciones de XX mm. en XXX ° - (32mm.) 1 1/4"</v>
          </cell>
          <cell r="E79">
            <v>119.54</v>
          </cell>
          <cell r="F79">
            <v>123.13</v>
          </cell>
        </row>
        <row r="80">
          <cell r="C80" t="str">
            <v>NOZ. 180L</v>
          </cell>
          <cell r="D80" t="str">
            <v>8-7 perforaciones de XX mm. en XXX ° - (40mm.) 1 1/2"</v>
          </cell>
          <cell r="E80">
            <v>128.63999999999999</v>
          </cell>
          <cell r="F80">
            <v>132.5</v>
          </cell>
        </row>
        <row r="81">
          <cell r="C81" t="str">
            <v>NOZ. 343L</v>
          </cell>
          <cell r="D81" t="str">
            <v>16-7 perforaciones de XX mm. en XXX ° - (50mm.) 2"</v>
          </cell>
          <cell r="E81">
            <v>186.67</v>
          </cell>
          <cell r="F81">
            <v>192.27</v>
          </cell>
        </row>
        <row r="82">
          <cell r="F82">
            <v>0</v>
          </cell>
        </row>
        <row r="83">
          <cell r="F83">
            <v>0</v>
          </cell>
        </row>
        <row r="84">
          <cell r="C84" t="str">
            <v>FK-5-1-12</v>
          </cell>
          <cell r="D84" t="str">
            <v>NV-1230  FLUID FACTORY (UL/FM)</v>
          </cell>
          <cell r="E84">
            <v>14.15</v>
          </cell>
          <cell r="F84">
            <v>14.57</v>
          </cell>
        </row>
        <row r="85">
          <cell r="C85">
            <v>453646</v>
          </cell>
          <cell r="D85" t="str">
            <v>FM-200 Agent (UL/FM)</v>
          </cell>
          <cell r="E85">
            <v>12.72</v>
          </cell>
          <cell r="F85">
            <v>13.1</v>
          </cell>
        </row>
      </sheetData>
      <sheetData sheetId="18">
        <row r="1">
          <cell r="A1" t="str">
            <v>Cod_Producto</v>
          </cell>
          <cell r="B1" t="str">
            <v>Producto</v>
          </cell>
        </row>
        <row r="2">
          <cell r="A2" t="str">
            <v>A101-13193</v>
          </cell>
          <cell r="B2" t="str">
            <v>CAPSULA LT-10-R - 13193</v>
          </cell>
        </row>
        <row r="3">
          <cell r="A3" t="str">
            <v>A101-14236</v>
          </cell>
          <cell r="B3" t="str">
            <v>DISCO INSP.VISUAL MANG 3/4  EXT15 -14236</v>
          </cell>
        </row>
        <row r="4">
          <cell r="A4" t="str">
            <v>A101-15999</v>
          </cell>
          <cell r="B4" t="str">
            <v>SELLO INSPECCION VISUAL - 15999</v>
          </cell>
        </row>
        <row r="5">
          <cell r="A5" t="str">
            <v>A101-16424</v>
          </cell>
          <cell r="B5" t="str">
            <v>TRIPLE TEE3/4 X1/2 X1/2 X1/2 X1/2 -16424</v>
          </cell>
        </row>
        <row r="6">
          <cell r="A6" t="str">
            <v>A101-16511</v>
          </cell>
          <cell r="B6" t="str">
            <v>LLAVE PARA TAPA ESTANQUE LT-A-101 -16511</v>
          </cell>
        </row>
        <row r="7">
          <cell r="A7" t="str">
            <v>A101-181</v>
          </cell>
          <cell r="B7" t="str">
            <v>EMPAQUETADURA REC. DE CARTUCHO - 181</v>
          </cell>
        </row>
        <row r="8">
          <cell r="A8" t="str">
            <v>A101-24306</v>
          </cell>
          <cell r="B8" t="str">
            <v>ESTANQUE ANSUL LT-A-101-20 - 24306</v>
          </cell>
        </row>
        <row r="9">
          <cell r="A9" t="str">
            <v>A101-24307</v>
          </cell>
          <cell r="B9" t="str">
            <v>SISTEMAS ANSUL LT-LP-A-101-20-B 24307</v>
          </cell>
        </row>
        <row r="10">
          <cell r="A10" t="str">
            <v>A101-24883</v>
          </cell>
          <cell r="B10" t="str">
            <v>PAQUETE CAPSULA ANSUL LT-A-101-30-24883</v>
          </cell>
        </row>
        <row r="11">
          <cell r="A11" t="str">
            <v>A101-25031</v>
          </cell>
          <cell r="B11" t="str">
            <v>TEE DISTRIBUCION - 25031</v>
          </cell>
        </row>
        <row r="12">
          <cell r="A12" t="str">
            <v>A101-25397</v>
          </cell>
          <cell r="B12" t="str">
            <v>TAMBOR 200LB Q.SECO ANSUL FORAY - 25397</v>
          </cell>
        </row>
        <row r="13">
          <cell r="A13" t="str">
            <v>A101-25959</v>
          </cell>
          <cell r="B13" t="str">
            <v>Tail Piece (Burst Disc Union) (LT-A-101-10, 20, 30) 3/4 in.-</v>
          </cell>
        </row>
        <row r="14">
          <cell r="A14" t="str">
            <v>A101-28404</v>
          </cell>
          <cell r="B14" t="str">
            <v>ADAPT. SELLO CAPSULA LT-A-101-30 - 28404</v>
          </cell>
        </row>
        <row r="15">
          <cell r="A15" t="str">
            <v>A101-29193</v>
          </cell>
          <cell r="B15" t="str">
            <v>SOPORTE CAPSULA LT-A-101-30 - 29193</v>
          </cell>
        </row>
        <row r="16">
          <cell r="A16" t="str">
            <v>A101-30494</v>
          </cell>
          <cell r="B16" t="str">
            <v>SOPORTE ESTANQUE LT-A-101-30 - 30494</v>
          </cell>
        </row>
        <row r="17">
          <cell r="A17" t="str">
            <v>A101-30759</v>
          </cell>
          <cell r="B17" t="str">
            <v>SOPORTE VEHICULAR HD #20 - 30759</v>
          </cell>
        </row>
        <row r="18">
          <cell r="A18" t="str">
            <v>A101-30789</v>
          </cell>
          <cell r="B18" t="str">
            <v>BOQUILLA DESCARGA EXT. 20 LB - 30789</v>
          </cell>
        </row>
        <row r="19">
          <cell r="A19" t="str">
            <v>A101-30886</v>
          </cell>
          <cell r="B19" t="str">
            <v>SOPORTE VEHICULAR HD #10 - 30886</v>
          </cell>
        </row>
        <row r="20">
          <cell r="A20" t="str">
            <v>A101-3469</v>
          </cell>
          <cell r="B20" t="str">
            <v>O-RING DE BOQUILLA - 3469</v>
          </cell>
        </row>
        <row r="21">
          <cell r="A21" t="str">
            <v>A101-3651</v>
          </cell>
          <cell r="B21" t="str">
            <v>SOPORTE MURAL EXT. 10 20 30-E - 3651</v>
          </cell>
        </row>
        <row r="22">
          <cell r="A22" t="str">
            <v>A101-4120</v>
          </cell>
          <cell r="B22" t="str">
            <v>TAPA DE BOQUILLA F1/2 - 4120</v>
          </cell>
        </row>
        <row r="23">
          <cell r="A23" t="str">
            <v>A101-415108</v>
          </cell>
          <cell r="B23" t="str">
            <v>TAPA DE BOQUILLA V/C 1/2 - 415108</v>
          </cell>
        </row>
        <row r="24">
          <cell r="A24" t="str">
            <v>A101-415192</v>
          </cell>
          <cell r="B24" t="str">
            <v>A101 Blow Off Cap - package 50 und</v>
          </cell>
        </row>
        <row r="25">
          <cell r="A25" t="str">
            <v>A101-415856</v>
          </cell>
          <cell r="B25" t="str">
            <v>ANILLO RETENEDOR SELLO #20 - 415856</v>
          </cell>
        </row>
        <row r="26">
          <cell r="A26" t="str">
            <v>A101-415857</v>
          </cell>
          <cell r="B26" t="str">
            <v>ANILLO RETENEDOR SELLO #30 - 415857</v>
          </cell>
        </row>
        <row r="27">
          <cell r="A27" t="str">
            <v>A101-423878</v>
          </cell>
          <cell r="B27" t="str">
            <v>INTERRUPTOR ELECT. SPDT - 423878</v>
          </cell>
        </row>
        <row r="28">
          <cell r="A28" t="str">
            <v>A101-426520</v>
          </cell>
          <cell r="B28" t="str">
            <v>KIT RESISTENCIA TERMINO LINEA - 426520</v>
          </cell>
        </row>
        <row r="29">
          <cell r="A29" t="str">
            <v>A101-426961</v>
          </cell>
          <cell r="B29" t="str">
            <v>BIDON 5GAL LVS SUPPRESANT AGENTE -426961</v>
          </cell>
        </row>
        <row r="30">
          <cell r="A30" t="str">
            <v>A101-427308</v>
          </cell>
          <cell r="B30" t="str">
            <v>BATERIA CHECKFIRE SCN/MP-N 3.6VCC-427308</v>
          </cell>
        </row>
        <row r="31">
          <cell r="A31" t="str">
            <v>A101-427745</v>
          </cell>
          <cell r="B31" t="str">
            <v>ESTANQ QS CR-A-101-125 SHIP ASM - 427745</v>
          </cell>
        </row>
        <row r="32">
          <cell r="A32" t="str">
            <v>A101-428060</v>
          </cell>
          <cell r="B32" t="str">
            <v>CARTR.NITROG LTA-101-125/LVS-30 D-428060</v>
          </cell>
        </row>
        <row r="33">
          <cell r="A33" t="str">
            <v>A101-428271</v>
          </cell>
          <cell r="B33" t="str">
            <v>A101 BURST DISC (CNS)-UNITARIO</v>
          </cell>
        </row>
        <row r="34">
          <cell r="A34" t="str">
            <v>A101-428311</v>
          </cell>
          <cell r="B34" t="str">
            <v>INTERRUPTOR INICIADOR DE ALARMA - 428311</v>
          </cell>
        </row>
        <row r="35">
          <cell r="A35" t="str">
            <v>A101-428324</v>
          </cell>
          <cell r="B35" t="str">
            <v>DISCO RUPT.NIPPLE LTA-101-250/125-428324</v>
          </cell>
        </row>
        <row r="36">
          <cell r="A36" t="str">
            <v>A101-428363</v>
          </cell>
          <cell r="B36" t="str">
            <v>Burst Disc Assembly 3/4 in. (LT-A-101, LVS) 15/pkg. (pkg. pr</v>
          </cell>
        </row>
        <row r="37">
          <cell r="A37" t="str">
            <v>A101-428404</v>
          </cell>
          <cell r="B37" t="str">
            <v>Mounting Ring, LT-A-101-125, LVS-15</v>
          </cell>
        </row>
        <row r="38">
          <cell r="A38" t="str">
            <v>A101-428405</v>
          </cell>
          <cell r="B38" t="str">
            <v>Mounting Ring, LT-A-101-250, LVS-30</v>
          </cell>
        </row>
        <row r="39">
          <cell r="A39" t="str">
            <v>A101-433325</v>
          </cell>
          <cell r="B39" t="str">
            <v>LVS 9,5 C/TAPA,SOP, BOQUILLA- 433325</v>
          </cell>
        </row>
        <row r="40">
          <cell r="A40" t="str">
            <v>A101-433788</v>
          </cell>
          <cell r="B40" t="str">
            <v>ESTANQ. QS ANSUL LTA-101-50 C/SOP-433788</v>
          </cell>
        </row>
        <row r="41">
          <cell r="A41" t="str">
            <v>A101-434618</v>
          </cell>
          <cell r="B41" t="str">
            <v>PULL STATION ASSEMBLY - 434618</v>
          </cell>
        </row>
        <row r="42">
          <cell r="A42" t="str">
            <v>A101-435479</v>
          </cell>
          <cell r="B42" t="str">
            <v>ACTUADOR ELECTRIC DETECTION - 435479</v>
          </cell>
        </row>
        <row r="43">
          <cell r="A43" t="str">
            <v>A101-435876</v>
          </cell>
          <cell r="B43" t="str">
            <v>LVS-5 ESTANQUE VACIO Y SOPORTE 435876</v>
          </cell>
        </row>
        <row r="44">
          <cell r="A44" t="str">
            <v>A101-436026</v>
          </cell>
          <cell r="B44" t="str">
            <v>DISPOSITIVO ACTUACION PAD NUEVO - 436026</v>
          </cell>
        </row>
        <row r="45">
          <cell r="A45" t="str">
            <v>A101-437409</v>
          </cell>
          <cell r="B45" t="str">
            <v>CONJUNTO A-101 PRESSURE SWIT.SHIP-437409</v>
          </cell>
        </row>
        <row r="46">
          <cell r="A46" t="str">
            <v>A101-438280</v>
          </cell>
          <cell r="B46" t="str">
            <v>A101-250 DEG SPOT THERMAL DETECTOR-438280</v>
          </cell>
        </row>
        <row r="47">
          <cell r="A47" t="str">
            <v>A101-438281</v>
          </cell>
          <cell r="B47" t="str">
            <v xml:space="preserve"> spot termal detector 350 DEG</v>
          </cell>
        </row>
        <row r="48">
          <cell r="A48" t="str">
            <v>A101-438775</v>
          </cell>
          <cell r="B48" t="str">
            <v>LVS-15 TANK&amp;23 CU.FT. N2 CARTRID-438775</v>
          </cell>
        </row>
        <row r="49">
          <cell r="A49" t="str">
            <v>A101-438821</v>
          </cell>
          <cell r="B49" t="str">
            <v>LVS-30 TANK AND 55 CU. FT. N2 CAR 438821</v>
          </cell>
        </row>
        <row r="50">
          <cell r="A50" t="str">
            <v>A101-438834</v>
          </cell>
          <cell r="B50" t="str">
            <v>A101-2x2 dist manifold block-438834</v>
          </cell>
        </row>
        <row r="51">
          <cell r="A51" t="str">
            <v>A101-439361</v>
          </cell>
          <cell r="B51" t="str">
            <v>LVS-10 ESTANQUE - 439361</v>
          </cell>
        </row>
        <row r="52">
          <cell r="A52" t="str">
            <v>A101-439384</v>
          </cell>
          <cell r="B52" t="str">
            <v>CABLE CIRCUITO DE DETECCIÓN-2'-439384</v>
          </cell>
        </row>
        <row r="53">
          <cell r="A53" t="str">
            <v>A101-439386</v>
          </cell>
          <cell r="B53" t="str">
            <v>CABLE CIRCUITO DE DETECCIÓN -5'-439386</v>
          </cell>
        </row>
        <row r="54">
          <cell r="A54" t="str">
            <v>A101-439388</v>
          </cell>
          <cell r="B54" t="str">
            <v>CABLE CIRCUITO DE DETECCIÓN-10'-439388</v>
          </cell>
        </row>
        <row r="55">
          <cell r="A55" t="str">
            <v>A101-439390</v>
          </cell>
          <cell r="B55" t="str">
            <v>CABLE CIRCUITO DE DETECCIÓN-20'-439390</v>
          </cell>
        </row>
        <row r="56">
          <cell r="A56" t="str">
            <v>A101-439394</v>
          </cell>
          <cell r="B56" t="str">
            <v>TEE CIRCUITO DE DETECCIÓN-439394</v>
          </cell>
        </row>
        <row r="57">
          <cell r="A57" t="str">
            <v>A101-439396</v>
          </cell>
          <cell r="B57" t="str">
            <v>CONECTOR FIN DE LÍNEA DETECCIÓN-439396</v>
          </cell>
        </row>
        <row r="58">
          <cell r="A58" t="str">
            <v>A101-439398</v>
          </cell>
          <cell r="B58" t="str">
            <v>Connector, Branch Terminator, Detection Circuit</v>
          </cell>
        </row>
        <row r="59">
          <cell r="A59" t="str">
            <v>A101-439400</v>
          </cell>
          <cell r="B59" t="str">
            <v>ACTUADOR ELÉCTRICO-439400</v>
          </cell>
        </row>
        <row r="60">
          <cell r="A60" t="str">
            <v>A101-439404</v>
          </cell>
          <cell r="B60" t="str">
            <v>PASA-MAMPARO CIRCUITO DETECCIÓN-439404</v>
          </cell>
        </row>
        <row r="61">
          <cell r="A61" t="str">
            <v>A101-439405</v>
          </cell>
          <cell r="B61" t="str">
            <v>PASA-MAMPARO DESCARGA-POWER-439405</v>
          </cell>
        </row>
        <row r="62">
          <cell r="A62" t="str">
            <v>A101-439406</v>
          </cell>
          <cell r="B62" t="str">
            <v>CABLE DETECTOR TÉRMICO LINEAL-2'-439406</v>
          </cell>
        </row>
        <row r="63">
          <cell r="A63" t="str">
            <v>A101-439408</v>
          </cell>
          <cell r="B63" t="str">
            <v>CABLE DETECTOR TÉRMICO LINEAL-20'-439408</v>
          </cell>
        </row>
        <row r="64">
          <cell r="A64" t="str">
            <v>A101-439410</v>
          </cell>
          <cell r="B64" t="str">
            <v>CABLE DETECTOR TÉRMICO LINEAL-30'-439410</v>
          </cell>
        </row>
        <row r="65">
          <cell r="A65" t="str">
            <v>A101-439418</v>
          </cell>
          <cell r="B65" t="str">
            <v>CABLE CIRCUITO DE DESCARGA-2'-439418</v>
          </cell>
        </row>
        <row r="66">
          <cell r="A66" t="str">
            <v>A101-439420</v>
          </cell>
          <cell r="B66" t="str">
            <v>CABLE CIRCUITO DE DESCARGA-5'-439420</v>
          </cell>
        </row>
        <row r="67">
          <cell r="A67" t="str">
            <v>A101-439422</v>
          </cell>
          <cell r="B67" t="str">
            <v>CABLE CIRCUITO DE DESCARGA-10'-439422</v>
          </cell>
        </row>
        <row r="68">
          <cell r="A68" t="str">
            <v>A101-439424</v>
          </cell>
          <cell r="B68" t="str">
            <v>CABLE CIRCUITO DE DESCARGA -20'-439424</v>
          </cell>
        </row>
        <row r="69">
          <cell r="A69" t="str">
            <v>A101-439426</v>
          </cell>
          <cell r="B69" t="str">
            <v>CABLE CIRCUITO DE DESCARGA-30'-439426</v>
          </cell>
        </row>
        <row r="70">
          <cell r="A70" t="str">
            <v>A101-439428</v>
          </cell>
          <cell r="B70" t="str">
            <v>Cable, Release Circuit, 50 ft (15.24 m)</v>
          </cell>
        </row>
        <row r="71">
          <cell r="A71" t="str">
            <v>A101-439430</v>
          </cell>
          <cell r="B71" t="str">
            <v>BAJADA A ACTUADOR EL-NEU-30-439430</v>
          </cell>
        </row>
        <row r="72">
          <cell r="A72" t="str">
            <v>A101-439432</v>
          </cell>
          <cell r="B72" t="str">
            <v>BAJADA A ACTUADOR EL-NEU-38-439432</v>
          </cell>
        </row>
        <row r="73">
          <cell r="A73" t="str">
            <v>A101-439434</v>
          </cell>
          <cell r="B73" t="str">
            <v>TEE CIRCUITO DESCARGA MXHXH-439434</v>
          </cell>
        </row>
        <row r="74">
          <cell r="A74" t="str">
            <v>A101-439436</v>
          </cell>
          <cell r="B74" t="str">
            <v>Connector, Terminator, Release Circuit</v>
          </cell>
        </row>
        <row r="75">
          <cell r="A75" t="str">
            <v>A101-439438</v>
          </cell>
          <cell r="B75" t="str">
            <v>CABLE CIRCUITO ELÉCTRICO-2'-439438</v>
          </cell>
        </row>
        <row r="76">
          <cell r="A76" t="str">
            <v>A101-439440</v>
          </cell>
          <cell r="B76" t="str">
            <v>CABLE CIRCUITO ELÉCTRICO-5'-439440</v>
          </cell>
        </row>
        <row r="77">
          <cell r="A77" t="str">
            <v>A101-439442</v>
          </cell>
          <cell r="B77" t="str">
            <v>CABLE CIRCUITO ELÉCTRICO-10'-439442</v>
          </cell>
        </row>
        <row r="78">
          <cell r="A78" t="str">
            <v>A101-439444</v>
          </cell>
          <cell r="B78" t="str">
            <v>CABLE CIRCUITO ELÉCTRICO-20'-439444</v>
          </cell>
        </row>
        <row r="79">
          <cell r="A79" t="str">
            <v>A101-439446</v>
          </cell>
          <cell r="B79" t="str">
            <v>Cable Assy., Power Circuit-30'</v>
          </cell>
        </row>
        <row r="80">
          <cell r="A80" t="str">
            <v>A101-439448</v>
          </cell>
          <cell r="B80" t="str">
            <v>PAD CON CONEXIÓN TIPO CUCHILLO-439448</v>
          </cell>
        </row>
        <row r="81">
          <cell r="A81" t="str">
            <v>A101-439449</v>
          </cell>
          <cell r="B81" t="str">
            <v>PASAMAMP CIRC MÓDULO ICM-439449</v>
          </cell>
        </row>
        <row r="82">
          <cell r="A82" t="str">
            <v>A101-439454</v>
          </cell>
          <cell r="B82" t="str">
            <v>(INACTIVO)</v>
          </cell>
        </row>
        <row r="83">
          <cell r="A83" t="str">
            <v>A101-439458</v>
          </cell>
          <cell r="B83" t="str">
            <v>Cable Display  ( 443539 )</v>
          </cell>
        </row>
        <row r="84">
          <cell r="A84" t="str">
            <v>A101-439460</v>
          </cell>
          <cell r="B84" t="str">
            <v>(INACTIVO)</v>
          </cell>
        </row>
        <row r="85">
          <cell r="A85" t="str">
            <v>A101-439466</v>
          </cell>
          <cell r="B85" t="str">
            <v>CABLE CIRC RELÉ PARA 2 RELÉ FW-3'-439466</v>
          </cell>
        </row>
        <row r="86">
          <cell r="A86" t="str">
            <v>A101-439478</v>
          </cell>
          <cell r="B86" t="str">
            <v>CABLE DETECTOR TÉRMICO LINEAL-5'-439478</v>
          </cell>
        </row>
        <row r="87">
          <cell r="A87" t="str">
            <v>A101-439480</v>
          </cell>
          <cell r="B87" t="str">
            <v>CABLE DETECTOR TÉRMICO LINEAL-10'-439480</v>
          </cell>
        </row>
        <row r="88">
          <cell r="A88" t="str">
            <v>A101-439482</v>
          </cell>
          <cell r="B88" t="str">
            <v>Cable, Backup Power/Relay Circuit, 10 ft (3.05  m)</v>
          </cell>
        </row>
        <row r="89">
          <cell r="A89" t="str">
            <v>A101-439492</v>
          </cell>
          <cell r="B89" t="str">
            <v>CABLE CIRC ELÉC CON PORTA FUSIBLE-439492</v>
          </cell>
        </row>
        <row r="90">
          <cell r="A90" t="str">
            <v>A101-439559</v>
          </cell>
          <cell r="B90" t="str">
            <v>MÓDULO DE CONTROL CHECKFIRE110-439559</v>
          </cell>
        </row>
        <row r="91">
          <cell r="A91" t="str">
            <v>A101-439560</v>
          </cell>
          <cell r="B91" t="str">
            <v>MÓDULO DE PANTALLA CF210-439560</v>
          </cell>
        </row>
        <row r="92">
          <cell r="A92" t="str">
            <v>A101-439561</v>
          </cell>
          <cell r="B92" t="str">
            <v>INTERFASE MÓDULO DE CONTROL CF210-439561</v>
          </cell>
        </row>
        <row r="93">
          <cell r="A93" t="str">
            <v>A101-439564</v>
          </cell>
          <cell r="B93" t="str">
            <v>SOPORTE PARA MÓDULO PANTALLA-439564</v>
          </cell>
        </row>
        <row r="94">
          <cell r="A94" t="str">
            <v>A101-439569</v>
          </cell>
          <cell r="B94" t="str">
            <v>ACTUATOR ELECTRONEUMATICO -439569</v>
          </cell>
        </row>
        <row r="95">
          <cell r="A95" t="str">
            <v>A101-440090</v>
          </cell>
          <cell r="B95" t="str">
            <v>A101 Pressure Switch Ship Assembly</v>
          </cell>
        </row>
        <row r="96">
          <cell r="A96" t="str">
            <v>A101-440097</v>
          </cell>
          <cell r="B96" t="str">
            <v>Detection Circuit Tester (DCT)</v>
          </cell>
        </row>
        <row r="97">
          <cell r="A97" t="str">
            <v>A101-440352</v>
          </cell>
          <cell r="B97" t="str">
            <v>BATERÍA CF210-440352</v>
          </cell>
        </row>
        <row r="98">
          <cell r="A98" t="str">
            <v>A101-440389</v>
          </cell>
          <cell r="B98" t="str">
            <v>Pressure Switch</v>
          </cell>
        </row>
        <row r="99">
          <cell r="A99" t="str">
            <v>A101-440413</v>
          </cell>
          <cell r="B99" t="str">
            <v>Cable, Backup Power/Relay Circuit, 5 ft (1.53  m)</v>
          </cell>
        </row>
        <row r="100">
          <cell r="A100" t="str">
            <v>A101-440416</v>
          </cell>
          <cell r="B100" t="str">
            <v>CABLE CIRC ELÉC RESPALDO RELÉ-20'-440416</v>
          </cell>
        </row>
        <row r="101">
          <cell r="A101" t="str">
            <v>A101-440537</v>
          </cell>
          <cell r="B101" t="str">
            <v>SOPORTE ACTUADOR ELÉCTR-MAN-440537</v>
          </cell>
        </row>
        <row r="102">
          <cell r="A102" t="str">
            <v>A101-440737</v>
          </cell>
          <cell r="B102" t="str">
            <v>Double Loop Cable Tie (Pkg. of 50)-UNIATRIO</v>
          </cell>
        </row>
        <row r="103">
          <cell r="A103" t="str">
            <v>A101-440759</v>
          </cell>
          <cell r="B103" t="str">
            <v>CABLE CIRCUITO DE DETECCIÓN-30'-440759</v>
          </cell>
        </row>
        <row r="104">
          <cell r="A104" t="str">
            <v>A101-440762</v>
          </cell>
          <cell r="B104" t="str">
            <v>Cable, Detection Circuit, 50 ft (15.24 m)</v>
          </cell>
        </row>
        <row r="105">
          <cell r="A105" t="str">
            <v>A101-440765</v>
          </cell>
          <cell r="B105" t="str">
            <v>Linear Detector, 50 ft (15.24 m)</v>
          </cell>
        </row>
        <row r="106">
          <cell r="A106" t="str">
            <v>A101-440798</v>
          </cell>
          <cell r="B106" t="str">
            <v>CHECKFIRE NEXT GEN Label Ship. Assy.</v>
          </cell>
        </row>
        <row r="107">
          <cell r="A107" t="str">
            <v>A101-440905</v>
          </cell>
          <cell r="B107" t="str">
            <v>Bracket/heat shield shipping assembly</v>
          </cell>
        </row>
        <row r="108">
          <cell r="A108" t="str">
            <v>A101-440912</v>
          </cell>
          <cell r="B108" t="str">
            <v xml:space="preserve">Release Circuit Test Plug </v>
          </cell>
        </row>
        <row r="109">
          <cell r="A109" t="str">
            <v>A101-441021</v>
          </cell>
          <cell r="B109" t="str">
            <v>Release Circuit Tester (RCT)</v>
          </cell>
        </row>
        <row r="110">
          <cell r="A110" t="str">
            <v>A101-441774</v>
          </cell>
          <cell r="B110" t="str">
            <v>CONJUNTO ESTANQUE LVS-3 Y SOPORTE-441774</v>
          </cell>
        </row>
        <row r="111">
          <cell r="A111" t="str">
            <v>A101-441775</v>
          </cell>
          <cell r="B111" t="str">
            <v>AGENTE LVS-3 DE 3.0 GAL - 441775</v>
          </cell>
        </row>
        <row r="112">
          <cell r="A112" t="str">
            <v>A101-442586</v>
          </cell>
          <cell r="B112" t="str">
            <v>CÁPSULA LT30R, SOPORTE Y ACT. - 442586</v>
          </cell>
        </row>
        <row r="113">
          <cell r="A113" t="str">
            <v>A101-443536</v>
          </cell>
          <cell r="B113" t="str">
            <v>CABLE BUS 2 FT-443536</v>
          </cell>
        </row>
        <row r="114">
          <cell r="A114" t="str">
            <v>A101-443537</v>
          </cell>
          <cell r="B114" t="str">
            <v>CABLE A MÓDULO DE PANTALLA-ICM-5'-443537</v>
          </cell>
        </row>
        <row r="115">
          <cell r="A115" t="str">
            <v>A101-443538</v>
          </cell>
          <cell r="B115" t="str">
            <v>Cable Assy, I/O CanBUS &amp; Display Cbl-10'</v>
          </cell>
        </row>
        <row r="116">
          <cell r="A116" t="str">
            <v>A101-443540</v>
          </cell>
          <cell r="B116" t="str">
            <v>CABLE MÓDULO DE PANTALLA-ICM-30'-443540</v>
          </cell>
        </row>
        <row r="117">
          <cell r="A117" t="str">
            <v>A101-4614</v>
          </cell>
          <cell r="B117" t="str">
            <v>CAPSULA DE CO2 DE 20 LB - 4614</v>
          </cell>
        </row>
        <row r="118">
          <cell r="A118" t="str">
            <v>A101-4655</v>
          </cell>
          <cell r="B118" t="str">
            <v>TEE DE REDUCCION 3/4 X1/2 X1/2  - 4655</v>
          </cell>
        </row>
        <row r="119">
          <cell r="A119" t="str">
            <v>A101-4677</v>
          </cell>
          <cell r="B119" t="str">
            <v>UNION RING - 4677</v>
          </cell>
        </row>
        <row r="120">
          <cell r="A120" t="str">
            <v>A101-53000</v>
          </cell>
          <cell r="B120" t="str">
            <v>ESTANQ. QS ANSUL A101-30 S/SOPORTE-53000</v>
          </cell>
        </row>
        <row r="121">
          <cell r="A121" t="str">
            <v>A101-53003</v>
          </cell>
          <cell r="B121" t="str">
            <v>ESTANQ. QS ANSUL LTA-101-30 C/SOP.-53003</v>
          </cell>
        </row>
        <row r="122">
          <cell r="A122" t="str">
            <v>A101-53038</v>
          </cell>
          <cell r="B122" t="str">
            <v>Tee, Triple, 3/4 x 1/2 x 1/2 x 1/2 x 1/2 in., 2/package (pkg</v>
          </cell>
        </row>
        <row r="123">
          <cell r="A123" t="str">
            <v>A101-53050</v>
          </cell>
          <cell r="B123" t="str">
            <v>Valve, Safety Vent Relief</v>
          </cell>
        </row>
        <row r="124">
          <cell r="A124" t="str">
            <v>A101-53051</v>
          </cell>
          <cell r="B124" t="str">
            <v>PAQ. 2 UN VALVULA RETENCION 1/4  - 53051</v>
          </cell>
        </row>
        <row r="125">
          <cell r="A125" t="str">
            <v>A101-53080</v>
          </cell>
          <cell r="B125" t="str">
            <v>BALDE 45 LB Q.SECO ANSUL FORAY - 53080</v>
          </cell>
        </row>
        <row r="126">
          <cell r="A126" t="str">
            <v>A101-53362</v>
          </cell>
          <cell r="B126" t="str">
            <v>SOPORTE VEHICULAR HD #20 CR - 53362</v>
          </cell>
        </row>
        <row r="127">
          <cell r="A127" t="str">
            <v>A101-53791</v>
          </cell>
          <cell r="B127" t="str">
            <v>BOQUILLA DESCARGA C-1/2 CON TAPA - 53791</v>
          </cell>
        </row>
        <row r="128">
          <cell r="A128" t="str">
            <v>A101-56692</v>
          </cell>
          <cell r="B128" t="str">
            <v>Sleeves, Rubber (20/pkg)-UNITARIO</v>
          </cell>
        </row>
        <row r="129">
          <cell r="A129" t="str">
            <v>A101-56748</v>
          </cell>
          <cell r="B129" t="str">
            <v>BOQUILLA DESCARGA V 1/2 CON TAPA - 56748</v>
          </cell>
        </row>
        <row r="130">
          <cell r="A130" t="str">
            <v>A101-57044</v>
          </cell>
          <cell r="B130" t="str">
            <v>Nozzle, V-1/2 w/Blow-Off Cap, Bracket, Lockwashers, 4/packag</v>
          </cell>
        </row>
        <row r="131">
          <cell r="A131" t="str">
            <v>A101-57046</v>
          </cell>
          <cell r="B131" t="str">
            <v>Nozzle, C-1/2 w/Blow-Off Cap, Bracket, Lockwashers, 4/packag</v>
          </cell>
        </row>
        <row r="132">
          <cell r="A132" t="str">
            <v>A101-57452</v>
          </cell>
          <cell r="B132" t="str">
            <v>ACTUADOR  MANUAL RHT (DERECHO) - 57452</v>
          </cell>
        </row>
        <row r="133">
          <cell r="A133" t="str">
            <v>A101-57484</v>
          </cell>
          <cell r="B133" t="str">
            <v>PAQUETE ACTUADOR MANUAL 10-R - 57484</v>
          </cell>
        </row>
        <row r="134">
          <cell r="A134" t="str">
            <v>A101-57661</v>
          </cell>
          <cell r="B134" t="str">
            <v>SOPORTE ACTUADOR TIPO  S  - 57661</v>
          </cell>
        </row>
        <row r="135">
          <cell r="A135" t="str">
            <v>A101-6190</v>
          </cell>
          <cell r="B135" t="str">
            <v>EMPAQUETADURA PLANA DE TAPA - 6190</v>
          </cell>
        </row>
        <row r="136">
          <cell r="A136" t="str">
            <v>A101-6273</v>
          </cell>
          <cell r="B136" t="str">
            <v>EMPAQUETADURA CUADRADA DE TAPA - 6273</v>
          </cell>
        </row>
        <row r="137">
          <cell r="A137" t="str">
            <v>A101-6979</v>
          </cell>
          <cell r="B137" t="str">
            <v>CAPSULA DE NITROGENO LT-5-R - 6979</v>
          </cell>
        </row>
        <row r="138">
          <cell r="A138" t="str">
            <v>A101-7013</v>
          </cell>
          <cell r="B138" t="str">
            <v>CAPSULA DE NITROGENO LT-5-L - 7013</v>
          </cell>
        </row>
        <row r="139">
          <cell r="A139" t="str">
            <v>A101-70580</v>
          </cell>
          <cell r="B139" t="str">
            <v>SOPORTE ACTUADOR TIPO  L  - 70580</v>
          </cell>
        </row>
        <row r="140">
          <cell r="A140" t="str">
            <v>A101-70581</v>
          </cell>
          <cell r="B140" t="str">
            <v>ACTUADOR MANUAL LHT (IZQUIERDO) - 70581</v>
          </cell>
        </row>
        <row r="141">
          <cell r="A141" t="str">
            <v>A101-71230</v>
          </cell>
          <cell r="B141" t="str">
            <v>ROLLO 100 FT CABLE TERMO SENSIBLE -71230</v>
          </cell>
        </row>
        <row r="142">
          <cell r="A142" t="str">
            <v>A101-71231</v>
          </cell>
          <cell r="B142" t="str">
            <v>CABLE TERMO SENCIBLE ROLLO 500 FT -71231</v>
          </cell>
        </row>
        <row r="143">
          <cell r="A143" t="str">
            <v>A101-73871</v>
          </cell>
          <cell r="B143" t="str">
            <v>Nozzle Bracket, 2 in. x 3 in., Angle, 1und= 1 pieza</v>
          </cell>
        </row>
        <row r="144">
          <cell r="A144" t="str">
            <v>A101-73872</v>
          </cell>
          <cell r="B144" t="str">
            <v>Nozzle Lockwasher, 1/2 in., 50/package (pkg. price)-UNITARIO</v>
          </cell>
        </row>
        <row r="145">
          <cell r="A145" t="str">
            <v>A101-77250</v>
          </cell>
          <cell r="B145" t="str">
            <v>Cap, Cartridge Shipping, LH Thread (4, 5, 10, 20 and 30)-UNI</v>
          </cell>
        </row>
        <row r="146">
          <cell r="A146" t="str">
            <v>A101-77251</v>
          </cell>
          <cell r="B146" t="str">
            <v>TAPA DE SEGURIDAD R - 77251</v>
          </cell>
        </row>
        <row r="147">
          <cell r="A147" t="str">
            <v>A101-9335</v>
          </cell>
          <cell r="B147" t="str">
            <v>BALDE 50 LB Q.SECO ANSUL PURPLE-K - 9335</v>
          </cell>
        </row>
        <row r="148">
          <cell r="A148" t="str">
            <v>A101-ADAPNPT45-0M</v>
          </cell>
          <cell r="B148" t="str">
            <v>ADAP NPTFMACFIJxNPSMHEMGIR 45(1/2)(1/2) (REPUESTO)</v>
          </cell>
        </row>
        <row r="149">
          <cell r="A149" t="str">
            <v>A101-ADAPNPT90-0M</v>
          </cell>
          <cell r="B149" t="str">
            <v>ADAP NPTFMACFIJxNPSMHEMGIR 90(1/2)(1/2) (REPUESTO)</v>
          </cell>
        </row>
        <row r="150">
          <cell r="A150" t="str">
            <v>A101-CONMACH-0M</v>
          </cell>
          <cell r="B150" t="str">
            <v>CONEXIÓN MACHO GIRATORIO NPTF 1/2X1/2 -14 CONO 60(REPUESTO)</v>
          </cell>
        </row>
        <row r="151">
          <cell r="A151" t="str">
            <v>A101-FK08-08MP</v>
          </cell>
          <cell r="B151" t="str">
            <v xml:space="preserve">Acople fijo macho NPT 60° 1/2 </v>
          </cell>
        </row>
        <row r="152">
          <cell r="A152" t="str">
            <v>A101-FK08-08SP</v>
          </cell>
          <cell r="B152" t="str">
            <v xml:space="preserve">A101-acople macho girartorio NPT cono 60° 1/2 </v>
          </cell>
        </row>
        <row r="153">
          <cell r="A153" t="str">
            <v>A101-FK12-12MP</v>
          </cell>
          <cell r="B153" t="str">
            <v xml:space="preserve">Acople fijo macho NPT 60° 3/4 </v>
          </cell>
        </row>
        <row r="154">
          <cell r="A154" t="str">
            <v>A101-FK12-12-SP</v>
          </cell>
          <cell r="B154" t="str">
            <v xml:space="preserve">A101-acople macho girartorio NPT cono 60° 3/4 </v>
          </cell>
        </row>
        <row r="155">
          <cell r="A155" t="str">
            <v>A101-FUNTEMMAN</v>
          </cell>
          <cell r="B155" t="str">
            <v>FUNDA PARA TEMPERATURAS MANGUERAS (REPUESTO)</v>
          </cell>
        </row>
        <row r="156">
          <cell r="A156" t="str">
            <v>A101-H0101-04</v>
          </cell>
          <cell r="B156" t="str">
            <v>Manguera 1/4  R1 ( 1 UNIDAD = 1 METRO )</v>
          </cell>
        </row>
        <row r="157">
          <cell r="A157" t="str">
            <v>A101-H0101-08</v>
          </cell>
          <cell r="B157" t="str">
            <v>Manguera 1/2  R1 ( 1 UNIDAD = 1 METRO )</v>
          </cell>
        </row>
        <row r="158">
          <cell r="A158" t="str">
            <v>A101-H0101-12</v>
          </cell>
          <cell r="B158" t="str">
            <v xml:space="preserve">Manguera 3/4  R1 (1 UNIDAD = 1 METRO) </v>
          </cell>
        </row>
        <row r="159">
          <cell r="A159" t="str">
            <v>A101-MONTAJE</v>
          </cell>
          <cell r="B159" t="str">
            <v>A101- MONTAJE</v>
          </cell>
        </row>
        <row r="160">
          <cell r="A160" t="str">
            <v>A101-NPTFIJ-0C</v>
          </cell>
          <cell r="B160" t="str">
            <v>NPTFMACFIJ C60RE (1/4) (1/4) (1/4-18)2M (REPUESTO)</v>
          </cell>
        </row>
        <row r="161">
          <cell r="A161" t="str">
            <v>A101-NPTGIR-0C</v>
          </cell>
          <cell r="B161" t="str">
            <v>NPTFMACGIR C60*RE (1/4) (1/4) (1/4-18)2M (REPUESTO)</v>
          </cell>
        </row>
        <row r="162">
          <cell r="A162" t="str">
            <v>A101-R11SM-0C</v>
          </cell>
          <cell r="B162" t="str">
            <v>R1 1SN 1 MA (AC) A/P(1/4) 100 MTS AA4  (REPUESTO)</v>
          </cell>
        </row>
        <row r="163">
          <cell r="A163" t="str">
            <v>ACAS-CO90-04-00</v>
          </cell>
          <cell r="B163" t="str">
            <v>CODO 90° A SOLDAR A234 4</v>
          </cell>
        </row>
        <row r="164">
          <cell r="A164" t="str">
            <v>ACAS-CO90-2M-00</v>
          </cell>
          <cell r="B164" t="str">
            <v>CODO 90° A SOLDAR A234 2 1/2</v>
          </cell>
        </row>
        <row r="165">
          <cell r="A165" t="str">
            <v>ACG-ADFLANSI-03-00</v>
          </cell>
          <cell r="B165" t="str">
            <v>ADAP. FLANGE ANSI CLASE 125/150  3 CUELLO</v>
          </cell>
        </row>
        <row r="166">
          <cell r="A166" t="str">
            <v>ACG-ADFLANSI-04-00</v>
          </cell>
          <cell r="B166" t="str">
            <v>ADAP. FLANGE ANSI CLASE 125/150  4 CUELLO</v>
          </cell>
        </row>
        <row r="167">
          <cell r="A167" t="str">
            <v>ACG-ADFLANSI-06-00</v>
          </cell>
          <cell r="B167" t="str">
            <v>ADAP. FLANGE ANSI CLASE 125/150  6 CUELLO</v>
          </cell>
        </row>
        <row r="168">
          <cell r="A168" t="str">
            <v>ACG-ADFLANSI-06-SC</v>
          </cell>
          <cell r="B168" t="str">
            <v>ADAP. FLANGE ANSI CLASE 125/150  6</v>
          </cell>
        </row>
        <row r="169">
          <cell r="A169" t="str">
            <v>ACG-ADFLANSI-08-00</v>
          </cell>
          <cell r="B169" t="str">
            <v>ADAP. FLANGE ANSI CLASE 125/150  8 CUELLO</v>
          </cell>
        </row>
        <row r="170">
          <cell r="A170" t="str">
            <v>ACG-GRDCN-02X01</v>
          </cell>
          <cell r="B170" t="str">
            <v xml:space="preserve">RED CN GV/GV UL/FM 2X 1 </v>
          </cell>
        </row>
        <row r="171">
          <cell r="A171" t="str">
            <v>ACG-GRDCN-02X1C</v>
          </cell>
          <cell r="B171" t="str">
            <v>RED CN GV/GV UL/FM 2X 1 1/4</v>
          </cell>
        </row>
        <row r="172">
          <cell r="A172" t="str">
            <v>ACG-GRDCN-02X1M</v>
          </cell>
          <cell r="B172" t="str">
            <v>RED CN GV/GV UL/FM 2X 1 1/2</v>
          </cell>
        </row>
        <row r="173">
          <cell r="A173" t="str">
            <v>ACG-GRDCN-03X01</v>
          </cell>
          <cell r="B173" t="str">
            <v xml:space="preserve">ERED CN GV/GV UL/FM 3X 1 </v>
          </cell>
        </row>
        <row r="174">
          <cell r="A174" t="str">
            <v>ACG-GRDCN-03X02</v>
          </cell>
          <cell r="B174" t="str">
            <v xml:space="preserve">RED CN GV/GV UL/FM 3X 2 </v>
          </cell>
        </row>
        <row r="175">
          <cell r="A175" t="str">
            <v>ACG-GRDCN-03X1C</v>
          </cell>
          <cell r="B175" t="str">
            <v xml:space="preserve">RED CN GV/GV UL/FM 3X 11/4 </v>
          </cell>
        </row>
        <row r="176">
          <cell r="A176" t="str">
            <v>ACG-GRDCN-03X1M</v>
          </cell>
          <cell r="B176" t="str">
            <v xml:space="preserve">RED CN GV/GV UL/FM 3X 11/2 </v>
          </cell>
        </row>
        <row r="177">
          <cell r="A177" t="str">
            <v>ACG-GRDCN-03X2M</v>
          </cell>
          <cell r="B177" t="str">
            <v xml:space="preserve">RED CN GV/GV UL/FM 3X2 1/2 </v>
          </cell>
        </row>
        <row r="178">
          <cell r="A178" t="str">
            <v>ACG-GRDCN-04X02</v>
          </cell>
          <cell r="B178" t="str">
            <v xml:space="preserve">RED CN GV/GV UL/FM 4X 2 </v>
          </cell>
        </row>
        <row r="179">
          <cell r="A179" t="str">
            <v>ACG-GRDCN-04X03</v>
          </cell>
          <cell r="B179" t="str">
            <v xml:space="preserve">RED CN GV/GV UL/FM 4X 3 </v>
          </cell>
        </row>
        <row r="180">
          <cell r="A180" t="str">
            <v>ACG-GRDCN-04X1C</v>
          </cell>
          <cell r="B180" t="str">
            <v xml:space="preserve">RED CN GV/GV UL/FM 4X 11/4 </v>
          </cell>
        </row>
        <row r="181">
          <cell r="A181" t="str">
            <v>ACG-GRDCN-04X2M</v>
          </cell>
          <cell r="B181" t="str">
            <v>RED CN GV/GV UL/FM 4X 2 1/2</v>
          </cell>
        </row>
        <row r="182">
          <cell r="A182" t="str">
            <v>ACG-GRDCN-06X02</v>
          </cell>
          <cell r="B182" t="str">
            <v xml:space="preserve">RED CN GV/GV UL/FM 6X 2 </v>
          </cell>
        </row>
        <row r="183">
          <cell r="A183" t="str">
            <v>ACG-GRDCN-06X03</v>
          </cell>
          <cell r="B183" t="str">
            <v xml:space="preserve">RED CN GV/GV UL/FM 6X 3 </v>
          </cell>
        </row>
        <row r="184">
          <cell r="A184" t="str">
            <v>ACG-GRDCN-06X04</v>
          </cell>
          <cell r="B184" t="str">
            <v xml:space="preserve">RED CN GV/GV UL/FM 6X 4 </v>
          </cell>
        </row>
        <row r="185">
          <cell r="A185" t="str">
            <v>ACG-GRDCN-06X1M</v>
          </cell>
          <cell r="B185" t="str">
            <v xml:space="preserve">RED CN GV/GV UL/FM 6X 11/2 </v>
          </cell>
        </row>
        <row r="186">
          <cell r="A186" t="str">
            <v>ACG-GRDCN-06X2M</v>
          </cell>
          <cell r="B186" t="str">
            <v xml:space="preserve">RED CN GV/GV UL/FM 6X 21/2 </v>
          </cell>
        </row>
        <row r="187">
          <cell r="A187" t="str">
            <v>ACG-GRDCN-08X03</v>
          </cell>
          <cell r="B187" t="str">
            <v>RED CN GV/GV UL/FM 8X 3</v>
          </cell>
        </row>
        <row r="188">
          <cell r="A188" t="str">
            <v>ACG-GRDCN-08X04</v>
          </cell>
          <cell r="B188" t="str">
            <v xml:space="preserve">RED CN GV/GV UL/FM 8X 4 </v>
          </cell>
        </row>
        <row r="189">
          <cell r="A189" t="str">
            <v>ACG-GRDCN-08X06</v>
          </cell>
          <cell r="B189" t="str">
            <v xml:space="preserve">RED CN GV/GV UL/FM 8X 6 </v>
          </cell>
        </row>
        <row r="190">
          <cell r="A190" t="str">
            <v>ACG-GRDCN-08X2M</v>
          </cell>
          <cell r="B190" t="str">
            <v xml:space="preserve">RED CN GV/GV UL/FM 8X 21/2 </v>
          </cell>
        </row>
        <row r="191">
          <cell r="A191" t="str">
            <v>ACG-GRDCN-10X06</v>
          </cell>
          <cell r="B191" t="str">
            <v xml:space="preserve">RED CN GV/GV UL/FM 10X 6 </v>
          </cell>
        </row>
        <row r="192">
          <cell r="A192" t="str">
            <v>ACG-GRDCN-10X08</v>
          </cell>
          <cell r="B192" t="str">
            <v xml:space="preserve">RED CN GV/GV UL/FM 10X 8 </v>
          </cell>
        </row>
        <row r="193">
          <cell r="A193" t="str">
            <v>ACG-GRDCN-1CX1M</v>
          </cell>
          <cell r="B193" t="str">
            <v>RED CN GV/GV UL/FM 11/4 X11/2</v>
          </cell>
        </row>
        <row r="194">
          <cell r="A194" t="str">
            <v>ACG-GRDCN-1MX1C</v>
          </cell>
          <cell r="B194" t="str">
            <v>RED CN GV/GV UL/FM 11/2 X11/4</v>
          </cell>
        </row>
        <row r="195">
          <cell r="A195" t="str">
            <v>ACG-GRDCN-2MX01</v>
          </cell>
          <cell r="B195" t="str">
            <v xml:space="preserve">RED CN GV/GV UL/FM 2 1/2X1 </v>
          </cell>
        </row>
        <row r="196">
          <cell r="A196" t="str">
            <v>ACG-GRDCN-2MX02</v>
          </cell>
          <cell r="B196" t="str">
            <v xml:space="preserve">RED CN GV/GV UL/FM 2 1/2X2 </v>
          </cell>
        </row>
        <row r="197">
          <cell r="A197" t="str">
            <v>ACG-GRDCN-2MX1C</v>
          </cell>
          <cell r="B197" t="str">
            <v>RED CN GV/GV UL/FM 21/2 X11/4</v>
          </cell>
        </row>
        <row r="198">
          <cell r="A198" t="str">
            <v>ACG-GRDCN-2MX1M</v>
          </cell>
          <cell r="B198" t="str">
            <v>RED CN GV/GV UL/FM 21/2 X11/2</v>
          </cell>
        </row>
        <row r="199">
          <cell r="A199" t="str">
            <v>ACGRRDCNHE02X1</v>
          </cell>
          <cell r="B199" t="str">
            <v>RED CON GV/ROSHEUL/FM 2 X1</v>
          </cell>
        </row>
        <row r="200">
          <cell r="A200" t="str">
            <v>ACGRRDCNHE02X1C</v>
          </cell>
          <cell r="B200" t="str">
            <v xml:space="preserve">RED CON GV/ROSHEUL/FM 2 X1.1/4 </v>
          </cell>
        </row>
        <row r="201">
          <cell r="A201" t="str">
            <v>ACGRRDCNHE03X02</v>
          </cell>
          <cell r="B201" t="str">
            <v xml:space="preserve">RED CON GV/ROS HE UL/FM 3 X 2 </v>
          </cell>
        </row>
        <row r="202">
          <cell r="A202" t="str">
            <v>ACG-RTMEC-01X0T</v>
          </cell>
          <cell r="B202" t="str">
            <v xml:space="preserve">TEE MECANICA GROOV. UL/FM 1X 3/4 </v>
          </cell>
        </row>
        <row r="203">
          <cell r="A203" t="str">
            <v>ACG-RTMEC-02X01</v>
          </cell>
          <cell r="B203" t="str">
            <v xml:space="preserve">TEE MECANICA GROOV. UL/FM 2X 1 </v>
          </cell>
        </row>
        <row r="204">
          <cell r="A204" t="str">
            <v>ACG-RTMEC-02X0T</v>
          </cell>
          <cell r="B204" t="str">
            <v xml:space="preserve">TEE MECANICA GROOV. UL/FM 2X 3/4 </v>
          </cell>
        </row>
        <row r="205">
          <cell r="A205" t="str">
            <v>ACG-RTMEC-02X1C</v>
          </cell>
          <cell r="B205" t="str">
            <v xml:space="preserve">TEE MECANICA GROOV. UL/FM 2X 11/4 </v>
          </cell>
        </row>
        <row r="206">
          <cell r="A206" t="str">
            <v>ACG-RTMEC-02X1M</v>
          </cell>
          <cell r="B206" t="str">
            <v xml:space="preserve">TEE MECANICA GROOV. UL/FM 2X 11/2 </v>
          </cell>
        </row>
        <row r="207">
          <cell r="A207" t="str">
            <v>ACG-RTMEC-03X01</v>
          </cell>
          <cell r="B207" t="str">
            <v xml:space="preserve">TEE MECANICA GROOV. UL/FM 3X 1 </v>
          </cell>
        </row>
        <row r="208">
          <cell r="A208" t="str">
            <v>ACG-RTMEC-03X02</v>
          </cell>
          <cell r="B208" t="str">
            <v xml:space="preserve">TEE MECANICA GROOV. UL/FM 3X 2 </v>
          </cell>
        </row>
        <row r="209">
          <cell r="A209" t="str">
            <v>ACG-RTMEC-03X02</v>
          </cell>
          <cell r="B209" t="str">
            <v xml:space="preserve">TEE MECANICA GROOV. UL/FM 3X 2 </v>
          </cell>
        </row>
        <row r="210">
          <cell r="A210" t="str">
            <v>ACG-RTMEC-03X0M</v>
          </cell>
          <cell r="B210" t="str">
            <v xml:space="preserve">TEE MECANICA GROOV. UL/FM 3X 1/2 </v>
          </cell>
        </row>
        <row r="211">
          <cell r="A211" t="str">
            <v>ACG-RTMEC-03X0T</v>
          </cell>
          <cell r="B211" t="str">
            <v xml:space="preserve">TEE MECANICA GROOV. UL/FM 3X 3/4 </v>
          </cell>
        </row>
        <row r="212">
          <cell r="A212" t="str">
            <v>ACG-RTMEC-03X1C</v>
          </cell>
          <cell r="B212" t="str">
            <v xml:space="preserve">TEE MECANICA GROOV. UL/FM 3X 11/4 </v>
          </cell>
        </row>
        <row r="213">
          <cell r="A213" t="str">
            <v>ACG-RTMEC-03X1M</v>
          </cell>
          <cell r="B213" t="str">
            <v xml:space="preserve">TEE MECANICA GROOV. UL/FM 3 X 1 1/2 </v>
          </cell>
        </row>
        <row r="214">
          <cell r="A214" t="str">
            <v>ACG-RTMEC-04X01</v>
          </cell>
          <cell r="B214" t="str">
            <v xml:space="preserve">TEE MECANICA GROOV. UL/FM 4X 1 </v>
          </cell>
        </row>
        <row r="215">
          <cell r="A215" t="str">
            <v>ACG-RTMEC-04X02</v>
          </cell>
          <cell r="B215" t="str">
            <v xml:space="preserve">TEE MECANICA GROOV. UL/FM 4X 2 </v>
          </cell>
        </row>
        <row r="216">
          <cell r="A216" t="str">
            <v>ACG-RTMEC-04X03</v>
          </cell>
          <cell r="B216" t="str">
            <v xml:space="preserve">TEE MECANICA GROOV. UL/FM 4X 3 </v>
          </cell>
        </row>
        <row r="217">
          <cell r="A217" t="str">
            <v>ACG-RTMEC-04X1C</v>
          </cell>
          <cell r="B217" t="str">
            <v xml:space="preserve">TEE MECANICA GROOV. UL/FM 4X 11/4 </v>
          </cell>
        </row>
        <row r="218">
          <cell r="A218" t="str">
            <v>ACG-RTMEC-04X1C</v>
          </cell>
          <cell r="B218" t="str">
            <v xml:space="preserve">TEE MECANICA GROOV. UL/FM 4X 11/4 </v>
          </cell>
        </row>
        <row r="219">
          <cell r="A219" t="str">
            <v>ACG-RTMEC-04X1M</v>
          </cell>
          <cell r="B219" t="str">
            <v xml:space="preserve">TEE MECANICA GROOV. UL/FM 4 X11/2 </v>
          </cell>
        </row>
        <row r="220">
          <cell r="A220" t="str">
            <v>ACG-RTMEC-04X2M</v>
          </cell>
          <cell r="B220" t="str">
            <v>TEE MECANICA GROOV. UL/FM 4X 2 1/2</v>
          </cell>
        </row>
        <row r="221">
          <cell r="A221" t="str">
            <v>ACG-RTMEC-04X2M</v>
          </cell>
          <cell r="B221" t="str">
            <v>TEE MECANICA GROOV. UL/FM 4X 2 1/2</v>
          </cell>
        </row>
        <row r="222">
          <cell r="A222" t="str">
            <v>ACG-RTMEC-06X02</v>
          </cell>
          <cell r="B222" t="str">
            <v xml:space="preserve">TEE MECANICA GROOV. UL/FM 6X 2 </v>
          </cell>
        </row>
        <row r="223">
          <cell r="A223" t="str">
            <v>ACG-RTMEC-06X03</v>
          </cell>
          <cell r="B223" t="str">
            <v xml:space="preserve">TEE MECANICA GROOV. UL/FM 6X 3 </v>
          </cell>
        </row>
        <row r="224">
          <cell r="A224" t="str">
            <v>ACG-RTMEC-06X04</v>
          </cell>
          <cell r="B224" t="str">
            <v xml:space="preserve">TEE MECANICA GROOV. UL/FM 6X 4 </v>
          </cell>
        </row>
        <row r="225">
          <cell r="A225" t="str">
            <v>ACG-RTMEC-06X1C</v>
          </cell>
          <cell r="B225" t="str">
            <v xml:space="preserve">TEE MECANICA GROOV. UL/FM 6 X11/4 </v>
          </cell>
        </row>
        <row r="226">
          <cell r="A226" t="str">
            <v>ACG-RTMEC-06X1M</v>
          </cell>
          <cell r="B226" t="str">
            <v xml:space="preserve">TEE MECANICA GROOV. UL/FM 6 X11/2 </v>
          </cell>
        </row>
        <row r="227">
          <cell r="A227" t="str">
            <v>ACG-RTMEC-06X2M</v>
          </cell>
          <cell r="B227" t="str">
            <v xml:space="preserve">TEE MECANICA GROOV. UL/FM 6 X21/2 </v>
          </cell>
        </row>
        <row r="228">
          <cell r="A228" t="str">
            <v>ACG-RTMEC-08X02</v>
          </cell>
          <cell r="B228" t="str">
            <v xml:space="preserve">TEE MECANICA GROOV. UL/FM 8X 2 </v>
          </cell>
        </row>
        <row r="229">
          <cell r="A229" t="str">
            <v>ACG-RTMEC-08X03</v>
          </cell>
          <cell r="B229" t="str">
            <v xml:space="preserve">TEE MECANICA GROOV. UL/FM 8X 3 </v>
          </cell>
        </row>
        <row r="230">
          <cell r="A230" t="str">
            <v>ACG-RTMEC-08X03</v>
          </cell>
          <cell r="B230" t="str">
            <v xml:space="preserve">TEE MECANICA GROOV. UL/FM 8X 3 </v>
          </cell>
        </row>
        <row r="231">
          <cell r="A231" t="str">
            <v>ACG-RTMEC-08X04</v>
          </cell>
          <cell r="B231" t="str">
            <v xml:space="preserve">TEE MECANICA GROOV. UL/FM 8X 4 </v>
          </cell>
        </row>
        <row r="232">
          <cell r="A232" t="str">
            <v>ACG-RTMEC-08X06</v>
          </cell>
          <cell r="B232" t="str">
            <v xml:space="preserve">TEE MECANICA GROOV. UL/FM 8X 6 </v>
          </cell>
        </row>
        <row r="233">
          <cell r="A233" t="str">
            <v>ACG-RTMEC-08X1M</v>
          </cell>
          <cell r="B233" t="str">
            <v xml:space="preserve">TEE MECANICA GROOV. UL/FM 8X11/2 </v>
          </cell>
        </row>
        <row r="234">
          <cell r="A234" t="str">
            <v>ACG-RTMEC-08X2M</v>
          </cell>
          <cell r="B234" t="str">
            <v xml:space="preserve">TEE MECANICA GROOV. UL/FM 8X 21/2 </v>
          </cell>
        </row>
        <row r="235">
          <cell r="A235" t="str">
            <v>ACG-RTMEC-1CX01</v>
          </cell>
          <cell r="B235" t="str">
            <v xml:space="preserve">TEE MECANICA GROOV. UL/FM 11/4 X1 </v>
          </cell>
        </row>
        <row r="236">
          <cell r="A236" t="str">
            <v>ACG-RTMEC-1CX0T</v>
          </cell>
          <cell r="B236" t="str">
            <v xml:space="preserve">TEE MECANICA GROOV. UL/FM 11/4 X3/4 </v>
          </cell>
        </row>
        <row r="237">
          <cell r="A237" t="str">
            <v>ACG-RTMEC-1MX01</v>
          </cell>
          <cell r="B237" t="str">
            <v xml:space="preserve">TEE MECANICA GROOV. UL/FM 11/2 X1 </v>
          </cell>
        </row>
        <row r="238">
          <cell r="A238" t="str">
            <v>ACG-RTMEC-1MX0T</v>
          </cell>
          <cell r="B238" t="str">
            <v xml:space="preserve">TEE MECANICA GROOV. UL/FM 11/2 X3/4 </v>
          </cell>
        </row>
        <row r="239">
          <cell r="A239" t="str">
            <v>ACG-RTMEC-1MX1C</v>
          </cell>
          <cell r="B239" t="str">
            <v>TEE MECANICA GROOV. UL/FM 11/2 X11/4</v>
          </cell>
        </row>
        <row r="240">
          <cell r="A240" t="str">
            <v>ACG-RTMEC-21MX2</v>
          </cell>
          <cell r="B240" t="str">
            <v xml:space="preserve">TEE MECANICA GROOV. UL/FM 21/2X 2 </v>
          </cell>
        </row>
        <row r="241">
          <cell r="A241" t="str">
            <v>ACG-RTMEC-2MX01</v>
          </cell>
          <cell r="B241" t="str">
            <v xml:space="preserve">TEE MECANICA GROOV. UL/FM 21/2X 1 </v>
          </cell>
        </row>
        <row r="242">
          <cell r="A242" t="str">
            <v>ACG-RTMEC-2MX1C</v>
          </cell>
          <cell r="B242" t="str">
            <v>TEE MECANICA GROOV. UL/FM 21/2 X11/4</v>
          </cell>
        </row>
        <row r="243">
          <cell r="A243" t="str">
            <v>ACG-RTMEC-2MX1M</v>
          </cell>
          <cell r="B243" t="str">
            <v>TEE MECANICA GROOV. UL/FM 21/2 X11/2</v>
          </cell>
        </row>
        <row r="244">
          <cell r="A244" t="str">
            <v>ACG-VADFL-01-00</v>
          </cell>
          <cell r="B244" t="str">
            <v>GROOVE TO FL.ADAP UL/FM 1 125/150</v>
          </cell>
        </row>
        <row r="245">
          <cell r="A245" t="str">
            <v>ACG-VADFL-02-00</v>
          </cell>
          <cell r="B245" t="str">
            <v>GROOVE TO FL.ADAP UL/FM 2  125/150</v>
          </cell>
        </row>
        <row r="246">
          <cell r="A246" t="str">
            <v>ACG-VADFL-03-00</v>
          </cell>
          <cell r="B246" t="str">
            <v>GROOVE TO FL.ADAP UL/FM 3  125/150</v>
          </cell>
        </row>
        <row r="247">
          <cell r="A247" t="str">
            <v>ACG-VADFL-04-00</v>
          </cell>
          <cell r="B247" t="str">
            <v>GROOVE TO FL.ADAP UL/FM 4 125/150</v>
          </cell>
        </row>
        <row r="248">
          <cell r="A248" t="str">
            <v>ACG-VADFL-06-00</v>
          </cell>
          <cell r="B248" t="str">
            <v>GROOVE TO FL.ADAP UL/FM 6  125/150</v>
          </cell>
        </row>
        <row r="249">
          <cell r="A249" t="str">
            <v>ACG-VADFL-08-00</v>
          </cell>
          <cell r="B249" t="str">
            <v>GROOVE TO FL.ADAP UL/FM 8  125/150</v>
          </cell>
        </row>
        <row r="250">
          <cell r="A250" t="str">
            <v>ACG-VADFL-0C-00</v>
          </cell>
          <cell r="B250" t="str">
            <v>GROOVE TO FL.ADAP UL/FM 1/4  125/150</v>
          </cell>
        </row>
        <row r="251">
          <cell r="A251" t="str">
            <v>ACG-VADFL-0M-00</v>
          </cell>
          <cell r="B251" t="str">
            <v>GROOVE TO FL.ADAP UL/FM 1/2  125/150</v>
          </cell>
        </row>
        <row r="252">
          <cell r="A252" t="str">
            <v>ACG-VADFL-0T-00</v>
          </cell>
          <cell r="B252" t="str">
            <v>GROOVE TO FL.ADAP UL/FM 3/4  125/150</v>
          </cell>
        </row>
        <row r="253">
          <cell r="A253" t="str">
            <v>ACG-VADFL-10-00</v>
          </cell>
          <cell r="B253" t="str">
            <v>GROOVE TO FL.ADAP UL/FM 10  125/150</v>
          </cell>
        </row>
        <row r="254">
          <cell r="A254" t="str">
            <v>ACG-VADFL-12-00</v>
          </cell>
          <cell r="B254" t="str">
            <v>GROOVE TO FL.ADAP UL/FM 12  125/150</v>
          </cell>
        </row>
        <row r="255">
          <cell r="A255" t="str">
            <v>ACG-VADFL-1C-00</v>
          </cell>
          <cell r="B255" t="str">
            <v>GROOVE TO FL.ADAP UL/FM 1 1/4  125/150</v>
          </cell>
        </row>
        <row r="256">
          <cell r="A256" t="str">
            <v>ACG-VADFL-1M-00</v>
          </cell>
          <cell r="B256" t="str">
            <v>GROOVE TO FL.ADAP UL/FM 1 1/2  125/150</v>
          </cell>
        </row>
        <row r="257">
          <cell r="A257" t="str">
            <v>ACG-VADFL-2M-00</v>
          </cell>
          <cell r="B257" t="str">
            <v>GROOVE TO FL.ADAP UL/FM 2 1/2  125/150</v>
          </cell>
        </row>
        <row r="258">
          <cell r="A258" t="str">
            <v>ACG-VADFL-3M-00</v>
          </cell>
          <cell r="B258" t="str">
            <v>GROOVE TO FL.ADAP UL/FM 3 1/2  125/150</v>
          </cell>
        </row>
        <row r="259">
          <cell r="A259" t="str">
            <v>ACG-VCO45-01-00</v>
          </cell>
          <cell r="B259" t="str">
            <v xml:space="preserve">CODO 45º GROOV. UL/FM 1 </v>
          </cell>
        </row>
        <row r="260">
          <cell r="A260" t="str">
            <v>ACG-VCO45-01-00</v>
          </cell>
          <cell r="B260" t="str">
            <v xml:space="preserve">CODO 45º GROOV. UL/FM 1 </v>
          </cell>
        </row>
        <row r="261">
          <cell r="A261" t="str">
            <v>ACG-VCO45-02-00</v>
          </cell>
          <cell r="B261" t="str">
            <v xml:space="preserve">CODO 45º GROOV. UL/FM 2 </v>
          </cell>
        </row>
        <row r="262">
          <cell r="A262" t="str">
            <v>ACG-VCO45-03-00</v>
          </cell>
          <cell r="B262" t="str">
            <v xml:space="preserve">CODO 45º GROOV. UL/FM 3 </v>
          </cell>
        </row>
        <row r="263">
          <cell r="A263" t="str">
            <v>ACG-VCO45-04-00</v>
          </cell>
          <cell r="B263" t="str">
            <v xml:space="preserve">CODO 45º GROOV. UL/FM 4 </v>
          </cell>
        </row>
        <row r="264">
          <cell r="A264" t="str">
            <v>ACG-VCO45-06-00</v>
          </cell>
          <cell r="B264" t="str">
            <v xml:space="preserve">CODO 45º GROOV. UL/FM 6 </v>
          </cell>
        </row>
        <row r="265">
          <cell r="A265" t="str">
            <v>ACG-VCO45-08-00</v>
          </cell>
          <cell r="B265" t="str">
            <v xml:space="preserve">CODO 45º GROOV. UL/FM 8 </v>
          </cell>
        </row>
        <row r="266">
          <cell r="A266" t="str">
            <v>ACG-VCO45-0C-00</v>
          </cell>
          <cell r="B266" t="str">
            <v xml:space="preserve">CODO 45º GROOV. UL/FM 1/4 </v>
          </cell>
        </row>
        <row r="267">
          <cell r="A267" t="str">
            <v>ACG-VCO45-0M-00</v>
          </cell>
          <cell r="B267" t="str">
            <v xml:space="preserve">CODO 45º GROOV. UL/FM 1/2 </v>
          </cell>
        </row>
        <row r="268">
          <cell r="A268" t="str">
            <v>ACG-VCO45-0T-00</v>
          </cell>
          <cell r="B268" t="str">
            <v xml:space="preserve">CODO 45º GROOV. UL/FM 3/4 </v>
          </cell>
        </row>
        <row r="269">
          <cell r="A269" t="str">
            <v>ACG-VCO45-10-00</v>
          </cell>
          <cell r="B269" t="str">
            <v xml:space="preserve">CODO 45º GROOV. UL/FM 10 </v>
          </cell>
        </row>
        <row r="270">
          <cell r="A270" t="str">
            <v>ACG-VCO45-12-00</v>
          </cell>
          <cell r="B270" t="str">
            <v xml:space="preserve">CODO 45º GROOV. UL/FM 12 </v>
          </cell>
        </row>
        <row r="271">
          <cell r="A271" t="str">
            <v>ACG-VCO45-1C-00</v>
          </cell>
          <cell r="B271" t="str">
            <v xml:space="preserve">CODO 45º GROOV. UL/FM 1 1/4 </v>
          </cell>
        </row>
        <row r="272">
          <cell r="A272" t="str">
            <v>ACG-VCO45-1M-00</v>
          </cell>
          <cell r="B272" t="str">
            <v xml:space="preserve">CODO 45º GROOV. UL/FM 1 1/2 </v>
          </cell>
        </row>
        <row r="273">
          <cell r="A273" t="str">
            <v>ACG-VCO45-1M-00</v>
          </cell>
          <cell r="B273" t="str">
            <v xml:space="preserve">CODO 45º GROOV. UL/FM 1 1/2 </v>
          </cell>
        </row>
        <row r="274">
          <cell r="A274" t="str">
            <v>ACG-VCO45-2M-00</v>
          </cell>
          <cell r="B274" t="str">
            <v xml:space="preserve">CODO 45º GROOV. UL/FM 2 1/2 </v>
          </cell>
        </row>
        <row r="275">
          <cell r="A275" t="str">
            <v>ACG-VCO45-3M-00</v>
          </cell>
          <cell r="B275" t="str">
            <v xml:space="preserve">CODO 45º GROOV. UL/FM 3 1/2 </v>
          </cell>
        </row>
        <row r="276">
          <cell r="A276" t="str">
            <v>ACG-VCO90-01-00</v>
          </cell>
          <cell r="B276" t="str">
            <v xml:space="preserve">CODO 90º GROOV. UL/FM 1 </v>
          </cell>
        </row>
        <row r="277">
          <cell r="A277" t="str">
            <v>ACG-VCO90-01-00</v>
          </cell>
          <cell r="B277" t="str">
            <v xml:space="preserve">CODO 90º GROOV. UL/FM 1 </v>
          </cell>
        </row>
        <row r="278">
          <cell r="A278" t="str">
            <v>ACG-VCO90-02-00</v>
          </cell>
          <cell r="B278" t="str">
            <v xml:space="preserve">CODO 90º GROOV. UL/FM 2 </v>
          </cell>
        </row>
        <row r="279">
          <cell r="A279" t="str">
            <v>ACG-VCO90-03-00</v>
          </cell>
          <cell r="B279" t="str">
            <v xml:space="preserve">CODO 90º GROOV. UL/FM 3 </v>
          </cell>
        </row>
        <row r="280">
          <cell r="A280" t="str">
            <v>ACG-VCO90-04-00</v>
          </cell>
          <cell r="B280" t="str">
            <v xml:space="preserve">CODO 90º GROOV. UL/FM 4 </v>
          </cell>
        </row>
        <row r="281">
          <cell r="A281" t="str">
            <v>ACG-VCO90-06-00</v>
          </cell>
          <cell r="B281" t="str">
            <v xml:space="preserve">CODO 90º GROOV. UL/FM 6 </v>
          </cell>
        </row>
        <row r="282">
          <cell r="A282" t="str">
            <v>ACG-VCO90-08-00</v>
          </cell>
          <cell r="B282" t="str">
            <v xml:space="preserve">CODO 90º GROOV. UL/FM 8 </v>
          </cell>
        </row>
        <row r="283">
          <cell r="A283" t="str">
            <v>ACG-VCO90-0C-00</v>
          </cell>
          <cell r="B283" t="str">
            <v xml:space="preserve">CODO 90º GROOV. UL/FM 1/4 </v>
          </cell>
        </row>
        <row r="284">
          <cell r="A284" t="str">
            <v>ACG-VCO90-0M-00</v>
          </cell>
          <cell r="B284" t="str">
            <v xml:space="preserve">CODO 90º GROOV. UL/FM 1/2 </v>
          </cell>
        </row>
        <row r="285">
          <cell r="A285" t="str">
            <v>ACG-VCO90-0T-00</v>
          </cell>
          <cell r="B285" t="str">
            <v xml:space="preserve">CODO 90º GROOV. UL/FM 3/4 </v>
          </cell>
        </row>
        <row r="286">
          <cell r="A286" t="str">
            <v>ACG-VCO90-10-00</v>
          </cell>
          <cell r="B286" t="str">
            <v xml:space="preserve">CODO 90º GROOV. UL/FM 10 </v>
          </cell>
        </row>
        <row r="287">
          <cell r="A287" t="str">
            <v>ACG-VCO90-12-00</v>
          </cell>
          <cell r="B287" t="str">
            <v xml:space="preserve">CODO 90º GROOV. UL/FM 12 </v>
          </cell>
        </row>
        <row r="288">
          <cell r="A288" t="str">
            <v>ACG-VCO90-1C-00</v>
          </cell>
          <cell r="B288" t="str">
            <v xml:space="preserve">CODO 90º GROOV. UL/FM 1 1/4 </v>
          </cell>
        </row>
        <row r="289">
          <cell r="A289" t="str">
            <v>ACG-VCO90-1C-00</v>
          </cell>
          <cell r="B289" t="str">
            <v xml:space="preserve">CODO 90º GROOV. UL/FM 1 1/4 </v>
          </cell>
        </row>
        <row r="290">
          <cell r="A290" t="str">
            <v>ACG-VCO90-1M-00</v>
          </cell>
          <cell r="B290" t="str">
            <v xml:space="preserve">CODO 90º GROOV. UL/FM 1 1/2 </v>
          </cell>
        </row>
        <row r="291">
          <cell r="A291" t="str">
            <v>ACG-VCO90-1M-00</v>
          </cell>
          <cell r="B291" t="str">
            <v xml:space="preserve">CODO 90º GROOV. UL/FM 1 1/2 </v>
          </cell>
        </row>
        <row r="292">
          <cell r="A292" t="str">
            <v>ACG-VCO90-2M-00</v>
          </cell>
          <cell r="B292" t="str">
            <v xml:space="preserve">CODO 90º GROOV. UL/FM 2 1/2 </v>
          </cell>
        </row>
        <row r="293">
          <cell r="A293" t="str">
            <v>ACG-VCO90-3M-00</v>
          </cell>
          <cell r="B293" t="str">
            <v xml:space="preserve">CODO 90º GROOV. UL/FM 3 1/2 </v>
          </cell>
        </row>
        <row r="294">
          <cell r="A294" t="str">
            <v>ACG-VCPFL-01-00</v>
          </cell>
          <cell r="B294" t="str">
            <v xml:space="preserve">CUPLA F.GROOV. UL/FM 1 </v>
          </cell>
        </row>
        <row r="295">
          <cell r="A295" t="str">
            <v>ACG-VCPFL-02-00</v>
          </cell>
          <cell r="B295" t="str">
            <v xml:space="preserve">CUPLA F.GROOV. UL/FM 2 </v>
          </cell>
        </row>
        <row r="296">
          <cell r="A296" t="str">
            <v>ACG-VCPFL-03-00</v>
          </cell>
          <cell r="B296" t="str">
            <v xml:space="preserve">CUPLA F.GROOV. UL/FM 3 </v>
          </cell>
        </row>
        <row r="297">
          <cell r="A297" t="str">
            <v>ACG-VCPFL-04-00</v>
          </cell>
          <cell r="B297" t="str">
            <v xml:space="preserve">CUPLA F.GROOV. UL/FM 4 </v>
          </cell>
        </row>
        <row r="298">
          <cell r="A298" t="str">
            <v>ACG-VCPFL-05-00</v>
          </cell>
          <cell r="B298" t="str">
            <v xml:space="preserve">CUPLA F.GROOV. UL/FM 5 </v>
          </cell>
        </row>
        <row r="299">
          <cell r="A299" t="str">
            <v>ACG-VCPFL-06-00</v>
          </cell>
          <cell r="B299" t="str">
            <v xml:space="preserve">CUPLA F.GROOV. UL/FM 6 </v>
          </cell>
        </row>
        <row r="300">
          <cell r="A300" t="str">
            <v>ACG-VCPFL-08-00</v>
          </cell>
          <cell r="B300" t="str">
            <v xml:space="preserve">CUPLA F.GROOV. UL/FM 8 </v>
          </cell>
        </row>
        <row r="301">
          <cell r="A301" t="str">
            <v>ACG-VCPFL-08-00</v>
          </cell>
          <cell r="B301" t="str">
            <v xml:space="preserve">CUPLA F.GROOV. UL/FM 8 </v>
          </cell>
        </row>
        <row r="302">
          <cell r="A302" t="str">
            <v>ACG-VCPFL-0C-00</v>
          </cell>
          <cell r="B302" t="str">
            <v xml:space="preserve">CUPLA F.GROOV. UL/FM 1/4 </v>
          </cell>
        </row>
        <row r="303">
          <cell r="A303" t="str">
            <v>ACG-VCPFL-0M-00</v>
          </cell>
          <cell r="B303" t="str">
            <v xml:space="preserve">CUPLA F.GROOV. UL/FM 1/2 </v>
          </cell>
        </row>
        <row r="304">
          <cell r="A304" t="str">
            <v>ACG-VCPFL-0T-00</v>
          </cell>
          <cell r="B304" t="str">
            <v xml:space="preserve">CUPLA F.GROOV. UL/FM 3/4 </v>
          </cell>
        </row>
        <row r="305">
          <cell r="A305" t="str">
            <v>ACG-VCPFL-10-00</v>
          </cell>
          <cell r="B305" t="str">
            <v xml:space="preserve">CUPLA F.GROOV. UL/FM 10 </v>
          </cell>
        </row>
        <row r="306">
          <cell r="A306" t="str">
            <v>ACG-VCPFL-12-00</v>
          </cell>
          <cell r="B306" t="str">
            <v xml:space="preserve">CUPLA F.GROOV. UL/FM 12 </v>
          </cell>
        </row>
        <row r="307">
          <cell r="A307" t="str">
            <v>ACG-VCPFL-14-00</v>
          </cell>
          <cell r="B307" t="str">
            <v>CUPLA F.GROOV. UL/FM 14</v>
          </cell>
        </row>
        <row r="308">
          <cell r="A308" t="str">
            <v>ACG-VCPFL-1C-00</v>
          </cell>
          <cell r="B308" t="str">
            <v xml:space="preserve">CUPLA F.GROOV. UL/FM 1 1/4 </v>
          </cell>
        </row>
        <row r="309">
          <cell r="A309" t="str">
            <v>ACG-VCPFL-1M-00</v>
          </cell>
          <cell r="B309" t="str">
            <v xml:space="preserve">CUPLA F.GROOV. UL/FM 1 1/2 </v>
          </cell>
        </row>
        <row r="310">
          <cell r="A310" t="str">
            <v>ACG-VCPFL-2M-00</v>
          </cell>
          <cell r="B310" t="str">
            <v xml:space="preserve">CUPLA F.GROOV. UL/FM 2 1/2 </v>
          </cell>
        </row>
        <row r="311">
          <cell r="A311" t="str">
            <v>ACG-VCPFL-3M-00</v>
          </cell>
          <cell r="B311" t="str">
            <v xml:space="preserve">CUPLA F.GROOV. UL/FM 3 1/2 </v>
          </cell>
        </row>
        <row r="312">
          <cell r="A312" t="str">
            <v>ACG-VCPRD-02X01</v>
          </cell>
          <cell r="B312" t="str">
            <v xml:space="preserve">CUPLA RED. GROOV UL/FM 2X 1 </v>
          </cell>
        </row>
        <row r="313">
          <cell r="A313" t="str">
            <v>ACG-VCPRD-02X1C</v>
          </cell>
          <cell r="B313" t="str">
            <v>CUPLA RED. GROOV UL/FM 2X 1 1/4</v>
          </cell>
        </row>
        <row r="314">
          <cell r="A314" t="str">
            <v>ACG-VCPRD02X-1M</v>
          </cell>
          <cell r="B314" t="str">
            <v>CUPLA RED. GROOV UL/FM 2X 1 1/2</v>
          </cell>
        </row>
        <row r="315">
          <cell r="A315" t="str">
            <v>ACG-VCPRD-03X01</v>
          </cell>
          <cell r="B315" t="str">
            <v xml:space="preserve">CUPLA RED. GROOV UL/FM 3X 1 </v>
          </cell>
        </row>
        <row r="316">
          <cell r="A316" t="str">
            <v>ACG-VCPRD-03X02</v>
          </cell>
          <cell r="B316" t="str">
            <v xml:space="preserve">CUPLA RED. GROOV UL/FM 3X 2 </v>
          </cell>
        </row>
        <row r="317">
          <cell r="A317" t="str">
            <v>ACG-VCPRD-03X1C</v>
          </cell>
          <cell r="B317" t="str">
            <v xml:space="preserve">CUPLA RED. GROOV UL/FM 3X 11/4 </v>
          </cell>
        </row>
        <row r="318">
          <cell r="A318" t="str">
            <v>ACG-VCPRD-03X1M</v>
          </cell>
          <cell r="B318" t="str">
            <v xml:space="preserve">CUPLA RED. GROOV UL/FM 3X 11/2 </v>
          </cell>
        </row>
        <row r="319">
          <cell r="A319" t="str">
            <v>ACG-VCPRD-03X2M</v>
          </cell>
          <cell r="B319" t="str">
            <v xml:space="preserve">CUPLA RED. GROOV UL/FM 3X2 1/2 </v>
          </cell>
        </row>
        <row r="320">
          <cell r="A320" t="str">
            <v>ACG-VCPRD-04X02</v>
          </cell>
          <cell r="B320" t="str">
            <v xml:space="preserve">CUPLA RED. GROOV UL/FM 4X 2 </v>
          </cell>
        </row>
        <row r="321">
          <cell r="A321" t="str">
            <v>ACG-VCPRD-04X03</v>
          </cell>
          <cell r="B321" t="str">
            <v xml:space="preserve">CUPLA RED. GROOV UL/FM 4X 3 </v>
          </cell>
        </row>
        <row r="322">
          <cell r="A322" t="str">
            <v>ACG-VCPRD-04X1C</v>
          </cell>
          <cell r="B322" t="str">
            <v xml:space="preserve">CUPLA RED. GROOV UL/FM 4X 11/4 </v>
          </cell>
        </row>
        <row r="323">
          <cell r="A323" t="str">
            <v>ACG-VCPRD-04X1M</v>
          </cell>
          <cell r="B323" t="str">
            <v>CUPLA RED. GROOV UL/FM 4X 11/2</v>
          </cell>
        </row>
        <row r="324">
          <cell r="A324" t="str">
            <v>ACG-VCPRD-04X2M</v>
          </cell>
          <cell r="B324" t="str">
            <v>CUPLA RED. GROOV UL/FM 4X 2 1/2</v>
          </cell>
        </row>
        <row r="325">
          <cell r="A325" t="str">
            <v>ACG-VCPRD-06X02</v>
          </cell>
          <cell r="B325" t="str">
            <v xml:space="preserve">CUPLA RED. GROOV UL/FM 6X 2 </v>
          </cell>
        </row>
        <row r="326">
          <cell r="A326" t="str">
            <v>ACG-VCPRD-06X03</v>
          </cell>
          <cell r="B326" t="str">
            <v xml:space="preserve">CUPLA RED. GROOV UL/FM 6X 3 </v>
          </cell>
        </row>
        <row r="327">
          <cell r="A327" t="str">
            <v>ACG-VCPRD-06X04</v>
          </cell>
          <cell r="B327" t="str">
            <v xml:space="preserve">CUPLA RED. GROOV UL/FM 6X 4 </v>
          </cell>
        </row>
        <row r="328">
          <cell r="A328" t="str">
            <v>ACG-VCPRD-06X2M</v>
          </cell>
          <cell r="B328" t="str">
            <v xml:space="preserve">CUPLA RED. GROOV UL/FM 6X 21/2 </v>
          </cell>
        </row>
        <row r="329">
          <cell r="A329" t="str">
            <v>ACG-VCPRD-08X04</v>
          </cell>
          <cell r="B329" t="str">
            <v xml:space="preserve">CUPLA RED. GROOV UL/FM 8X 4 </v>
          </cell>
        </row>
        <row r="330">
          <cell r="A330" t="str">
            <v>ACG-VCPRD-08X06</v>
          </cell>
          <cell r="B330" t="str">
            <v xml:space="preserve">CUPLA RED. GROOV UL/FM 8X 6 </v>
          </cell>
        </row>
        <row r="331">
          <cell r="A331" t="str">
            <v>ACG-VCPRD-08X2M</v>
          </cell>
          <cell r="B331" t="str">
            <v xml:space="preserve">CUPLA RED. GROOV UL/FM 8X 21/2 </v>
          </cell>
        </row>
        <row r="332">
          <cell r="A332" t="str">
            <v>ACG-VCPRD-10X06</v>
          </cell>
          <cell r="B332" t="str">
            <v xml:space="preserve">CUPLA RED. GROOV UL/FM 10X 6 </v>
          </cell>
        </row>
        <row r="333">
          <cell r="A333" t="str">
            <v>ACG-VCPRD-10X08</v>
          </cell>
          <cell r="B333" t="str">
            <v xml:space="preserve">CUPLA RED. GROOV UL/FM 10X 8 </v>
          </cell>
        </row>
        <row r="334">
          <cell r="A334" t="str">
            <v>ACG-VCPRD-1CX1M</v>
          </cell>
          <cell r="B334" t="str">
            <v>CUPLA RED. GROOV UL/FM 11/4 X11/2</v>
          </cell>
        </row>
        <row r="335">
          <cell r="A335" t="str">
            <v>ACG-VCPRD-1MX1C</v>
          </cell>
          <cell r="B335" t="str">
            <v>CUPLA RED. GROOV UL/FM 11/2 X11/4</v>
          </cell>
        </row>
        <row r="336">
          <cell r="A336" t="str">
            <v>ACG-VCPRD-2MX01</v>
          </cell>
          <cell r="B336" t="str">
            <v xml:space="preserve">CUPLA RED. GROOV UL/FM 2 1/2X1 </v>
          </cell>
        </row>
        <row r="337">
          <cell r="A337" t="str">
            <v>ACG-VCPRD-2MX02</v>
          </cell>
          <cell r="B337" t="str">
            <v xml:space="preserve">CUPLA RED. GROOV UL/FM 2 1/2X2 </v>
          </cell>
        </row>
        <row r="338">
          <cell r="A338" t="str">
            <v>ACG-VCPRD-2MX1C</v>
          </cell>
          <cell r="B338" t="str">
            <v>CUPLA RED. GROOV UL/FM 21/2 X11/4</v>
          </cell>
        </row>
        <row r="339">
          <cell r="A339" t="str">
            <v>ACG-VCPRD-2MX1M</v>
          </cell>
          <cell r="B339" t="str">
            <v>CUPLA RED. GROOV UL/FM 21/2 X11/2</v>
          </cell>
        </row>
        <row r="340">
          <cell r="A340" t="str">
            <v>ACG-VCPRG-01-00</v>
          </cell>
          <cell r="B340" t="str">
            <v xml:space="preserve">CUPLA R.GROOV. UL/FM 1 </v>
          </cell>
        </row>
        <row r="341">
          <cell r="A341" t="str">
            <v>ACG-VCPRG-02-00</v>
          </cell>
          <cell r="B341" t="str">
            <v xml:space="preserve">CUPLA R.GROOV. UL/FM 2 </v>
          </cell>
        </row>
        <row r="342">
          <cell r="A342" t="str">
            <v>ACG-VCPRG-03-00</v>
          </cell>
          <cell r="B342" t="str">
            <v xml:space="preserve">CUPLA R.GROOV. UL/FM 3 </v>
          </cell>
        </row>
        <row r="343">
          <cell r="A343" t="str">
            <v>ACG-VCPRG-03-500P</v>
          </cell>
          <cell r="B343" t="str">
            <v>CUPLA R.GROOV. UL/FM 3  500 PSI</v>
          </cell>
        </row>
        <row r="344">
          <cell r="A344" t="str">
            <v>ACG-VCPRG-04-00</v>
          </cell>
          <cell r="B344" t="str">
            <v xml:space="preserve">CUPLA R.GROOV. UL/FM 4 </v>
          </cell>
        </row>
        <row r="345">
          <cell r="A345" t="str">
            <v>ACG-VCPRG-04-500P</v>
          </cell>
          <cell r="B345" t="str">
            <v>CUPLA R.GROOV. UL/FM 4  500 PSI</v>
          </cell>
        </row>
        <row r="346">
          <cell r="A346" t="str">
            <v>ACG-VCPRG-06-00</v>
          </cell>
          <cell r="B346" t="str">
            <v xml:space="preserve">CUPLA R.GROOV. UL/FM 6 </v>
          </cell>
        </row>
        <row r="347">
          <cell r="A347" t="str">
            <v>ACG-VCPRG-08-00</v>
          </cell>
          <cell r="B347" t="str">
            <v xml:space="preserve">CUPLA R.GROOV. UL/FM 8 </v>
          </cell>
        </row>
        <row r="348">
          <cell r="A348" t="str">
            <v>ACG-VCPRG-0C-00</v>
          </cell>
          <cell r="B348" t="str">
            <v xml:space="preserve">CUPLA R.GROOV. UL/FM 1/4 </v>
          </cell>
        </row>
        <row r="349">
          <cell r="A349" t="str">
            <v>ACG-VCPRG-0M-00</v>
          </cell>
          <cell r="B349" t="str">
            <v xml:space="preserve">CUPLA R.GROOV. UL/FM 1/2 </v>
          </cell>
        </row>
        <row r="350">
          <cell r="A350" t="str">
            <v>ACG-VCPRG-0T-00</v>
          </cell>
          <cell r="B350" t="str">
            <v xml:space="preserve">CUPLA R.GROOV. UL/FM 3/4 </v>
          </cell>
        </row>
        <row r="351">
          <cell r="A351" t="str">
            <v>ACG-VCPRG-10-00</v>
          </cell>
          <cell r="B351" t="str">
            <v xml:space="preserve">CUPLA R.GROOV. UL/FM 10 </v>
          </cell>
        </row>
        <row r="352">
          <cell r="A352" t="str">
            <v>ACG-VCPRG-12-00</v>
          </cell>
          <cell r="B352" t="str">
            <v xml:space="preserve">CUPLA R.GROOV. UL/FM 12 </v>
          </cell>
        </row>
        <row r="353">
          <cell r="A353" t="str">
            <v>ACG-VCPRG-1C-00</v>
          </cell>
          <cell r="B353" t="str">
            <v xml:space="preserve">CUPLA R.GROOV. UL/FM 1 1/4 </v>
          </cell>
        </row>
        <row r="354">
          <cell r="A354" t="str">
            <v>ACG-VCPRG-1M-00</v>
          </cell>
          <cell r="B354" t="str">
            <v xml:space="preserve">CUPLA R.GROOV. UL/FM 1 1/2 </v>
          </cell>
        </row>
        <row r="355">
          <cell r="A355" t="str">
            <v>ACG-VCPRG-2M-00</v>
          </cell>
          <cell r="B355" t="str">
            <v xml:space="preserve">CUPLA R.GROOV. UL/FM 2 1/2 </v>
          </cell>
        </row>
        <row r="356">
          <cell r="A356" t="str">
            <v>ACG-VCPRG-2M-500P</v>
          </cell>
          <cell r="B356" t="str">
            <v>CUPLA R.GROOV. UL/FM 21/2  500 PSI</v>
          </cell>
        </row>
        <row r="357">
          <cell r="A357" t="str">
            <v>ACG-VCPRG-3M-00</v>
          </cell>
          <cell r="B357" t="str">
            <v xml:space="preserve">CUPLA R.GROOV. UL/FM 3 1/2 </v>
          </cell>
        </row>
        <row r="358">
          <cell r="A358" t="str">
            <v>ACG-VCRUZ-01-00</v>
          </cell>
          <cell r="B358" t="str">
            <v xml:space="preserve">CRUCETA GROOV. UL/FM 1 </v>
          </cell>
        </row>
        <row r="359">
          <cell r="A359" t="str">
            <v>ACG-VCRUZ-02-00</v>
          </cell>
          <cell r="B359" t="str">
            <v xml:space="preserve">CRUCETA GROOV. UL/FM 2 </v>
          </cell>
        </row>
        <row r="360">
          <cell r="A360" t="str">
            <v>ACG-VCRUZ-03-00</v>
          </cell>
          <cell r="B360" t="str">
            <v xml:space="preserve">CRUCETA GROOV. UL/FM 3 </v>
          </cell>
        </row>
        <row r="361">
          <cell r="A361" t="str">
            <v>ACG-VCRUZ-04-00</v>
          </cell>
          <cell r="B361" t="str">
            <v xml:space="preserve">CRUCETA GROOV. UL/FM 4 </v>
          </cell>
        </row>
        <row r="362">
          <cell r="A362" t="str">
            <v>ACG-VCRUZ-06-00</v>
          </cell>
          <cell r="B362" t="str">
            <v xml:space="preserve">CRUCETA GROOV. UL/FM 6 </v>
          </cell>
        </row>
        <row r="363">
          <cell r="A363" t="str">
            <v>ACG-VCRUZ-08-00</v>
          </cell>
          <cell r="B363" t="str">
            <v xml:space="preserve">CRUCETA GROOV. UL/FM 8 </v>
          </cell>
        </row>
        <row r="364">
          <cell r="A364" t="str">
            <v>ACG-VCRUZ-0C-00</v>
          </cell>
          <cell r="B364" t="str">
            <v xml:space="preserve">CRUCETA GROOV. UL/FM 1/4 </v>
          </cell>
        </row>
        <row r="365">
          <cell r="A365" t="str">
            <v>ACG-VCRUZ-0M-00</v>
          </cell>
          <cell r="B365" t="str">
            <v xml:space="preserve">CRUCETA GROOV. UL/FM 1/2 </v>
          </cell>
        </row>
        <row r="366">
          <cell r="A366" t="str">
            <v>ACG-VCRUZ-0T-00</v>
          </cell>
          <cell r="B366" t="str">
            <v xml:space="preserve">CRUCETA GROOV. UL/FM 3/4 </v>
          </cell>
        </row>
        <row r="367">
          <cell r="A367" t="str">
            <v>ACG-VCRUZ-10-00</v>
          </cell>
          <cell r="B367" t="str">
            <v xml:space="preserve">CRUCETA GROOV. UL/FM 10 </v>
          </cell>
        </row>
        <row r="368">
          <cell r="A368" t="str">
            <v>ACG-VCRUZ-12-00</v>
          </cell>
          <cell r="B368" t="str">
            <v xml:space="preserve">CRUCETA GROOV. UL/FM 12 </v>
          </cell>
        </row>
        <row r="369">
          <cell r="A369" t="str">
            <v>ACG-VCRUZ-1C-00</v>
          </cell>
          <cell r="B369" t="str">
            <v xml:space="preserve">CRUCETA GROOV. UL/FM 1 1/4 </v>
          </cell>
        </row>
        <row r="370">
          <cell r="A370" t="str">
            <v>ACG-VCRUZ-1M-00</v>
          </cell>
          <cell r="B370" t="str">
            <v xml:space="preserve">CRUCETA GROOV. UL/FM 1 1/2 </v>
          </cell>
        </row>
        <row r="371">
          <cell r="A371" t="str">
            <v>ACG-VCRUZ-2M-00</v>
          </cell>
          <cell r="B371" t="str">
            <v xml:space="preserve">CRUCETA GROOV. UL/FM 2 1/2 </v>
          </cell>
        </row>
        <row r="372">
          <cell r="A372" t="str">
            <v>ACG-VCRUZ-3M-00</v>
          </cell>
          <cell r="B372" t="str">
            <v xml:space="preserve">CRUCETA GROOV. UL/FM 3 1/2 </v>
          </cell>
        </row>
        <row r="373">
          <cell r="A373" t="str">
            <v>ACG-VHDPE-01-00</v>
          </cell>
          <cell r="B373" t="str">
            <v xml:space="preserve">CUPLA PARA CANERIAHDPE 1 </v>
          </cell>
        </row>
        <row r="374">
          <cell r="A374" t="str">
            <v>ACG-VHDPE-02-00</v>
          </cell>
          <cell r="B374" t="str">
            <v xml:space="preserve">CUPLA PARA CANERIAHDPE 2 </v>
          </cell>
        </row>
        <row r="375">
          <cell r="A375" t="str">
            <v>ACG-VHDPE-03-00</v>
          </cell>
          <cell r="B375" t="str">
            <v xml:space="preserve">CUPLA PARA CANERIAHDPE 3 </v>
          </cell>
        </row>
        <row r="376">
          <cell r="A376" t="str">
            <v>ACG-VHDPE-04-00</v>
          </cell>
          <cell r="B376" t="str">
            <v xml:space="preserve">CUPLA PARA CANERIAHDPE 4 </v>
          </cell>
        </row>
        <row r="377">
          <cell r="A377" t="str">
            <v>ACG-VHDPE-05-00</v>
          </cell>
          <cell r="B377" t="str">
            <v xml:space="preserve">CUPLA PARA CANERIAHDPE 5 </v>
          </cell>
        </row>
        <row r="378">
          <cell r="A378" t="str">
            <v>ACG-VHDPE-06-00</v>
          </cell>
          <cell r="B378" t="str">
            <v xml:space="preserve">CUPLA PARA CANERIAHDPE 6 </v>
          </cell>
        </row>
        <row r="379">
          <cell r="A379" t="str">
            <v>ACG-VHDPE-08-00</v>
          </cell>
          <cell r="B379" t="str">
            <v xml:space="preserve">CUPLA PARA CANERIAHDPE 8 </v>
          </cell>
        </row>
        <row r="380">
          <cell r="A380" t="str">
            <v>ACG-VHDPE-0M-00</v>
          </cell>
          <cell r="B380" t="str">
            <v xml:space="preserve">CUPLA PARA CANERIAHDPE 1/2 </v>
          </cell>
        </row>
        <row r="381">
          <cell r="A381" t="str">
            <v>ACG-VHDPE-0T-00</v>
          </cell>
          <cell r="B381" t="str">
            <v xml:space="preserve">CUPLA PARA CANERIAHDPE 3/4 </v>
          </cell>
        </row>
        <row r="382">
          <cell r="A382" t="str">
            <v>ACG-VHDPE-10-00</v>
          </cell>
          <cell r="B382" t="str">
            <v xml:space="preserve">CUPLA PARA CANERIAHDPE 10 </v>
          </cell>
        </row>
        <row r="383">
          <cell r="A383" t="str">
            <v>ACG-VHDPE-12-00</v>
          </cell>
          <cell r="B383" t="str">
            <v xml:space="preserve">CUPLA PARA CANERIAHDPE 12 </v>
          </cell>
        </row>
        <row r="384">
          <cell r="A384" t="str">
            <v>ACG-VHDPE-14-00</v>
          </cell>
          <cell r="B384" t="str">
            <v xml:space="preserve">CUPLA PARA CANERIAHDPE 14 </v>
          </cell>
        </row>
        <row r="385">
          <cell r="A385" t="str">
            <v>ACG-VHDPE-16-00</v>
          </cell>
          <cell r="B385" t="str">
            <v xml:space="preserve">CUPLA PARA CANERIAHDPE 16 </v>
          </cell>
        </row>
        <row r="386">
          <cell r="A386" t="str">
            <v>ACG-VHDPE-18-00</v>
          </cell>
          <cell r="B386" t="str">
            <v xml:space="preserve">CUPLA PARA CANERIAHDPE 18 </v>
          </cell>
        </row>
        <row r="387">
          <cell r="A387" t="str">
            <v>ACG-VHDPE-1C-00</v>
          </cell>
          <cell r="B387" t="str">
            <v xml:space="preserve">CUPLA PARA CANERIAHDPE 1 1/4 </v>
          </cell>
        </row>
        <row r="388">
          <cell r="A388" t="str">
            <v>ACG-VHDPE-1M-00</v>
          </cell>
          <cell r="B388" t="str">
            <v xml:space="preserve">CUPLA PARA CANERIAHDPE 1 1/2 </v>
          </cell>
        </row>
        <row r="389">
          <cell r="A389" t="str">
            <v>ACG-VHDPE-20-00</v>
          </cell>
          <cell r="B389" t="str">
            <v xml:space="preserve">CUPLA PARA CANERIAHDPE 20 </v>
          </cell>
        </row>
        <row r="390">
          <cell r="A390" t="str">
            <v>ACG-VHDPE-24-00</v>
          </cell>
          <cell r="B390" t="str">
            <v xml:space="preserve">CUPLA PARA CANERIAHDPE 24 </v>
          </cell>
        </row>
        <row r="391">
          <cell r="A391" t="str">
            <v>ACG-VHDPE-2M-00</v>
          </cell>
          <cell r="B391" t="str">
            <v xml:space="preserve">CUPLA PARA CANERIAHDPE 2 1/2 </v>
          </cell>
        </row>
        <row r="392">
          <cell r="A392" t="str">
            <v>ACG-VHDPE-3M-00</v>
          </cell>
          <cell r="B392" t="str">
            <v xml:space="preserve">CUPLA PARA CANERIAHDPE 3 1/2 </v>
          </cell>
        </row>
        <row r="393">
          <cell r="A393" t="str">
            <v>ACG-VHDPE-TO-00</v>
          </cell>
          <cell r="B393" t="str">
            <v>CUPLA PARA CANERIAHDPE 3/8</v>
          </cell>
        </row>
        <row r="394">
          <cell r="A394" t="str">
            <v>ACG-VRDCN-02X01</v>
          </cell>
          <cell r="B394" t="str">
            <v xml:space="preserve">RED CN GR/ROS UL/FM 2X 1 </v>
          </cell>
        </row>
        <row r="395">
          <cell r="A395" t="str">
            <v>ACG-VRDCN-02X1C</v>
          </cell>
          <cell r="B395" t="str">
            <v>RED CN GR/ROS UL/FM 2X 1 1/4</v>
          </cell>
        </row>
        <row r="396">
          <cell r="A396" t="str">
            <v>ACG-VRDCN-02X1M</v>
          </cell>
          <cell r="B396" t="str">
            <v>RED CN GR/ROS UL/FM 2X 1 1/2</v>
          </cell>
        </row>
        <row r="397">
          <cell r="A397" t="str">
            <v>ACG-VRDCN-03X01</v>
          </cell>
          <cell r="B397" t="str">
            <v xml:space="preserve">RED CN GV/ROS UL/FM 3X 1 </v>
          </cell>
        </row>
        <row r="398">
          <cell r="A398" t="str">
            <v>ACG-VRDCN-03X02</v>
          </cell>
          <cell r="B398" t="str">
            <v xml:space="preserve">RED CN GR/ROS UL/FM 3X 2 </v>
          </cell>
        </row>
        <row r="399">
          <cell r="A399" t="str">
            <v>ACG-VRDCN-03X1C</v>
          </cell>
          <cell r="B399" t="str">
            <v xml:space="preserve">RED CN GV/ROS UL/FM 3X 11/4 </v>
          </cell>
        </row>
        <row r="400">
          <cell r="A400" t="str">
            <v>ACG-VRDCN-03X1M</v>
          </cell>
          <cell r="B400" t="str">
            <v xml:space="preserve">RED CN GR/ROS UL/FM 3X 11/2 </v>
          </cell>
        </row>
        <row r="401">
          <cell r="A401" t="str">
            <v>ACG-VRDCN-03X2M</v>
          </cell>
          <cell r="B401" t="str">
            <v xml:space="preserve">ERED CN GR/ROS UL/FM 3X2 1/2 </v>
          </cell>
        </row>
        <row r="402">
          <cell r="A402" t="str">
            <v>ACG-VRDCN-04X02</v>
          </cell>
          <cell r="B402" t="str">
            <v xml:space="preserve">RED CN GR/ROS UL/FM 4X 2 </v>
          </cell>
        </row>
        <row r="403">
          <cell r="A403" t="str">
            <v>ACG-VRDCN-04X03</v>
          </cell>
          <cell r="B403" t="str">
            <v xml:space="preserve">RED CN GR/ROS UL/FM 4X 3 </v>
          </cell>
        </row>
        <row r="404">
          <cell r="A404" t="str">
            <v>ACG-VRDCN-04X1C</v>
          </cell>
          <cell r="B404" t="str">
            <v xml:space="preserve">RED CN GV/ROS UL/FM 4X 11/4 </v>
          </cell>
        </row>
        <row r="405">
          <cell r="A405" t="str">
            <v>ACG-VRDCN-04X2M</v>
          </cell>
          <cell r="B405" t="str">
            <v>RED CN GR/ROS UL/FM 4X 2 1/2</v>
          </cell>
        </row>
        <row r="406">
          <cell r="A406" t="str">
            <v>ACG-VRDCN-06X02</v>
          </cell>
          <cell r="B406" t="str">
            <v xml:space="preserve">RED CN GR/ROS UL/FM 6X 2 </v>
          </cell>
        </row>
        <row r="407">
          <cell r="A407" t="str">
            <v>ACG-VRDCN-06X03</v>
          </cell>
          <cell r="B407" t="str">
            <v xml:space="preserve">RED CN GR/ROS UL/FM 6X 3 </v>
          </cell>
        </row>
        <row r="408">
          <cell r="A408" t="str">
            <v>ACG-VRDCN-06X04</v>
          </cell>
          <cell r="B408" t="str">
            <v xml:space="preserve">RED CN GR/ROS UL/FM 6X 4 </v>
          </cell>
        </row>
        <row r="409">
          <cell r="A409" t="str">
            <v>ACG-VRDCN-06X2M</v>
          </cell>
          <cell r="B409" t="str">
            <v xml:space="preserve">RED CN GV/ROS UL/FM 6X 21/2 </v>
          </cell>
        </row>
        <row r="410">
          <cell r="A410" t="str">
            <v>ACG-VRDCN-08X04</v>
          </cell>
          <cell r="B410" t="str">
            <v xml:space="preserve">RED CN GV/ROS UL/FM 8X 4 </v>
          </cell>
        </row>
        <row r="411">
          <cell r="A411" t="str">
            <v>ACG-VRDCN-08X06</v>
          </cell>
          <cell r="B411" t="str">
            <v xml:space="preserve">RED CN GR/ROS UL/FM 8X 6 </v>
          </cell>
        </row>
        <row r="412">
          <cell r="A412" t="str">
            <v>ACG-VRDCN-08X2M</v>
          </cell>
          <cell r="B412" t="str">
            <v xml:space="preserve">RED CN GV/ROS UL/FM 8X 21/2 </v>
          </cell>
        </row>
        <row r="413">
          <cell r="A413" t="str">
            <v>ACG-VRDCN-10X06</v>
          </cell>
          <cell r="B413" t="str">
            <v xml:space="preserve">RED CN GV/ROS UL/FM 10X 6 </v>
          </cell>
        </row>
        <row r="414">
          <cell r="A414" t="str">
            <v>ACG-VRDCN-10X08</v>
          </cell>
          <cell r="B414" t="str">
            <v xml:space="preserve">RED CN GR/ROS UL/FM 10X 8 </v>
          </cell>
        </row>
        <row r="415">
          <cell r="A415" t="str">
            <v>ACG-VRDCN-1CX1M</v>
          </cell>
          <cell r="B415" t="str">
            <v>RED CN GV/ROS UL/FM 11/4 X11/2</v>
          </cell>
        </row>
        <row r="416">
          <cell r="A416" t="str">
            <v>ACG-VRDCN-1MX1C</v>
          </cell>
          <cell r="B416" t="str">
            <v>RED CN GR/ROS UL/FM 11/2 X11/4</v>
          </cell>
        </row>
        <row r="417">
          <cell r="A417" t="str">
            <v>ACG-VRDCN-2MX01</v>
          </cell>
          <cell r="B417" t="str">
            <v xml:space="preserve">RED CN GR/ROS UL/FM 2 1/2X1 </v>
          </cell>
        </row>
        <row r="418">
          <cell r="A418" t="str">
            <v>ACG-VRDCN-2MX02</v>
          </cell>
          <cell r="B418" t="str">
            <v xml:space="preserve">RED CN GR/ROS UL/FM 2 1/2X2 </v>
          </cell>
        </row>
        <row r="419">
          <cell r="A419" t="str">
            <v>ACG-VRDCN-2MX1C</v>
          </cell>
          <cell r="B419" t="str">
            <v>RED CN GV/ROS UL/FM 21/2 X11/4</v>
          </cell>
        </row>
        <row r="420">
          <cell r="A420" t="str">
            <v>ACG-VRDCN-2MX1M</v>
          </cell>
          <cell r="B420" t="str">
            <v>RED CN GR/ROS UL/FM 21/2 X11/2</v>
          </cell>
        </row>
        <row r="421">
          <cell r="A421" t="str">
            <v>ACG-VSPOT-02X01</v>
          </cell>
          <cell r="B421" t="str">
            <v xml:space="preserve">STRAP UL/FM 2X 1 </v>
          </cell>
        </row>
        <row r="422">
          <cell r="A422" t="str">
            <v>ACG-VSPOT-02X0M</v>
          </cell>
          <cell r="B422" t="str">
            <v xml:space="preserve">STRAP UL/FM 2X 1/2 </v>
          </cell>
        </row>
        <row r="423">
          <cell r="A423" t="str">
            <v>ACG-VSPOT-02X0T</v>
          </cell>
          <cell r="B423" t="str">
            <v xml:space="preserve">STRAP UL/FM 2X 3/4 </v>
          </cell>
        </row>
        <row r="424">
          <cell r="A424" t="str">
            <v>ACG-VSPOT-02X1C</v>
          </cell>
          <cell r="B424" t="str">
            <v xml:space="preserve">STRAP UL/FM 2X 11/4 </v>
          </cell>
        </row>
        <row r="425">
          <cell r="A425" t="str">
            <v>ACG-VSPOT-03X01</v>
          </cell>
          <cell r="B425" t="str">
            <v xml:space="preserve">STRAP UL/FM 3X 1 </v>
          </cell>
        </row>
        <row r="426">
          <cell r="A426" t="str">
            <v>ACG-VSPOT-04X01</v>
          </cell>
          <cell r="B426" t="str">
            <v xml:space="preserve">STRAP UL/FM 4X 1 </v>
          </cell>
        </row>
        <row r="427">
          <cell r="A427" t="str">
            <v>ACG-VSPOT-1CX01</v>
          </cell>
          <cell r="B427" t="str">
            <v xml:space="preserve">STRAP UL/FM 11/4X 1 </v>
          </cell>
        </row>
        <row r="428">
          <cell r="A428" t="str">
            <v>ACG-VSPOT-1CX0M</v>
          </cell>
          <cell r="B428" t="str">
            <v xml:space="preserve">STRAP UL/FM 11/4 X1/2 </v>
          </cell>
        </row>
        <row r="429">
          <cell r="A429" t="str">
            <v>ACG-VSPOT-1CX0T</v>
          </cell>
          <cell r="B429" t="str">
            <v xml:space="preserve">STRAP UL/FM 11/4 X3/4 </v>
          </cell>
        </row>
        <row r="430">
          <cell r="A430" t="str">
            <v>ACG-VSPOT-1MX01</v>
          </cell>
          <cell r="B430" t="str">
            <v xml:space="preserve">STRAP UL/FM 11/2X 1 </v>
          </cell>
        </row>
        <row r="431">
          <cell r="A431" t="str">
            <v>ACG-VSPOT-1MX0M</v>
          </cell>
          <cell r="B431" t="str">
            <v xml:space="preserve">STRAP UL/FM 11/2 X1/2 </v>
          </cell>
        </row>
        <row r="432">
          <cell r="A432" t="str">
            <v>ACG-VSPOT-1MX0T</v>
          </cell>
          <cell r="B432" t="str">
            <v xml:space="preserve">STRAP UL/FM 11/2 X3/4 </v>
          </cell>
        </row>
        <row r="433">
          <cell r="A433" t="str">
            <v>ACG-VSPOT-2MX01</v>
          </cell>
          <cell r="B433" t="str">
            <v xml:space="preserve">STRAP UL/FM 21/2X1 </v>
          </cell>
        </row>
        <row r="434">
          <cell r="A434" t="str">
            <v>ACG-VSPOT-2MX0M</v>
          </cell>
          <cell r="B434" t="str">
            <v xml:space="preserve">STRAP UL/FM 21/2 X1/2 </v>
          </cell>
        </row>
        <row r="435">
          <cell r="A435" t="str">
            <v>ACG-VSPOT-2MX0T</v>
          </cell>
          <cell r="B435" t="str">
            <v xml:space="preserve">STRAP UL/FM 21/2 X3/4 </v>
          </cell>
        </row>
        <row r="436">
          <cell r="A436" t="str">
            <v>ACG-VTAPA-01-00</v>
          </cell>
          <cell r="B436" t="str">
            <v xml:space="preserve">TAPA GROOVD. UL/FM 1 </v>
          </cell>
        </row>
        <row r="437">
          <cell r="A437" t="str">
            <v>ACG-VTAPA-02-00</v>
          </cell>
          <cell r="B437" t="str">
            <v xml:space="preserve">TAPA GROOVD. UL/FM 2 </v>
          </cell>
        </row>
        <row r="438">
          <cell r="A438" t="str">
            <v>ACG-VTAPA-03-00</v>
          </cell>
          <cell r="B438" t="str">
            <v xml:space="preserve">TAPA GROOVD. UL/FM 3 </v>
          </cell>
        </row>
        <row r="439">
          <cell r="A439" t="str">
            <v>ACG-VTAPA-04-00</v>
          </cell>
          <cell r="B439" t="str">
            <v xml:space="preserve">TAPA GROOVD. UL/FM 4 </v>
          </cell>
        </row>
        <row r="440">
          <cell r="A440" t="str">
            <v>ACG-VTAPA-04-00</v>
          </cell>
          <cell r="B440" t="str">
            <v xml:space="preserve">TAPA GROOVD. UL/FM 4 </v>
          </cell>
        </row>
        <row r="441">
          <cell r="A441" t="str">
            <v>ACG-VTAPA-06-00</v>
          </cell>
          <cell r="B441" t="str">
            <v xml:space="preserve">TAPA GROOVD. UL/FM 6 </v>
          </cell>
        </row>
        <row r="442">
          <cell r="A442" t="str">
            <v>ACG-VTAPA-08-00</v>
          </cell>
          <cell r="B442" t="str">
            <v xml:space="preserve">TAPA GROOVD. UL/FM 8 </v>
          </cell>
        </row>
        <row r="443">
          <cell r="A443" t="str">
            <v>ACG-VTAPA-0C-00</v>
          </cell>
          <cell r="B443" t="str">
            <v xml:space="preserve">TAPA GROOVD. UL/FM 1/4 </v>
          </cell>
        </row>
        <row r="444">
          <cell r="A444" t="str">
            <v>ACG-VTAPA-0M-00</v>
          </cell>
          <cell r="B444" t="str">
            <v xml:space="preserve">TAPA GROOVD. UL/FM 1/2 </v>
          </cell>
        </row>
        <row r="445">
          <cell r="A445" t="str">
            <v>ACG-VTAPA-0T-00</v>
          </cell>
          <cell r="B445" t="str">
            <v xml:space="preserve">TAPA GROOVD. UL/FM 3/4 </v>
          </cell>
        </row>
        <row r="446">
          <cell r="A446" t="str">
            <v>ACG-VTAPA-10-00</v>
          </cell>
          <cell r="B446" t="str">
            <v xml:space="preserve">TAPA GROOVD. UL/FM 10 </v>
          </cell>
        </row>
        <row r="447">
          <cell r="A447" t="str">
            <v>ACG-VTAPA-12-00</v>
          </cell>
          <cell r="B447" t="str">
            <v xml:space="preserve">TAPA GROOVD. UL/FM 12 </v>
          </cell>
        </row>
        <row r="448">
          <cell r="A448" t="str">
            <v>ACG-VTAPA-1C-00</v>
          </cell>
          <cell r="B448" t="str">
            <v xml:space="preserve">TAPA GROOVD. UL/FM 1 1/4 </v>
          </cell>
        </row>
        <row r="449">
          <cell r="A449" t="str">
            <v>ACG-VTAPA-1M-00</v>
          </cell>
          <cell r="B449" t="str">
            <v xml:space="preserve">TAPA GROOVD. UL/FM 1 1/2 </v>
          </cell>
        </row>
        <row r="450">
          <cell r="A450" t="str">
            <v>ACG-VTAPA-2M-00</v>
          </cell>
          <cell r="B450" t="str">
            <v xml:space="preserve">TAPA GROOVD. UL/FM 2 1/2 </v>
          </cell>
        </row>
        <row r="451">
          <cell r="A451" t="str">
            <v>ACG-VTAPA-3M-00</v>
          </cell>
          <cell r="B451" t="str">
            <v xml:space="preserve">TAPA GROOVD. UL/FM 3 1/2 </v>
          </cell>
        </row>
        <row r="452">
          <cell r="A452" t="str">
            <v>ACG-VTNOR-01-00</v>
          </cell>
          <cell r="B452" t="str">
            <v xml:space="preserve">TEE NORMAL GROOV. UL/FM 1 </v>
          </cell>
        </row>
        <row r="453">
          <cell r="A453" t="str">
            <v>ACG-VTNOR-02-00</v>
          </cell>
          <cell r="B453" t="str">
            <v xml:space="preserve">TEE NORMAL GROOV. UL/FM 2 </v>
          </cell>
        </row>
        <row r="454">
          <cell r="A454" t="str">
            <v>ACG-VTNOR-02-00</v>
          </cell>
          <cell r="B454" t="str">
            <v xml:space="preserve">TEE NORMAL GROOV. UL/FM 2 </v>
          </cell>
        </row>
        <row r="455">
          <cell r="A455" t="str">
            <v>ACG-VTNOR-03-00</v>
          </cell>
          <cell r="B455" t="str">
            <v xml:space="preserve">TEE NORMAL GROOV. UL/FM 3 </v>
          </cell>
        </row>
        <row r="456">
          <cell r="A456" t="str">
            <v>ACG-VTNOR-03-00</v>
          </cell>
          <cell r="B456" t="str">
            <v xml:space="preserve">TEE NORMAL GROOV. UL/FM 3 </v>
          </cell>
        </row>
        <row r="457">
          <cell r="A457" t="str">
            <v>ACG-VTNOR-04-00</v>
          </cell>
          <cell r="B457" t="str">
            <v xml:space="preserve">TEE NORMAL GROOV. UL/FM 4 </v>
          </cell>
        </row>
        <row r="458">
          <cell r="A458" t="str">
            <v>ACG-VTNOR-06-00</v>
          </cell>
          <cell r="B458" t="str">
            <v xml:space="preserve">TEE NORMAL GROOV. UL/FM 6 </v>
          </cell>
        </row>
        <row r="459">
          <cell r="A459" t="str">
            <v>ACG-VTNOR-08-00</v>
          </cell>
          <cell r="B459" t="str">
            <v xml:space="preserve">TEE NORMAL GROOV. UL/FM 8 </v>
          </cell>
        </row>
        <row r="460">
          <cell r="A460" t="str">
            <v>ACG-VTNOR-0C-00</v>
          </cell>
          <cell r="B460" t="str">
            <v xml:space="preserve">TEE NORMAL GROOV. UL/FM 1/4 </v>
          </cell>
        </row>
        <row r="461">
          <cell r="A461" t="str">
            <v>ACG-VTNOR-0M-00</v>
          </cell>
          <cell r="B461" t="str">
            <v xml:space="preserve">TEE NORMAL GROOV. UL/FM 1/2 </v>
          </cell>
        </row>
        <row r="462">
          <cell r="A462" t="str">
            <v>ACG-VTNOR-0T-00</v>
          </cell>
          <cell r="B462" t="str">
            <v xml:space="preserve">TEE NORMAL GROOV. UL/FM 3/4 </v>
          </cell>
        </row>
        <row r="463">
          <cell r="A463" t="str">
            <v>ACG-VTNOR-10-00</v>
          </cell>
          <cell r="B463" t="str">
            <v xml:space="preserve">TEE NORMAL GROOV. UL/FM 10 </v>
          </cell>
        </row>
        <row r="464">
          <cell r="A464" t="str">
            <v>ACG-VTNOR-12-00</v>
          </cell>
          <cell r="B464" t="str">
            <v xml:space="preserve">TEE NORMAL GROOV. UL/FM 12 </v>
          </cell>
        </row>
        <row r="465">
          <cell r="A465" t="str">
            <v>ACG-VTNOR-1C-00</v>
          </cell>
          <cell r="B465" t="str">
            <v xml:space="preserve">TEE NORMAL GROOV. UL/FM 1 1/4 </v>
          </cell>
        </row>
        <row r="466">
          <cell r="A466" t="str">
            <v>ACG-VTNOR-1M-00</v>
          </cell>
          <cell r="B466" t="str">
            <v xml:space="preserve">TEE NORMAL GROOV. UL/FM 1 1/2 </v>
          </cell>
        </row>
        <row r="467">
          <cell r="A467" t="str">
            <v>ACG-VTNOR-2M-00</v>
          </cell>
          <cell r="B467" t="str">
            <v xml:space="preserve">TEE NORMAL GROOV. UL/FM 2 1/2 </v>
          </cell>
        </row>
        <row r="468">
          <cell r="A468" t="str">
            <v>ACG-VTNOR-3M-00</v>
          </cell>
          <cell r="B468" t="str">
            <v xml:space="preserve">TEE NORMAL GROOV. UL/FM 3 1/2 </v>
          </cell>
        </row>
        <row r="469">
          <cell r="A469" t="str">
            <v>ACG-VTRED-01X0M</v>
          </cell>
          <cell r="B469" t="str">
            <v xml:space="preserve">TEE REDUCTORA GROOV. UL/FM 1 X1/2 </v>
          </cell>
        </row>
        <row r="470">
          <cell r="A470" t="str">
            <v>ACG-VTRED-01X0T</v>
          </cell>
          <cell r="B470" t="str">
            <v xml:space="preserve">TEE REDUCTORA GROOV. UL/FM 1X 3/4 </v>
          </cell>
        </row>
        <row r="471">
          <cell r="A471" t="str">
            <v>ACG-VTRED-02X01</v>
          </cell>
          <cell r="B471" t="str">
            <v xml:space="preserve">TEE REDUCTORA GROOV. UL/FM 2X 1 </v>
          </cell>
        </row>
        <row r="472">
          <cell r="A472" t="str">
            <v>ACG-VTRED-02X0T</v>
          </cell>
          <cell r="B472" t="str">
            <v xml:space="preserve">TEE REDUCTORA GROOV. UL/FM 2X 3/4 </v>
          </cell>
        </row>
        <row r="473">
          <cell r="A473" t="str">
            <v>ACG-VTRED-02X1C</v>
          </cell>
          <cell r="B473" t="str">
            <v xml:space="preserve">TEE REDUCTORA GROOV. UL/FM 2X 11/4 </v>
          </cell>
        </row>
        <row r="474">
          <cell r="A474" t="str">
            <v>ACG-VTRED-02X1M</v>
          </cell>
          <cell r="B474" t="str">
            <v xml:space="preserve">TEE REDUCTORA GROOV. UL/FM 2X 11/2 </v>
          </cell>
        </row>
        <row r="475">
          <cell r="A475" t="str">
            <v>ACG-VTRED-03X01</v>
          </cell>
          <cell r="B475" t="str">
            <v xml:space="preserve">TEE REDUCTORA GROOV. UL/FM 3X 1 </v>
          </cell>
        </row>
        <row r="476">
          <cell r="A476" t="str">
            <v>ACG-VTRED-03X02</v>
          </cell>
          <cell r="B476" t="str">
            <v xml:space="preserve">TEE REDUCTORA GROOV. UL/FM 3X 2 </v>
          </cell>
        </row>
        <row r="477">
          <cell r="A477" t="str">
            <v>ACG-VTRED-03X0M</v>
          </cell>
          <cell r="B477" t="str">
            <v xml:space="preserve">TEE REDUCTORA GROOV. UL/FM 3X 1/2 </v>
          </cell>
        </row>
        <row r="478">
          <cell r="A478" t="str">
            <v>ACG-VTRED-03X0T</v>
          </cell>
          <cell r="B478" t="str">
            <v xml:space="preserve">TEE REDUCTORA GROOV. UL/FM 3X 3/4 </v>
          </cell>
        </row>
        <row r="479">
          <cell r="A479" t="str">
            <v>ACG-VTRED-03X1C</v>
          </cell>
          <cell r="B479" t="str">
            <v xml:space="preserve">TEE REDUCTORA GROOV. UL/FM 3X 11/4 </v>
          </cell>
        </row>
        <row r="480">
          <cell r="A480" t="str">
            <v>ACG-VTRED-03X1M</v>
          </cell>
          <cell r="B480" t="str">
            <v xml:space="preserve">TEE REDUCTORA GROOV. UL/FM 3 X 1 1/2 </v>
          </cell>
        </row>
        <row r="481">
          <cell r="A481" t="str">
            <v>ACG-VTRED-03X2M</v>
          </cell>
          <cell r="B481" t="str">
            <v>TEE REDUCTORA GROOV. UL/FM 3 X2 1/2</v>
          </cell>
        </row>
        <row r="482">
          <cell r="A482" t="str">
            <v>ACG-VTRED-04X01</v>
          </cell>
          <cell r="B482" t="str">
            <v xml:space="preserve">TEE REDUCTORA GROOV. UL/FM 4X 1 </v>
          </cell>
        </row>
        <row r="483">
          <cell r="A483" t="str">
            <v>ACG-VTRED-04X02</v>
          </cell>
          <cell r="B483" t="str">
            <v xml:space="preserve">TEE REDUCTORA GROOV. UL/FM 4X 2 </v>
          </cell>
        </row>
        <row r="484">
          <cell r="A484" t="str">
            <v>ACG-VTRED-04X03</v>
          </cell>
          <cell r="B484" t="str">
            <v xml:space="preserve">TEE REDUCTORA GROOV. UL/FM 4X 3 </v>
          </cell>
        </row>
        <row r="485">
          <cell r="A485" t="str">
            <v>ACG-VTRED-04X1C</v>
          </cell>
          <cell r="B485" t="str">
            <v xml:space="preserve">TEE REDUCTORA GROOV. UL/FM 4X 11/4 </v>
          </cell>
        </row>
        <row r="486">
          <cell r="A486" t="str">
            <v>ACG-VTRED-04X1M</v>
          </cell>
          <cell r="B486" t="str">
            <v xml:space="preserve">TEE REDUCTORA GROOV. UL/FM 4 X11/2 </v>
          </cell>
        </row>
        <row r="487">
          <cell r="A487" t="str">
            <v>ACG-VTRED-04X2M</v>
          </cell>
          <cell r="B487" t="str">
            <v>TEE REDUCTORA GROOV. UL/FM 4X 2 1/2</v>
          </cell>
        </row>
        <row r="488">
          <cell r="A488" t="str">
            <v>ACG-VTRED-06X02</v>
          </cell>
          <cell r="B488" t="str">
            <v xml:space="preserve">TEE REDUCTORA GROOV. UL/FM 6X 2 </v>
          </cell>
        </row>
        <row r="489">
          <cell r="A489" t="str">
            <v>ACG-VTRED-06X03</v>
          </cell>
          <cell r="B489" t="str">
            <v xml:space="preserve">TEE REDUCTORA GROOV. UL/FM 6X 3 </v>
          </cell>
        </row>
        <row r="490">
          <cell r="A490" t="str">
            <v>ACG-VTRED-06X04</v>
          </cell>
          <cell r="B490" t="str">
            <v xml:space="preserve">TEE REDUCTORA GROOV. UL/FM 6X 4 </v>
          </cell>
        </row>
        <row r="491">
          <cell r="A491" t="str">
            <v>ACG-VTRED-06X1C</v>
          </cell>
          <cell r="B491" t="str">
            <v xml:space="preserve">TEE REDUCTORA GROOV. UL/FM 6 X11/4 </v>
          </cell>
        </row>
        <row r="492">
          <cell r="A492" t="str">
            <v>ACG-VTRED-06X1M</v>
          </cell>
          <cell r="B492" t="str">
            <v xml:space="preserve">TEE REDUCTORA GROOV. UL/FM 6 X11/2 </v>
          </cell>
        </row>
        <row r="493">
          <cell r="A493" t="str">
            <v>ACG-VTRED-06X2M</v>
          </cell>
          <cell r="B493" t="str">
            <v>TEE REDUCTORA GROOV. UL/FM 6 X2 1/2</v>
          </cell>
        </row>
        <row r="494">
          <cell r="A494" t="str">
            <v>ACG-VTRED-08X02</v>
          </cell>
          <cell r="B494" t="str">
            <v xml:space="preserve">TEE REDUCTORA GROOV. UL/FM 8X 2 </v>
          </cell>
        </row>
        <row r="495">
          <cell r="A495" t="str">
            <v>ACG-VTRED-08X03</v>
          </cell>
          <cell r="B495" t="str">
            <v xml:space="preserve">TEE REDUCTORA GROOV. UL/FM 8X 3 </v>
          </cell>
        </row>
        <row r="496">
          <cell r="A496" t="str">
            <v>ACG-VTRED-08X04</v>
          </cell>
          <cell r="B496" t="str">
            <v xml:space="preserve">TEE REDUCTORA GROOV. UL/FM 8X 4 </v>
          </cell>
        </row>
        <row r="497">
          <cell r="A497" t="str">
            <v>ACG-VTRED-08X05</v>
          </cell>
          <cell r="B497" t="str">
            <v xml:space="preserve">TEE REDUCTORA GROOV. UL/FM 8X 5 </v>
          </cell>
        </row>
        <row r="498">
          <cell r="A498" t="str">
            <v>ACG-VTRED-08X06</v>
          </cell>
          <cell r="B498" t="str">
            <v xml:space="preserve">TEE REDUCTORA GROOV. UL/FM 8X 6 </v>
          </cell>
        </row>
        <row r="499">
          <cell r="A499" t="str">
            <v>ACG-VTRED-08X1M</v>
          </cell>
          <cell r="B499" t="str">
            <v xml:space="preserve">TEE REDUCTORA GROOV. UL/FM 8X 11/2 </v>
          </cell>
        </row>
        <row r="500">
          <cell r="A500" t="str">
            <v>ACG-VTRED-08X2M</v>
          </cell>
          <cell r="B500" t="str">
            <v xml:space="preserve">TEE REDUCTORA GROOV. UL/FM 8X 21/2 </v>
          </cell>
        </row>
        <row r="501">
          <cell r="A501" t="str">
            <v>ACG-VTRED-10X04</v>
          </cell>
          <cell r="B501" t="str">
            <v xml:space="preserve">TEE REDUCTORA GROOV. UL/FM 10X 4 </v>
          </cell>
        </row>
        <row r="502">
          <cell r="A502" t="str">
            <v>ACG-VTRED-10X06</v>
          </cell>
          <cell r="B502" t="str">
            <v xml:space="preserve">TEE REDUCTORA GROOV. UL/FM 10X 6 </v>
          </cell>
        </row>
        <row r="503">
          <cell r="A503" t="str">
            <v>ACG-VTRED-10X08</v>
          </cell>
          <cell r="B503" t="str">
            <v xml:space="preserve">TEE REDUCTORA GROOV. UL/FM 10X 8 </v>
          </cell>
        </row>
        <row r="504">
          <cell r="A504" t="str">
            <v>ACG-VTRED-1CX01</v>
          </cell>
          <cell r="B504" t="str">
            <v xml:space="preserve">TEE REDUCTORA GROOV. UL/FM 11/4 X1 </v>
          </cell>
        </row>
        <row r="505">
          <cell r="A505" t="str">
            <v>ACG-VTRED-1CX0T</v>
          </cell>
          <cell r="B505" t="str">
            <v xml:space="preserve">TEE REDUCTORA GROOV. UL/FM 11/4 X3/4 </v>
          </cell>
        </row>
        <row r="506">
          <cell r="A506" t="str">
            <v>ACG-VTRED-1MX01</v>
          </cell>
          <cell r="B506" t="str">
            <v xml:space="preserve">TEE REDUCTORA GROOV. UL/FM 11/2 X1 </v>
          </cell>
        </row>
        <row r="507">
          <cell r="A507" t="str">
            <v>ACG-VTRED-1MX0T</v>
          </cell>
          <cell r="B507" t="str">
            <v xml:space="preserve">TEE REDUCTORA GROOV. UL/FM 11/2 X3/4 </v>
          </cell>
        </row>
        <row r="508">
          <cell r="A508" t="str">
            <v>ACG-VTRED-1MX1C</v>
          </cell>
          <cell r="B508" t="str">
            <v>TEE REDUCTORA GROOV. UL/FM 11/2 X11/4</v>
          </cell>
        </row>
        <row r="509">
          <cell r="A509" t="str">
            <v>ACG-VTRED-2MX01</v>
          </cell>
          <cell r="B509" t="str">
            <v xml:space="preserve">TEE REDUCTORA GROOV. UL/FM 21/2X 1 </v>
          </cell>
        </row>
        <row r="510">
          <cell r="A510" t="str">
            <v>ACG-VTRED-2MX02</v>
          </cell>
          <cell r="B510" t="str">
            <v>TEE REDUCTORA GROOV. UL/FM 21/2X02</v>
          </cell>
        </row>
        <row r="511">
          <cell r="A511" t="str">
            <v>ACG-VTRED-2MX1C</v>
          </cell>
          <cell r="B511" t="str">
            <v>TEE REDUCTORA GROOV. UL/FM 21/2 X11/4</v>
          </cell>
        </row>
        <row r="512">
          <cell r="A512" t="str">
            <v>ACG-VTRED-2MX1M</v>
          </cell>
          <cell r="B512" t="str">
            <v>TEE REDUCTORA GROOV. UL/FM 21/2 X11/2</v>
          </cell>
        </row>
        <row r="513">
          <cell r="A513" t="str">
            <v>ACG-VTRED-2MX2M</v>
          </cell>
          <cell r="B513" t="str">
            <v>( INACTIVO )</v>
          </cell>
        </row>
        <row r="514">
          <cell r="A514" t="str">
            <v>ACGZJUNTAEXPAN01</v>
          </cell>
          <cell r="B514" t="str">
            <v>JUNTA EXPANSION 1  NPT METRAFLEX</v>
          </cell>
        </row>
        <row r="515">
          <cell r="A515" t="str">
            <v>ACGZJUNTEXPAN 01</v>
          </cell>
          <cell r="B515" t="str">
            <v>JUNTA EXPANSIÓN 1 ( DILATACION )</v>
          </cell>
        </row>
        <row r="516">
          <cell r="A516" t="str">
            <v>ACGZJUNTEXPAN 02</v>
          </cell>
          <cell r="B516" t="str">
            <v>JUNTA EXPANSIÓN 02 ( DILATACION )</v>
          </cell>
        </row>
        <row r="517">
          <cell r="A517" t="str">
            <v>ACGZJUNTEXPAN 03</v>
          </cell>
          <cell r="B517" t="str">
            <v>JUNTA EXPANSIÓN 3 ( DILATACION )</v>
          </cell>
        </row>
        <row r="518">
          <cell r="A518" t="str">
            <v>ACGZJUNTEXPAN 04</v>
          </cell>
          <cell r="B518" t="str">
            <v>JUNTA EXPANSIÓN 4 ( DILATACION )</v>
          </cell>
        </row>
        <row r="519">
          <cell r="A519" t="str">
            <v>ACGZJUNTEXPAN 06</v>
          </cell>
          <cell r="B519" t="str">
            <v>JUNTA EXPANSIÓN 6 ( DILATACION )</v>
          </cell>
        </row>
        <row r="520">
          <cell r="A520" t="str">
            <v>ACGZJUNTEXPAN 08</v>
          </cell>
          <cell r="B520" t="str">
            <v>JUNTA EXPANSIÓN 8 ( DILATACION )</v>
          </cell>
        </row>
        <row r="521">
          <cell r="A521" t="str">
            <v>ACGZJUNTEXPAN 11/2</v>
          </cell>
          <cell r="B521" t="str">
            <v>JUNTA EXPANSIÓN 1 1/2 ( DILATACION )</v>
          </cell>
        </row>
        <row r="522">
          <cell r="A522" t="str">
            <v>ACGZJUNTEXPAN 1-1/2</v>
          </cell>
          <cell r="B522" t="str">
            <v>JUNTA EXPANCION 1-1/2 METRAFLEX</v>
          </cell>
        </row>
        <row r="523">
          <cell r="A523" t="str">
            <v>ACGZJUNTEXPAN 11/4</v>
          </cell>
          <cell r="B523" t="str">
            <v>JUNTA EXPANSIÓN 11/4 ( DILATACION )</v>
          </cell>
        </row>
        <row r="524">
          <cell r="A524" t="str">
            <v>ACGZJUNTEXPAN 1-1/4</v>
          </cell>
          <cell r="B524" t="str">
            <v>JUNTA EXPANCION 1-1/4 METRAFLEX</v>
          </cell>
        </row>
        <row r="525">
          <cell r="A525" t="str">
            <v>ACGZJUNTEXPAN 21/2</v>
          </cell>
          <cell r="B525" t="str">
            <v>JUNTA EXPANSIÓN 21/2 ( DILATACION )</v>
          </cell>
        </row>
        <row r="526">
          <cell r="A526" t="str">
            <v>ACGZJUNTEXPAN02</v>
          </cell>
          <cell r="B526" t="str">
            <v>JUNTA EXPANSION 2  METRAFLEX</v>
          </cell>
        </row>
        <row r="527">
          <cell r="A527" t="str">
            <v>ACGZJUNTEXPAN03</v>
          </cell>
          <cell r="B527" t="str">
            <v>JUNTA EXPANSIÓN 3  METRAFLEX</v>
          </cell>
        </row>
        <row r="528">
          <cell r="A528" t="str">
            <v>ACGZJUNTEXPAN04</v>
          </cell>
          <cell r="B528" t="str">
            <v>JUNTA EXPANSIÓN 4    METRAFLEX</v>
          </cell>
        </row>
        <row r="529">
          <cell r="A529" t="str">
            <v>ACGZJUNTEXPAN06</v>
          </cell>
          <cell r="B529" t="str">
            <v>JUNTA EXPANSIÓN 6  METRAFLEX</v>
          </cell>
        </row>
        <row r="530">
          <cell r="A530" t="str">
            <v>ACGZJUNTEXPAN08</v>
          </cell>
          <cell r="B530" t="str">
            <v>JUNTA EXPANCION 8 METRAFLEX</v>
          </cell>
        </row>
        <row r="531">
          <cell r="A531" t="str">
            <v>ACGZJUNTEXPAN2M</v>
          </cell>
          <cell r="B531" t="str">
            <v>JUNTA EXPANSION 2-1/2   METRAFLEX</v>
          </cell>
        </row>
        <row r="532">
          <cell r="A532" t="str">
            <v>ACI-WFBN8022</v>
          </cell>
          <cell r="B532" t="str">
            <v>BATERIA 2 CIL DE 80L. H2O + 2 CIL 80L. N2 SIST RGS-W-FOG UAC</v>
          </cell>
        </row>
        <row r="533">
          <cell r="A533" t="str">
            <v>ACI-WFD640856</v>
          </cell>
          <cell r="B533" t="str">
            <v>DIFUSOR ABIERTO MODELO EMM-640856</v>
          </cell>
        </row>
        <row r="534">
          <cell r="A534" t="str">
            <v>ACI-WFPOINPREA</v>
          </cell>
          <cell r="B534" t="str">
            <v>DETECTOR DE FLUJO PARA WM</v>
          </cell>
        </row>
        <row r="535">
          <cell r="A535" t="str">
            <v>ACI-WFTB1612</v>
          </cell>
          <cell r="B535" t="str">
            <v>BLOQUE DE 16 CON 2 SALID A TUB DE 12</v>
          </cell>
        </row>
        <row r="536">
          <cell r="A536" t="str">
            <v>ACI-WFTCO16</v>
          </cell>
          <cell r="B536" t="str">
            <v xml:space="preserve">CODO ACERO INOX DE 16 </v>
          </cell>
        </row>
        <row r="537">
          <cell r="A537" t="str">
            <v>ACI-WFTSTAA12</v>
          </cell>
          <cell r="B537" t="str">
            <v>SOPORTE STAUFF ALUMN DE 12 C/PLACA</v>
          </cell>
        </row>
        <row r="538">
          <cell r="A538" t="str">
            <v>ACI-WFTSTAA16</v>
          </cell>
          <cell r="B538" t="str">
            <v xml:space="preserve">SOPORTE STAUFF ALUMN DE 16 C/PLACA </v>
          </cell>
        </row>
        <row r="539">
          <cell r="A539" t="str">
            <v>ACI-WFTT12</v>
          </cell>
          <cell r="B539" t="str">
            <v xml:space="preserve">TUBERIA INOX S/S  12 x 1.5 </v>
          </cell>
        </row>
        <row r="540">
          <cell r="A540" t="str">
            <v>ACI-WFTT16</v>
          </cell>
          <cell r="B540" t="str">
            <v>TUBERIA INOX S/S 16 x 1.5</v>
          </cell>
        </row>
        <row r="541">
          <cell r="A541" t="str">
            <v>ACI-WFTTED12</v>
          </cell>
          <cell r="B541" t="str">
            <v xml:space="preserve">T INOX DE 12 PARA UNION DIRECTA A DIFUSOR </v>
          </cell>
        </row>
        <row r="542">
          <cell r="A542" t="str">
            <v>ACI-WFTTO12</v>
          </cell>
          <cell r="B542" t="str">
            <v>TAPON OBTURADOR DE 12S INOX C/TUERCA</v>
          </cell>
        </row>
        <row r="543">
          <cell r="A543" t="str">
            <v>ACI-WFTTO16</v>
          </cell>
          <cell r="B543" t="str">
            <v>TAPON OBTURADOR DE 16S INOX C/TUERCA</v>
          </cell>
        </row>
        <row r="544">
          <cell r="A544" t="str">
            <v>ACMAQEJERANURAD</v>
          </cell>
          <cell r="B544" t="str">
            <v xml:space="preserve">EJE RANURADOR </v>
          </cell>
        </row>
        <row r="545">
          <cell r="A545" t="str">
            <v>ACM-AQRAN-HIDRO</v>
          </cell>
          <cell r="B545" t="str">
            <v xml:space="preserve">MAC RAN HIDR MOTOR 11/4 A 6 </v>
          </cell>
        </row>
        <row r="546">
          <cell r="A546" t="str">
            <v>ACM-AQRANURA-MA</v>
          </cell>
          <cell r="B546" t="str">
            <v>MAC RAN MAN MOTOR 11/4 A 6 MODELO PAMPA</v>
          </cell>
        </row>
        <row r="547">
          <cell r="A547" t="str">
            <v>ACPCCORTATUBOS</v>
          </cell>
        </row>
        <row r="548">
          <cell r="A548" t="str">
            <v>ACP-VADGR-01-00</v>
          </cell>
          <cell r="B548" t="str">
            <v xml:space="preserve">ADAPTADOR RANURADO CPVC UL/FM 1 </v>
          </cell>
        </row>
        <row r="549">
          <cell r="A549" t="str">
            <v>ACP-VADGR-02-00</v>
          </cell>
          <cell r="B549" t="str">
            <v xml:space="preserve">ADAPTADOR RANURADO CPVC UL/FM 2 </v>
          </cell>
        </row>
        <row r="550">
          <cell r="A550" t="str">
            <v>ACP-VADGR-03-00</v>
          </cell>
          <cell r="B550" t="str">
            <v xml:space="preserve">ADAPTADOR RANURADO CPVC UL/FM 3 </v>
          </cell>
        </row>
        <row r="551">
          <cell r="A551" t="str">
            <v>ACP-VADGR-0T-00</v>
          </cell>
          <cell r="B551" t="str">
            <v xml:space="preserve">ADAPTADOR RANURADO CPVC UL/FM 3/4 </v>
          </cell>
        </row>
        <row r="552">
          <cell r="A552" t="str">
            <v>ACP-VADGR-1C-00</v>
          </cell>
          <cell r="B552" t="str">
            <v xml:space="preserve">ADAPTADOR RANURADO CPVC UL/FM 1 1/4 </v>
          </cell>
        </row>
        <row r="553">
          <cell r="A553" t="str">
            <v>ACP-VADGR-1M-00</v>
          </cell>
          <cell r="B553" t="str">
            <v xml:space="preserve">ADAPTADOR RANURADO CPVC UL/FM 1 1/2 </v>
          </cell>
        </row>
        <row r="554">
          <cell r="A554" t="str">
            <v>ACP-VADGR-2M-00</v>
          </cell>
          <cell r="B554" t="str">
            <v xml:space="preserve">ADAPTADOR RANURADO CPVC UL/FM 2 1/2 </v>
          </cell>
        </row>
        <row r="555">
          <cell r="A555" t="str">
            <v>ACP-VADHE-01-00</v>
          </cell>
          <cell r="B555" t="str">
            <v xml:space="preserve">ADAPTADOR HILO EXT. CPVC UL/FM 1 </v>
          </cell>
        </row>
        <row r="556">
          <cell r="A556" t="str">
            <v>ACP-VADHE-02-00</v>
          </cell>
          <cell r="B556" t="str">
            <v xml:space="preserve">ADAPTADOR HILO EXT. CPVC UL/FM 2 </v>
          </cell>
        </row>
        <row r="557">
          <cell r="A557" t="str">
            <v>ACP-VADHE-03-00</v>
          </cell>
          <cell r="B557" t="str">
            <v xml:space="preserve">ADAPTADOR HILO EXT. CPVC UL/FM 3 </v>
          </cell>
        </row>
        <row r="558">
          <cell r="A558" t="str">
            <v>ACP-VADHE-0T-00</v>
          </cell>
          <cell r="B558" t="str">
            <v xml:space="preserve">ADAPTADOR HILO EXT. CPVC UL/FM 3/4 </v>
          </cell>
        </row>
        <row r="559">
          <cell r="A559" t="str">
            <v>ACP-VADHE-1C-00</v>
          </cell>
          <cell r="B559" t="str">
            <v xml:space="preserve">ADAPTADOR HILO EXT. CPVC UL/FM 1 1/4 </v>
          </cell>
        </row>
        <row r="560">
          <cell r="A560" t="str">
            <v>ACP-VADHE-1M-00</v>
          </cell>
          <cell r="B560" t="str">
            <v xml:space="preserve">ADAPTADOR HILO EXT. CPVC UL/FM 1 1/2 </v>
          </cell>
        </row>
        <row r="561">
          <cell r="A561" t="str">
            <v>ACP-VADHE-2M-00</v>
          </cell>
          <cell r="B561" t="str">
            <v xml:space="preserve">ADAPTADOR HILO EXT. CPVC UL/FM 2 1/2 </v>
          </cell>
        </row>
        <row r="562">
          <cell r="A562" t="str">
            <v>ACP-VADHI-01-00</v>
          </cell>
          <cell r="B562" t="str">
            <v xml:space="preserve">ADAPTADOR HILO INT. CPVC UL/FM 1 </v>
          </cell>
        </row>
        <row r="563">
          <cell r="A563" t="str">
            <v>ACP-VADHI-02-00</v>
          </cell>
          <cell r="B563" t="str">
            <v xml:space="preserve">ADAPTADOR HILO INT. CPVC UL/FM 2 </v>
          </cell>
        </row>
        <row r="564">
          <cell r="A564" t="str">
            <v>ACP-VADHI-03-00</v>
          </cell>
          <cell r="B564" t="str">
            <v xml:space="preserve">ADAPTADOR HILO INT. CPVC UL/FM 3 </v>
          </cell>
        </row>
        <row r="565">
          <cell r="A565" t="str">
            <v>ACP-VADHI-0T-00</v>
          </cell>
          <cell r="B565" t="str">
            <v xml:space="preserve">ADAPTADOR HILO INT. CPVC UL/FM 3/4 </v>
          </cell>
        </row>
        <row r="566">
          <cell r="A566" t="str">
            <v>ACP-VADHI-1C-00</v>
          </cell>
          <cell r="B566" t="str">
            <v xml:space="preserve">ADAPTADOR HILO INT. CPVC UL/FM 1 1/4 </v>
          </cell>
        </row>
        <row r="567">
          <cell r="A567" t="str">
            <v>ACP-VADHI-1M-00</v>
          </cell>
          <cell r="B567" t="str">
            <v xml:space="preserve">ADAPTADOR HILO INT. CPVC UL/FM 1 1/2 </v>
          </cell>
        </row>
        <row r="568">
          <cell r="A568" t="str">
            <v>ACP-VADHI-2M-00</v>
          </cell>
          <cell r="B568" t="str">
            <v xml:space="preserve">ADAPTADOR HILO INT. CPVC UL/FM 2 1/2 </v>
          </cell>
        </row>
        <row r="569">
          <cell r="A569" t="str">
            <v>ACP-VADSP-01X0M</v>
          </cell>
          <cell r="B569" t="str">
            <v xml:space="preserve">ADAPTADOR SPK OULET CPVC UL/FM 1X 1/2 </v>
          </cell>
        </row>
        <row r="570">
          <cell r="A570" t="str">
            <v>ACP-VADSP-01X0T</v>
          </cell>
          <cell r="B570" t="str">
            <v xml:space="preserve">ADAPTADOR SPK OULET CPVC UL/FM 1X 3/4 </v>
          </cell>
        </row>
        <row r="571">
          <cell r="A571" t="str">
            <v>ACP-VADSP-0TX0M</v>
          </cell>
          <cell r="B571" t="str">
            <v xml:space="preserve">ADAPTADOR SPK OULET CPVC UL/FM 3/4X1/2 </v>
          </cell>
        </row>
        <row r="572">
          <cell r="A572" t="str">
            <v>ACP-VADSP-1CX01</v>
          </cell>
          <cell r="B572" t="str">
            <v xml:space="preserve">ADAPTADOR SPK OULET CPVC UL/FM 11/4X 1 </v>
          </cell>
        </row>
        <row r="573">
          <cell r="A573" t="str">
            <v>ACP-VADSP-1CX0M</v>
          </cell>
          <cell r="B573" t="str">
            <v xml:space="preserve">ADAPTADOR SPK OULET CPVC UL/FM 11/4 X1/2 </v>
          </cell>
        </row>
        <row r="574">
          <cell r="A574" t="str">
            <v>ACP-VADSP-1CX0T</v>
          </cell>
          <cell r="B574" t="str">
            <v xml:space="preserve">ADAPTADOR SPK OULET CPVC UL/FM 11/4 X3/4 </v>
          </cell>
        </row>
        <row r="575">
          <cell r="A575" t="str">
            <v>ACP-VADSP-1MX01</v>
          </cell>
          <cell r="B575" t="str">
            <v xml:space="preserve">ADAPTADOR SPK OULET CPVC UL/FM 11/2X 1 </v>
          </cell>
        </row>
        <row r="576">
          <cell r="A576" t="str">
            <v>ACP-VADSP-1MX0M</v>
          </cell>
          <cell r="B576" t="str">
            <v xml:space="preserve">ADAPTADOR SPK OULET CPVC UL/FM 11/2 X1/2 </v>
          </cell>
        </row>
        <row r="577">
          <cell r="A577" t="str">
            <v>ACP-VADSP-1MX0T</v>
          </cell>
          <cell r="B577" t="str">
            <v xml:space="preserve">ADAPTADOR SPK OULET CPVC UL/FM 11/2 X3/4 </v>
          </cell>
        </row>
        <row r="578">
          <cell r="A578" t="str">
            <v>ACP-VBJRD-01X0M</v>
          </cell>
          <cell r="B578" t="str">
            <v xml:space="preserve">BUJE REDUC. CPVC UL/FM 1X 1/2 </v>
          </cell>
        </row>
        <row r="579">
          <cell r="A579" t="str">
            <v>ACP-VBJRD-01X0T</v>
          </cell>
          <cell r="B579" t="str">
            <v xml:space="preserve">BUJE REDUC. CPVC UL/FM 1X 3/4 </v>
          </cell>
        </row>
        <row r="580">
          <cell r="A580" t="str">
            <v>ACP-VBJRD-02X01</v>
          </cell>
          <cell r="B580" t="str">
            <v xml:space="preserve">BUJE REDUC. CPVC UL/FM 2X 1 </v>
          </cell>
        </row>
        <row r="581">
          <cell r="A581" t="str">
            <v>ACP-VBJRD-02X0T</v>
          </cell>
          <cell r="B581" t="str">
            <v xml:space="preserve">BUJE REDUC. CPVC UL/FM 2X 3/4 </v>
          </cell>
        </row>
        <row r="582">
          <cell r="A582" t="str">
            <v>ACP-VBJRD-02X1C</v>
          </cell>
          <cell r="B582" t="str">
            <v xml:space="preserve">BUJE REDUC. CPVC UL/FM 2X 11/4 </v>
          </cell>
        </row>
        <row r="583">
          <cell r="A583" t="str">
            <v>ACP-VBJRD-02X1M</v>
          </cell>
          <cell r="B583" t="str">
            <v xml:space="preserve">BUJE REDUC. CPVC UL/FM 2X 11/2 </v>
          </cell>
        </row>
        <row r="584">
          <cell r="A584" t="str">
            <v>ACP-VBJRD-03X01</v>
          </cell>
          <cell r="B584" t="str">
            <v xml:space="preserve">BUJE REDUC. CPVC UL/FM 3X 1 </v>
          </cell>
        </row>
        <row r="585">
          <cell r="A585" t="str">
            <v>ACP-VBJRD-03X02</v>
          </cell>
          <cell r="B585" t="str">
            <v xml:space="preserve">BUJE REDUC. CPVC UL/FM 3X 2 </v>
          </cell>
        </row>
        <row r="586">
          <cell r="A586" t="str">
            <v>ACP-VBJRD-03X0M</v>
          </cell>
          <cell r="B586" t="str">
            <v xml:space="preserve">BUJE REDUC. CPVC UL/FM 3X 1/2 </v>
          </cell>
        </row>
        <row r="587">
          <cell r="A587" t="str">
            <v>ACP-VBJRD-03X0T</v>
          </cell>
          <cell r="B587" t="str">
            <v xml:space="preserve">BUJE REDUC. CPVC UL/FM 3X 3/4 </v>
          </cell>
        </row>
        <row r="588">
          <cell r="A588" t="str">
            <v>ACP-VBJRD-03X1C</v>
          </cell>
          <cell r="B588" t="str">
            <v xml:space="preserve">BUJE REDUC. CPVC UL/FM 3X 11/4 </v>
          </cell>
        </row>
        <row r="589">
          <cell r="A589" t="str">
            <v>ACP-VBJRD-03X1M</v>
          </cell>
          <cell r="B589" t="str">
            <v xml:space="preserve">BUJE REDUC. CPVC UL/FM 3 X 1 1/2 </v>
          </cell>
        </row>
        <row r="590">
          <cell r="A590" t="str">
            <v>ACP-VBJRD-03X2M</v>
          </cell>
          <cell r="B590" t="str">
            <v>BUJE REDUC. CPVC UL/FM 3 X2 1/2</v>
          </cell>
        </row>
        <row r="591">
          <cell r="A591" t="str">
            <v>ACP-VBJRD-04X01</v>
          </cell>
          <cell r="B591" t="str">
            <v xml:space="preserve">BUJE REDUC. CPVC UL/FM 4X 1 </v>
          </cell>
        </row>
        <row r="592">
          <cell r="A592" t="str">
            <v>ACP-VBJRD-04X02</v>
          </cell>
          <cell r="B592" t="str">
            <v xml:space="preserve">BUJE REDUC. CPVC UL/FM 4X 2 </v>
          </cell>
        </row>
        <row r="593">
          <cell r="A593" t="str">
            <v>ACP-VBJRD-04X03</v>
          </cell>
          <cell r="B593" t="str">
            <v xml:space="preserve">BUJE REDUC. CPVC UL/FM 4X 3 </v>
          </cell>
        </row>
        <row r="594">
          <cell r="A594" t="str">
            <v>ACP-VBJRD-04X1C</v>
          </cell>
          <cell r="B594" t="str">
            <v xml:space="preserve">BUJE REDUC. CPVC UL/FM 4X 11/4 </v>
          </cell>
        </row>
        <row r="595">
          <cell r="A595" t="str">
            <v>ACP-VBJRD-04X1M</v>
          </cell>
          <cell r="B595" t="str">
            <v xml:space="preserve">BUJE REDUC. CPVC UL/FM 4 X11/2 </v>
          </cell>
        </row>
        <row r="596">
          <cell r="A596" t="str">
            <v>ACP-VBJRD-04X2M</v>
          </cell>
          <cell r="B596" t="str">
            <v>BUJE REDUC. CPVC UL/FM 4X 2 1/2</v>
          </cell>
        </row>
        <row r="597">
          <cell r="A597" t="str">
            <v>ACP-VBJRD-06X02</v>
          </cell>
          <cell r="B597" t="str">
            <v xml:space="preserve">BUJE REDUC. CPVC UL/FM 6X 2 </v>
          </cell>
        </row>
        <row r="598">
          <cell r="A598" t="str">
            <v>ACP-VBJRD-06X03</v>
          </cell>
          <cell r="B598" t="str">
            <v xml:space="preserve">BUJE REDUC. CPVC UL/FM 6X 3 </v>
          </cell>
        </row>
        <row r="599">
          <cell r="A599" t="str">
            <v>ACP-VBJRD-06X04</v>
          </cell>
          <cell r="B599" t="str">
            <v xml:space="preserve">BUJE REDUC. CPVC UL/FM 6X 4 </v>
          </cell>
        </row>
        <row r="600">
          <cell r="A600" t="str">
            <v>ACP-VBJRD-06X1C</v>
          </cell>
          <cell r="B600" t="str">
            <v xml:space="preserve">BUJE REDUC. CPVC UL/FM 6 X11/4 </v>
          </cell>
        </row>
        <row r="601">
          <cell r="A601" t="str">
            <v>ACP-VBJRD-06X1M</v>
          </cell>
          <cell r="B601" t="str">
            <v xml:space="preserve">BUJE REDUC. CPVC UL/FM 6 X11/2 </v>
          </cell>
        </row>
        <row r="602">
          <cell r="A602" t="str">
            <v>ACP-VBJRD-06X2M</v>
          </cell>
          <cell r="B602" t="str">
            <v xml:space="preserve">BUJE REDUC. CPVC UL/FM 6 X21/2 </v>
          </cell>
        </row>
        <row r="603">
          <cell r="A603" t="str">
            <v>ACP-VBJRD-08X02</v>
          </cell>
          <cell r="B603" t="str">
            <v xml:space="preserve">BUJE REDUC. CPVC UL/FM 8X 2 </v>
          </cell>
        </row>
        <row r="604">
          <cell r="A604" t="str">
            <v>ACP-VBJRD-08X03</v>
          </cell>
          <cell r="B604" t="str">
            <v xml:space="preserve">BUJE REDUC. CPVC UL/FM 8X 3 </v>
          </cell>
        </row>
        <row r="605">
          <cell r="A605" t="str">
            <v>ACP-VBJRD-08X04</v>
          </cell>
          <cell r="B605" t="str">
            <v xml:space="preserve">BUJE REDUC. CPVC UL/FM 8X 4 </v>
          </cell>
        </row>
        <row r="606">
          <cell r="A606" t="str">
            <v>ACP-VBJRD-08X06</v>
          </cell>
          <cell r="B606" t="str">
            <v xml:space="preserve">BUJE REDUC. CPVC UL/FM 8X 6 </v>
          </cell>
        </row>
        <row r="607">
          <cell r="A607" t="str">
            <v>ACP-VBJRD-08X1M</v>
          </cell>
          <cell r="B607" t="str">
            <v xml:space="preserve">BUJE REDUC. CPVC UL/FM 8X 11/2 </v>
          </cell>
        </row>
        <row r="608">
          <cell r="A608" t="str">
            <v>ACP-VBJRD-08X2M</v>
          </cell>
          <cell r="B608" t="str">
            <v xml:space="preserve">BUJE REDUC. CPVC UL/FM 8X 21/2 </v>
          </cell>
        </row>
        <row r="609">
          <cell r="A609" t="str">
            <v>ACP-VBJRD-1CX01</v>
          </cell>
          <cell r="B609" t="str">
            <v xml:space="preserve">BUJE REDUC. CPVC UL/FM 11/4 X1 </v>
          </cell>
        </row>
        <row r="610">
          <cell r="A610" t="str">
            <v>ACP-VBJRD-1CX0T</v>
          </cell>
          <cell r="B610" t="str">
            <v xml:space="preserve">BUJE REDUC. CPVC UL/FM 11/4 X3/4 </v>
          </cell>
        </row>
        <row r="611">
          <cell r="A611" t="str">
            <v>ACP-VBJRD-1MX01</v>
          </cell>
          <cell r="B611" t="str">
            <v xml:space="preserve">BUJE REDUC. CPVC UL/FM 11/2 X1 </v>
          </cell>
        </row>
        <row r="612">
          <cell r="A612" t="str">
            <v>ACP-VBJRD-1MX0T</v>
          </cell>
          <cell r="B612" t="str">
            <v xml:space="preserve">BUJE REDUC. CPVC UL/FM 11/2 X3/4 </v>
          </cell>
        </row>
        <row r="613">
          <cell r="A613" t="str">
            <v>ACP-VBJRD-1MX1C</v>
          </cell>
          <cell r="B613" t="str">
            <v>BUJE REDUC. CPVC UL/FM 11/2 X11/4</v>
          </cell>
        </row>
        <row r="614">
          <cell r="A614" t="str">
            <v>ACP-VBJRD-2MX01</v>
          </cell>
          <cell r="B614" t="str">
            <v xml:space="preserve">BUJE REDUC. CPVC UL/FM 21/2X 1 </v>
          </cell>
        </row>
        <row r="615">
          <cell r="A615" t="str">
            <v>ACP-VBJRD-2MX02</v>
          </cell>
          <cell r="B615" t="str">
            <v xml:space="preserve">BUJE REDUC. CPVC UL/FM 21/2X 2 </v>
          </cell>
        </row>
        <row r="616">
          <cell r="A616" t="str">
            <v>ACP-VBJRD-2MX1C</v>
          </cell>
          <cell r="B616" t="str">
            <v>BUJE REDUC. CPVC UL/FM 21/2 X11/4</v>
          </cell>
        </row>
        <row r="617">
          <cell r="A617" t="str">
            <v>ACP-VBJRD-2MX1M</v>
          </cell>
          <cell r="B617" t="str">
            <v>BUJE REDUC. CPVC UL/FM 21/2 X11/2</v>
          </cell>
        </row>
        <row r="618">
          <cell r="A618" t="str">
            <v>ACP-VCA10-0T-00</v>
          </cell>
          <cell r="B618" t="str">
            <v>CAÑERIA 10 CPVC UL/FM 3/4</v>
          </cell>
        </row>
        <row r="619">
          <cell r="A619" t="str">
            <v>ACP-VCA15-01-00</v>
          </cell>
          <cell r="B619" t="str">
            <v xml:space="preserve">CAÑERIA 15´ CPVC UL/FM 1 </v>
          </cell>
        </row>
        <row r="620">
          <cell r="A620" t="str">
            <v>ACP-VCA15-02-00</v>
          </cell>
          <cell r="B620" t="str">
            <v xml:space="preserve">CAÑERIA 15´ CPVC UL/FM 2 </v>
          </cell>
        </row>
        <row r="621">
          <cell r="A621" t="str">
            <v>ACP-VCA15-03-00</v>
          </cell>
          <cell r="B621" t="str">
            <v xml:space="preserve">CAÑERIA 15´ CPVC UL/FM 3 </v>
          </cell>
        </row>
        <row r="622">
          <cell r="A622" t="str">
            <v>ACP-VCA15-0T-00</v>
          </cell>
          <cell r="B622" t="str">
            <v xml:space="preserve">CAÑERIA 15´ CPVC UL/FM 3/4 </v>
          </cell>
        </row>
        <row r="623">
          <cell r="A623" t="str">
            <v>ACP-VCA15-1C-00</v>
          </cell>
          <cell r="B623" t="str">
            <v xml:space="preserve">CAÑERIA 15´ CPVC UL/FM 1 1/4 </v>
          </cell>
        </row>
        <row r="624">
          <cell r="A624" t="str">
            <v>ACP-VCA15-1M-00</v>
          </cell>
          <cell r="B624" t="str">
            <v xml:space="preserve">CAÑERIA 15´ CPVC UL/FM 1 1/2 </v>
          </cell>
        </row>
        <row r="625">
          <cell r="A625" t="str">
            <v>ACP-VCA15-2M-00</v>
          </cell>
          <cell r="B625" t="str">
            <v xml:space="preserve">CAÑERIA 15´ CPVC UL/FM 2 1/2 </v>
          </cell>
        </row>
        <row r="626">
          <cell r="A626" t="str">
            <v>ACPVCBISELADORA</v>
          </cell>
          <cell r="B626" t="str">
            <v xml:space="preserve">BISELADORACPVC </v>
          </cell>
        </row>
        <row r="627">
          <cell r="A627" t="str">
            <v>ACPVCCORTATUBOS</v>
          </cell>
          <cell r="B627" t="str">
            <v xml:space="preserve">CORTA TUBO CPVC </v>
          </cell>
        </row>
        <row r="628">
          <cell r="A628" t="str">
            <v>ACP-VCCRZ-01-00</v>
          </cell>
          <cell r="B628" t="str">
            <v xml:space="preserve">CRUZETA CPVC UL/FM 1 </v>
          </cell>
        </row>
        <row r="629">
          <cell r="A629" t="str">
            <v>ACP-VCCRZ-02-00</v>
          </cell>
          <cell r="B629" t="str">
            <v xml:space="preserve">CRUZETA CPVC UL/FM 2 </v>
          </cell>
        </row>
        <row r="630">
          <cell r="A630" t="str">
            <v>ACP-VCCRZ-03-00</v>
          </cell>
          <cell r="B630" t="str">
            <v xml:space="preserve">CRUZETA CPVC UL/FM 3 </v>
          </cell>
        </row>
        <row r="631">
          <cell r="A631" t="str">
            <v>ACP-VCCRZ-0T-00</v>
          </cell>
          <cell r="B631" t="str">
            <v xml:space="preserve">CRUZETA CPVC UL/FM 3/4 </v>
          </cell>
        </row>
        <row r="632">
          <cell r="A632" t="str">
            <v>ACP-VCCRZ-1C-00</v>
          </cell>
          <cell r="B632" t="str">
            <v xml:space="preserve">CRUZETA CPVC UL/FM 1 1/4 </v>
          </cell>
        </row>
        <row r="633">
          <cell r="A633" t="str">
            <v>ACP-VCCRZ-1M-00</v>
          </cell>
          <cell r="B633" t="str">
            <v xml:space="preserve">CRUZETA CPVC UL/FM 1 1/2 </v>
          </cell>
        </row>
        <row r="634">
          <cell r="A634" t="str">
            <v>ACP-VCCRZ-2M-00</v>
          </cell>
          <cell r="B634" t="str">
            <v xml:space="preserve">CRUZETA CPVC UL/FM 2 1/2 </v>
          </cell>
        </row>
        <row r="635">
          <cell r="A635" t="str">
            <v>ACP-VCO45-01-00</v>
          </cell>
          <cell r="B635" t="str">
            <v xml:space="preserve">CODO 45º CPVC UL/FM 1 </v>
          </cell>
        </row>
        <row r="636">
          <cell r="A636" t="str">
            <v>ACP-VCO45-02-00</v>
          </cell>
          <cell r="B636" t="str">
            <v xml:space="preserve">CODO 45º CPVC UL/FM 2 </v>
          </cell>
        </row>
        <row r="637">
          <cell r="A637" t="str">
            <v>ACP-VCO45-03-00</v>
          </cell>
          <cell r="B637" t="str">
            <v xml:space="preserve">CODO 45º CPVC UL/FM 3 </v>
          </cell>
        </row>
        <row r="638">
          <cell r="A638" t="str">
            <v>ACP-VCO45-04-00</v>
          </cell>
          <cell r="B638" t="str">
            <v xml:space="preserve">CODO 45º CPVC UL/FM 4 </v>
          </cell>
        </row>
        <row r="639">
          <cell r="A639" t="str">
            <v>ACP-VCO45-05-00</v>
          </cell>
          <cell r="B639" t="str">
            <v xml:space="preserve">CODO 45º CPVC UL/FM 5 </v>
          </cell>
        </row>
        <row r="640">
          <cell r="A640" t="str">
            <v>ACP-VCO45-06-00</v>
          </cell>
          <cell r="B640" t="str">
            <v xml:space="preserve">CODO 45º CPVC UL/FM 6 </v>
          </cell>
        </row>
        <row r="641">
          <cell r="A641" t="str">
            <v>ACP-VCO45-08-00</v>
          </cell>
          <cell r="B641" t="str">
            <v xml:space="preserve">CODO 45º CPVC UL/FM 8 </v>
          </cell>
        </row>
        <row r="642">
          <cell r="A642" t="str">
            <v>ACP-VCO45-0C-00</v>
          </cell>
          <cell r="B642" t="str">
            <v xml:space="preserve">CODO 45º CPVC UL/FM 1/4 </v>
          </cell>
        </row>
        <row r="643">
          <cell r="A643" t="str">
            <v>ACP-VCO45-0M-00</v>
          </cell>
          <cell r="B643" t="str">
            <v xml:space="preserve">CODO 45º CPVC UL/FM 1/2 </v>
          </cell>
        </row>
        <row r="644">
          <cell r="A644" t="str">
            <v>ACP-VCO45-0T-00</v>
          </cell>
          <cell r="B644" t="str">
            <v xml:space="preserve">CODO 45º CPVC UL/FM 3/4 </v>
          </cell>
        </row>
        <row r="645">
          <cell r="A645" t="str">
            <v>ACP-VCO45-10-00</v>
          </cell>
          <cell r="B645" t="str">
            <v xml:space="preserve">CODO 45º CPVC UL/FM 10 </v>
          </cell>
        </row>
        <row r="646">
          <cell r="A646" t="str">
            <v>ACP-VCO45-12-00</v>
          </cell>
          <cell r="B646" t="str">
            <v xml:space="preserve">CODO 45º CPVC UL/FM 12 </v>
          </cell>
        </row>
        <row r="647">
          <cell r="A647" t="str">
            <v>ACP-VCO45-1C-00</v>
          </cell>
          <cell r="B647" t="str">
            <v xml:space="preserve">CODO 45º CPVC UL/FM 1 1/4 </v>
          </cell>
        </row>
        <row r="648">
          <cell r="A648" t="str">
            <v>ACP-VCO45-1M-00</v>
          </cell>
          <cell r="B648" t="str">
            <v xml:space="preserve">CODO 45º CPVC UL/FM 1 1/2 </v>
          </cell>
        </row>
        <row r="649">
          <cell r="A649" t="str">
            <v>ACP-VCO45-2M-00</v>
          </cell>
          <cell r="B649" t="str">
            <v xml:space="preserve">CODO 45º CPVC UL/FM 2 1/2 </v>
          </cell>
        </row>
        <row r="650">
          <cell r="A650" t="str">
            <v>ACP-VCO45-3M-00</v>
          </cell>
          <cell r="B650" t="str">
            <v xml:space="preserve">CODO 45º CPVC UL/FM 3 1/2 </v>
          </cell>
        </row>
        <row r="651">
          <cell r="A651" t="str">
            <v>ACP-VCO90-01-00</v>
          </cell>
          <cell r="B651" t="str">
            <v xml:space="preserve">CODO 90º CVPC UL/FM 1 </v>
          </cell>
        </row>
        <row r="652">
          <cell r="A652" t="str">
            <v>ACP-VCO90-02-00</v>
          </cell>
          <cell r="B652" t="str">
            <v xml:space="preserve">CODO 90º CVPC UL/FM 2 </v>
          </cell>
        </row>
        <row r="653">
          <cell r="A653" t="str">
            <v>ACP-VCO90-03-00</v>
          </cell>
          <cell r="B653" t="str">
            <v xml:space="preserve">CODO 90º CVPC UL/FM 3 </v>
          </cell>
        </row>
        <row r="654">
          <cell r="A654" t="str">
            <v>ACP-VCO90-04-00</v>
          </cell>
          <cell r="B654" t="str">
            <v xml:space="preserve">CODO 90º CVPC UL/FM 4 </v>
          </cell>
        </row>
        <row r="655">
          <cell r="A655" t="str">
            <v>ACP-VCO90-05-00</v>
          </cell>
          <cell r="B655" t="str">
            <v xml:space="preserve">CODO 90º CVPC UL/FM 5 </v>
          </cell>
        </row>
        <row r="656">
          <cell r="A656" t="str">
            <v>ACP-VCO90-06-00</v>
          </cell>
          <cell r="B656" t="str">
            <v xml:space="preserve">CODO 90º CVPC UL/FM 6 </v>
          </cell>
        </row>
        <row r="657">
          <cell r="A657" t="str">
            <v>ACP-VCO90-08-00</v>
          </cell>
          <cell r="B657" t="str">
            <v xml:space="preserve">CODO 90º CVPC UL/FM 8 </v>
          </cell>
        </row>
        <row r="658">
          <cell r="A658" t="str">
            <v>ACP-VCO90-0C-00</v>
          </cell>
          <cell r="B658" t="str">
            <v xml:space="preserve">CODO 90º CVPC UL/FM 1/4 </v>
          </cell>
        </row>
        <row r="659">
          <cell r="A659" t="str">
            <v>ACP-VCO90-0M-00</v>
          </cell>
          <cell r="B659" t="str">
            <v xml:space="preserve">CODO 90º CVPC UL/FM 1/2 </v>
          </cell>
        </row>
        <row r="660">
          <cell r="A660" t="str">
            <v>ACP-VCO90-0T-00</v>
          </cell>
          <cell r="B660" t="str">
            <v xml:space="preserve">CODO 90º CVPC UL/FM 3/4 </v>
          </cell>
        </row>
        <row r="661">
          <cell r="A661" t="str">
            <v>ACP-VCO90-10-00</v>
          </cell>
          <cell r="B661" t="str">
            <v xml:space="preserve">CODO 90º CVPC UL/FM 10 </v>
          </cell>
        </row>
        <row r="662">
          <cell r="A662" t="str">
            <v>ACP-VCO90-12-00</v>
          </cell>
          <cell r="B662" t="str">
            <v xml:space="preserve">CODO 90º CVPC UL/FM 12 </v>
          </cell>
        </row>
        <row r="663">
          <cell r="A663" t="str">
            <v>ACP-VCO90-1C-00</v>
          </cell>
          <cell r="B663" t="str">
            <v xml:space="preserve">CODO 90º CVPC UL/FM 1 1/4 </v>
          </cell>
        </row>
        <row r="664">
          <cell r="A664" t="str">
            <v>ACP-VCO90-1M-00</v>
          </cell>
          <cell r="B664" t="str">
            <v xml:space="preserve">CODO 90º CVPC UL/FM 1 1/2 </v>
          </cell>
        </row>
        <row r="665">
          <cell r="A665" t="str">
            <v>ACP-VCO90-2M-00</v>
          </cell>
          <cell r="B665" t="str">
            <v xml:space="preserve">CODO 90º CVPC UL/FM 2 1/2 </v>
          </cell>
        </row>
        <row r="666">
          <cell r="A666" t="str">
            <v>ACP-VCO90-3M-00</v>
          </cell>
          <cell r="B666" t="str">
            <v xml:space="preserve">CODO 90º CVPC UL/FM 3 1/2 </v>
          </cell>
        </row>
        <row r="667">
          <cell r="A667" t="str">
            <v>ACP-VCORED-010M</v>
          </cell>
          <cell r="B667" t="str">
            <v xml:space="preserve">CODO RED. SPK CVPC UL/FM 1X1/2 </v>
          </cell>
        </row>
        <row r="668">
          <cell r="A668" t="str">
            <v>ACP-VCORED-0T0M</v>
          </cell>
          <cell r="B668" t="str">
            <v xml:space="preserve">CODO REDSPK CVPC UL/FM 3/4X1/2 </v>
          </cell>
        </row>
        <row r="669">
          <cell r="A669" t="str">
            <v>ACP-VCPCV-08-00</v>
          </cell>
          <cell r="B669" t="str">
            <v xml:space="preserve">CUPLA CPVC UL/FM 8 </v>
          </cell>
        </row>
        <row r="670">
          <cell r="A670" t="str">
            <v>ACPVCPEGAMENTPT</v>
          </cell>
          <cell r="B670" t="str">
            <v xml:space="preserve">PEGAMENTO PINT CPVC </v>
          </cell>
        </row>
        <row r="671">
          <cell r="A671" t="str">
            <v>ACPVCPEGAMENTQT</v>
          </cell>
          <cell r="B671" t="str">
            <v xml:space="preserve">PEGAMENTO QUART CPVC </v>
          </cell>
        </row>
        <row r="672">
          <cell r="A672" t="str">
            <v>ACP-VCPRD-01X0M</v>
          </cell>
          <cell r="B672" t="str">
            <v xml:space="preserve">CUPLA REDUCCION CPVC UL/FM 1 X1/2 </v>
          </cell>
        </row>
        <row r="673">
          <cell r="A673" t="str">
            <v>ACP-VCPRD-01X0T</v>
          </cell>
          <cell r="B673" t="str">
            <v xml:space="preserve">CUPLA REDUCCION CPVC UL/FM 1X 3/4 </v>
          </cell>
        </row>
        <row r="674">
          <cell r="A674" t="str">
            <v>ACP-VCPVC-02-00</v>
          </cell>
          <cell r="B674" t="str">
            <v xml:space="preserve">CUPLA CPVC UL/FM 2 </v>
          </cell>
        </row>
        <row r="675">
          <cell r="A675" t="str">
            <v>ACP-VCPVC-03-00</v>
          </cell>
          <cell r="B675" t="str">
            <v xml:space="preserve">CUPLA CPVC UL/FM 3 </v>
          </cell>
        </row>
        <row r="676">
          <cell r="A676" t="str">
            <v>ACP-VCPVC-04-00</v>
          </cell>
          <cell r="B676" t="str">
            <v xml:space="preserve">CUPLA CPVC UL/FM 4 </v>
          </cell>
        </row>
        <row r="677">
          <cell r="A677" t="str">
            <v>ACP-VCPVC-05-00</v>
          </cell>
          <cell r="B677" t="str">
            <v xml:space="preserve">CUPLA CPVC UL/FM 5 </v>
          </cell>
        </row>
        <row r="678">
          <cell r="A678" t="str">
            <v>ACP-VCPVC-06-00</v>
          </cell>
          <cell r="B678" t="str">
            <v xml:space="preserve">CUPLA CPVC UL/FM 6 </v>
          </cell>
        </row>
        <row r="679">
          <cell r="A679" t="str">
            <v>ACP-VCPVC-0C-00</v>
          </cell>
          <cell r="B679" t="str">
            <v xml:space="preserve">CUPLA CPVC UL/FM 1/4 </v>
          </cell>
        </row>
        <row r="680">
          <cell r="A680" t="str">
            <v>ACP-VCPVC-0M-00</v>
          </cell>
          <cell r="B680" t="str">
            <v xml:space="preserve">CUPLA CPVC UL/FM 1/2 </v>
          </cell>
        </row>
        <row r="681">
          <cell r="A681" t="str">
            <v>ACP-VCPVC-0T-00</v>
          </cell>
          <cell r="B681" t="str">
            <v>CUPLA CPVC UL/FM 3/4 P/N 80075</v>
          </cell>
        </row>
        <row r="682">
          <cell r="A682" t="str">
            <v>ACP-VCPVC-10-00</v>
          </cell>
          <cell r="B682" t="str">
            <v xml:space="preserve">CUPLA CPVC UL/FM 10 </v>
          </cell>
        </row>
        <row r="683">
          <cell r="A683" t="str">
            <v>ACP-VCPVC-12-00</v>
          </cell>
          <cell r="B683" t="str">
            <v xml:space="preserve">CUPLA CPVC UL/FM 12 </v>
          </cell>
        </row>
        <row r="684">
          <cell r="A684" t="str">
            <v>ACP-VCPVC-1C-00</v>
          </cell>
          <cell r="B684" t="str">
            <v xml:space="preserve">CUPLA CPVC UL/FM 1 1/4 </v>
          </cell>
        </row>
        <row r="685">
          <cell r="A685" t="str">
            <v>ACP-VCPVC-1M-00</v>
          </cell>
          <cell r="B685" t="str">
            <v xml:space="preserve">CUPLA CPVC UL/FM 1 1/2 </v>
          </cell>
        </row>
        <row r="686">
          <cell r="A686" t="str">
            <v>ACP-VCPVC-2M-00</v>
          </cell>
          <cell r="B686" t="str">
            <v xml:space="preserve">CUPLA CPVC UL/FM 2 1/2 </v>
          </cell>
        </row>
        <row r="687">
          <cell r="A687" t="str">
            <v>ACP-VCPVC-3M-00</v>
          </cell>
          <cell r="B687" t="str">
            <v xml:space="preserve">CUPLA CPVC UL/FM 3 1/2 </v>
          </cell>
        </row>
        <row r="688">
          <cell r="A688" t="str">
            <v>ACP-VC-SELLADOR</v>
          </cell>
          <cell r="B688" t="str">
            <v xml:space="preserve">SELLADOR CPVC </v>
          </cell>
        </row>
        <row r="689">
          <cell r="A689" t="str">
            <v>ACPVCTRED01010T</v>
          </cell>
          <cell r="B689" t="str">
            <v xml:space="preserve">TEE RED. CPVC UL/FM 1X1X3/4 </v>
          </cell>
        </row>
        <row r="690">
          <cell r="A690" t="str">
            <v>ACPVCTRED010T01</v>
          </cell>
          <cell r="B690" t="str">
            <v xml:space="preserve">TEE RED. CPVC UL/FM 1X3/4X1 </v>
          </cell>
        </row>
        <row r="691">
          <cell r="A691" t="str">
            <v>ACPVCTRED010T0T</v>
          </cell>
          <cell r="B691" t="str">
            <v xml:space="preserve">TEE RED. CPVC UL/FM 1X3/4X3/4 </v>
          </cell>
        </row>
        <row r="692">
          <cell r="A692" t="str">
            <v>ACPVCTRED020201</v>
          </cell>
          <cell r="B692" t="str">
            <v xml:space="preserve">TEE RED. CPVC UL/FM 2X2X1 </v>
          </cell>
        </row>
        <row r="693">
          <cell r="A693" t="str">
            <v>ACPVCTRED02020T</v>
          </cell>
          <cell r="B693" t="str">
            <v xml:space="preserve">TEE RED. CPVC UL/FM 2X2X3/4 </v>
          </cell>
        </row>
        <row r="694">
          <cell r="A694" t="str">
            <v>ACPVCTRED02021C</v>
          </cell>
          <cell r="B694" t="str">
            <v xml:space="preserve">TEE RED. CPVC UL/FM 2X2X11/4 </v>
          </cell>
        </row>
        <row r="695">
          <cell r="A695" t="str">
            <v>ACPVCTRED02021M</v>
          </cell>
          <cell r="B695" t="str">
            <v xml:space="preserve">TEE RED. CPVC UL/FM 2X2X11/2 </v>
          </cell>
        </row>
        <row r="696">
          <cell r="A696" t="str">
            <v>ACPVCTRED030302</v>
          </cell>
          <cell r="B696" t="str">
            <v xml:space="preserve">TEE RED. CPVC UL/FM 3X3X2 </v>
          </cell>
        </row>
        <row r="697">
          <cell r="A697" t="str">
            <v>ACPVCTRED03031M</v>
          </cell>
          <cell r="B697" t="str">
            <v xml:space="preserve">TEE RED. CPVC UL/FM 3X3X11/2 </v>
          </cell>
        </row>
        <row r="698">
          <cell r="A698" t="str">
            <v>ACPVCTRED03032M</v>
          </cell>
          <cell r="B698" t="str">
            <v xml:space="preserve">TEE RED. CPVC UL/FM 3X3X21/2 </v>
          </cell>
        </row>
        <row r="699">
          <cell r="A699" t="str">
            <v>ACPVCTRED0T0T01</v>
          </cell>
          <cell r="B699" t="str">
            <v xml:space="preserve">TEE RED. CPVC UL/FM 3/4X3/4X1 </v>
          </cell>
        </row>
        <row r="700">
          <cell r="A700" t="str">
            <v>ACPVCTRED1C0101</v>
          </cell>
          <cell r="B700" t="str">
            <v xml:space="preserve">TEE RED. CPVC UL/FM 11/4X1X1 </v>
          </cell>
        </row>
        <row r="701">
          <cell r="A701" t="str">
            <v>ACPVCTRED1C010T</v>
          </cell>
          <cell r="B701" t="str">
            <v xml:space="preserve">TEE RED. CPVC UL/FM 11/4X1X3/4 </v>
          </cell>
        </row>
        <row r="702">
          <cell r="A702" t="str">
            <v>ACPVCTRED1C011C</v>
          </cell>
          <cell r="B702" t="str">
            <v xml:space="preserve">TEE RED CPVC UL/FM 11/4X1X11/4 </v>
          </cell>
        </row>
        <row r="703">
          <cell r="A703" t="str">
            <v>ACPVCTRED1C1C01</v>
          </cell>
          <cell r="B703" t="str">
            <v xml:space="preserve">TEE RED CPVC 11/4X11/4X1 </v>
          </cell>
        </row>
        <row r="704">
          <cell r="A704" t="str">
            <v>ACPVCTRED1C1C0M</v>
          </cell>
          <cell r="B704" t="str">
            <v xml:space="preserve">TEE RED CPVC 11/4X11/4X1/2 </v>
          </cell>
        </row>
        <row r="705">
          <cell r="A705" t="str">
            <v>ACPVCTRED1C1C0T</v>
          </cell>
          <cell r="B705" t="str">
            <v xml:space="preserve">TEE RED CPVC 11/4X11/4X3/4 </v>
          </cell>
        </row>
        <row r="706">
          <cell r="A706" t="str">
            <v>ACPVCTRED1C1C1M</v>
          </cell>
          <cell r="B706" t="str">
            <v xml:space="preserve">TEE RED CPVC 11/4X11/4X11/2 </v>
          </cell>
        </row>
        <row r="707">
          <cell r="A707" t="str">
            <v>ACPVCTRED1M1C01</v>
          </cell>
          <cell r="B707" t="str">
            <v xml:space="preserve">TEE RED CPVC 11/2X11/4X1 </v>
          </cell>
        </row>
        <row r="708">
          <cell r="A708" t="str">
            <v>ACPVCTRED1M1C0T</v>
          </cell>
          <cell r="B708" t="str">
            <v xml:space="preserve">TEE RED CPVC 11/2X11/4X3/4 </v>
          </cell>
        </row>
        <row r="709">
          <cell r="A709" t="str">
            <v>ACPVCTRED1M1M01</v>
          </cell>
          <cell r="B709" t="str">
            <v xml:space="preserve">TEE RED CPVC 11/2X11/2X1 </v>
          </cell>
        </row>
        <row r="710">
          <cell r="A710" t="str">
            <v>ACPVCTRED1M1M0T</v>
          </cell>
          <cell r="B710" t="str">
            <v xml:space="preserve">TEE RED CPVC 11/2X11/2X3/4 </v>
          </cell>
        </row>
        <row r="711">
          <cell r="A711" t="str">
            <v>ACPVCTRED1M1M1C</v>
          </cell>
          <cell r="B711" t="str">
            <v xml:space="preserve">TEE RED. CPVC 11/2X11/2X11/4 </v>
          </cell>
        </row>
        <row r="712">
          <cell r="A712" t="str">
            <v>ACPVCTRED2M2M01</v>
          </cell>
          <cell r="B712" t="str">
            <v xml:space="preserve">TEE RED. CPVC 21/2X21/2X1 </v>
          </cell>
        </row>
        <row r="713">
          <cell r="A713" t="str">
            <v>ACPVCTRED2M2M02</v>
          </cell>
          <cell r="B713" t="str">
            <v xml:space="preserve">TEE RED. CPVC 21/2X21/2X2 </v>
          </cell>
        </row>
        <row r="714">
          <cell r="A714" t="str">
            <v>ACPVCTRED2M2M1C</v>
          </cell>
          <cell r="B714" t="str">
            <v xml:space="preserve">TEE RED. CPVC 21/2X21/2X11/4 </v>
          </cell>
        </row>
        <row r="715">
          <cell r="A715" t="str">
            <v>ACPVCTRED2M2M1M</v>
          </cell>
          <cell r="B715" t="str">
            <v xml:space="preserve">TEE RED. CPVC 21/2X21/2X11/2 </v>
          </cell>
        </row>
        <row r="716">
          <cell r="A716" t="str">
            <v>ACP-VCUPL-01-00</v>
          </cell>
          <cell r="B716" t="str">
            <v xml:space="preserve">CUPLA CPVC UL/FM 1 </v>
          </cell>
        </row>
        <row r="717">
          <cell r="A717" t="str">
            <v>ACP-VTAPA-01-00</v>
          </cell>
          <cell r="B717" t="str">
            <v xml:space="preserve">TAPA CPVC UL/FM 1 </v>
          </cell>
        </row>
        <row r="718">
          <cell r="A718" t="str">
            <v>ACP-VTAPA-02-00</v>
          </cell>
          <cell r="B718" t="str">
            <v xml:space="preserve">TAPA CPVC UL/FM 2 </v>
          </cell>
        </row>
        <row r="719">
          <cell r="A719" t="str">
            <v>ACP-VTAPA-03-00</v>
          </cell>
          <cell r="B719" t="str">
            <v xml:space="preserve">TAPA CPVC UL/FM 3 </v>
          </cell>
        </row>
        <row r="720">
          <cell r="A720" t="str">
            <v>ACP-VTAPA-04-00</v>
          </cell>
          <cell r="B720" t="str">
            <v xml:space="preserve">TAPA CPVC UL/FM 4 </v>
          </cell>
        </row>
        <row r="721">
          <cell r="A721" t="str">
            <v>ACP-VTAPA-05-00</v>
          </cell>
          <cell r="B721" t="str">
            <v xml:space="preserve">TAPA CPVC UL/FM 5 </v>
          </cell>
        </row>
        <row r="722">
          <cell r="A722" t="str">
            <v>ACP-VTAPA-06-00</v>
          </cell>
          <cell r="B722" t="str">
            <v xml:space="preserve">TAPA CPVC UL/FM 6 </v>
          </cell>
        </row>
        <row r="723">
          <cell r="A723" t="str">
            <v>ACP-VTAPA-08-00</v>
          </cell>
          <cell r="B723" t="str">
            <v xml:space="preserve">TAPA CPVC UL/FM 8 </v>
          </cell>
        </row>
        <row r="724">
          <cell r="A724" t="str">
            <v>ACP-VTAPA-0C-00</v>
          </cell>
          <cell r="B724" t="str">
            <v xml:space="preserve">TAPA CPVC UL/FM 1/4 </v>
          </cell>
        </row>
        <row r="725">
          <cell r="A725" t="str">
            <v>ACP-VTAPA-0M-00</v>
          </cell>
          <cell r="B725" t="str">
            <v xml:space="preserve">TAPA CPVC UL/FM 1/2 </v>
          </cell>
        </row>
        <row r="726">
          <cell r="A726" t="str">
            <v>ACP-VTAPA-0T-00</v>
          </cell>
          <cell r="B726" t="str">
            <v xml:space="preserve">TAPA CPVC UL/FM 3/4 </v>
          </cell>
        </row>
        <row r="727">
          <cell r="A727" t="str">
            <v>ACP-VTAPA-10-00</v>
          </cell>
          <cell r="B727" t="str">
            <v xml:space="preserve">TAPA CPVC UL/FM 10 </v>
          </cell>
        </row>
        <row r="728">
          <cell r="A728" t="str">
            <v>ACP-VTAPA-12-00</v>
          </cell>
          <cell r="B728" t="str">
            <v xml:space="preserve">TAPA CPVC UL/FM 12 </v>
          </cell>
        </row>
        <row r="729">
          <cell r="A729" t="str">
            <v>ACP-VTAPA-1C-00</v>
          </cell>
          <cell r="B729" t="str">
            <v xml:space="preserve">TAPA CPVC UL/FM 1 1/4 </v>
          </cell>
        </row>
        <row r="730">
          <cell r="A730" t="str">
            <v>ACP-VTAPA-1M-00</v>
          </cell>
          <cell r="B730" t="str">
            <v xml:space="preserve">TAPA CPVC UL/FM 1 1/2 </v>
          </cell>
        </row>
        <row r="731">
          <cell r="A731" t="str">
            <v>ACP-VTAPA-2M-00</v>
          </cell>
          <cell r="B731" t="str">
            <v xml:space="preserve">TAPA CPVC UL/FM 2 1/2 </v>
          </cell>
        </row>
        <row r="732">
          <cell r="A732" t="str">
            <v>ACP-VTAPA-3M-00</v>
          </cell>
          <cell r="B732" t="str">
            <v xml:space="preserve">TAPA CPVC UL/FM 3 1/2 </v>
          </cell>
        </row>
        <row r="733">
          <cell r="A733" t="str">
            <v>ACP-VTNOR-01-00</v>
          </cell>
          <cell r="B733" t="str">
            <v xml:space="preserve">TEE NORMAL CPVC UL/FM 1 </v>
          </cell>
        </row>
        <row r="734">
          <cell r="A734" t="str">
            <v>ACP-VTNOR-02-00</v>
          </cell>
          <cell r="B734" t="str">
            <v xml:space="preserve">TEE NORMAL CPVC UL/FM 2 </v>
          </cell>
        </row>
        <row r="735">
          <cell r="A735" t="str">
            <v>ACP-VTNOR-03-00</v>
          </cell>
          <cell r="B735" t="str">
            <v xml:space="preserve">TEE NORMAL CPVC UL/FM 3 </v>
          </cell>
        </row>
        <row r="736">
          <cell r="A736" t="str">
            <v>ACP-VTNOR-04-00</v>
          </cell>
          <cell r="B736" t="str">
            <v xml:space="preserve">TEE NORMAL CPVC UL/FM 4 </v>
          </cell>
        </row>
        <row r="737">
          <cell r="A737" t="str">
            <v>ACP-VTNOR-05-00</v>
          </cell>
          <cell r="B737" t="str">
            <v xml:space="preserve">TEE NORMAL CPVC UL/FM 5 </v>
          </cell>
        </row>
        <row r="738">
          <cell r="A738" t="str">
            <v>ACP-VTNOR-06-00</v>
          </cell>
          <cell r="B738" t="str">
            <v xml:space="preserve">TEE NORMAL CPVC UL/FM 6 </v>
          </cell>
        </row>
        <row r="739">
          <cell r="A739" t="str">
            <v>ACP-VTNOR-08-00</v>
          </cell>
          <cell r="B739" t="str">
            <v xml:space="preserve">TEE NORMAL CPVC UL/FM 8 </v>
          </cell>
        </row>
        <row r="740">
          <cell r="A740" t="str">
            <v>ACP-VTNOR-0C-00</v>
          </cell>
          <cell r="B740" t="str">
            <v xml:space="preserve">TEE NORMAL CPVC UL/FM 1/4 </v>
          </cell>
        </row>
        <row r="741">
          <cell r="A741" t="str">
            <v>ACP-VTNOR-0M-00</v>
          </cell>
          <cell r="B741" t="str">
            <v xml:space="preserve">TEE NORMAL CPVC UL/FM 1/2 </v>
          </cell>
        </row>
        <row r="742">
          <cell r="A742" t="str">
            <v>ACP-VTNOR-0T-00</v>
          </cell>
          <cell r="B742" t="str">
            <v xml:space="preserve">TEE NORMAL CPVC UL/FM 3/4 </v>
          </cell>
        </row>
        <row r="743">
          <cell r="A743" t="str">
            <v>ACP-VTNOR-10-00</v>
          </cell>
          <cell r="B743" t="str">
            <v xml:space="preserve">TEE NORMAL CPVC UL/FM 10 </v>
          </cell>
        </row>
        <row r="744">
          <cell r="A744" t="str">
            <v>ACP-VTNOR-12-00</v>
          </cell>
          <cell r="B744" t="str">
            <v xml:space="preserve">TEE NORMAL CPVC UL/FM 12 </v>
          </cell>
        </row>
        <row r="745">
          <cell r="A745" t="str">
            <v>ACP-VTNOR-1C-00</v>
          </cell>
          <cell r="B745" t="str">
            <v xml:space="preserve">TEE NORMAL CPVC UL/FM 1 1/4 </v>
          </cell>
        </row>
        <row r="746">
          <cell r="A746" t="str">
            <v>ACP-VTNOR-1M-00</v>
          </cell>
          <cell r="B746" t="str">
            <v xml:space="preserve">TEE NORMAL CPVC UL/FM 1 1/2 </v>
          </cell>
        </row>
        <row r="747">
          <cell r="A747" t="str">
            <v>ACP-VTNOR-2M-00</v>
          </cell>
          <cell r="B747" t="str">
            <v xml:space="preserve">TEE NORMAL CPVC UL/FM 2 1/2 </v>
          </cell>
        </row>
        <row r="748">
          <cell r="A748" t="str">
            <v>ACP-VTNOR-3M-00</v>
          </cell>
          <cell r="B748" t="str">
            <v xml:space="preserve">TEE NORMAL CPVC UL/FM 3 1/2 </v>
          </cell>
        </row>
        <row r="749">
          <cell r="A749" t="str">
            <v>ACP-VTRED-01X0M</v>
          </cell>
          <cell r="B749" t="str">
            <v xml:space="preserve">TEE REDUCTORA CPVC UL/FM 1X 1/2 </v>
          </cell>
        </row>
        <row r="750">
          <cell r="A750" t="str">
            <v>ACP-VTRED-02X01</v>
          </cell>
          <cell r="B750" t="str">
            <v xml:space="preserve">TEE REDUCTORA CPVC UL/FM 2X 1 </v>
          </cell>
        </row>
        <row r="751">
          <cell r="A751" t="str">
            <v>ACP-VTRED-02X1C</v>
          </cell>
          <cell r="B751" t="str">
            <v xml:space="preserve">TEE REDUCTORA CPVC UL/FM 2X 11/4 </v>
          </cell>
        </row>
        <row r="752">
          <cell r="A752" t="str">
            <v>ACP-VTRED-02X1M</v>
          </cell>
          <cell r="B752" t="str">
            <v xml:space="preserve">TEE REDUCTORA CPVC UL/FM 2X 11/2 </v>
          </cell>
        </row>
        <row r="753">
          <cell r="A753" t="str">
            <v>ACP-VTRED-03X01</v>
          </cell>
          <cell r="B753" t="str">
            <v xml:space="preserve">TEE REDUCTORA CPVC UL/FM 3X 1 </v>
          </cell>
        </row>
        <row r="754">
          <cell r="A754" t="str">
            <v>ACP-VTRED-03X02</v>
          </cell>
          <cell r="B754" t="str">
            <v xml:space="preserve">TEE REDUCTORA CPVC UL/FM 3X 2 </v>
          </cell>
        </row>
        <row r="755">
          <cell r="A755" t="str">
            <v>ACP-VTRED-03X0M</v>
          </cell>
          <cell r="B755" t="str">
            <v xml:space="preserve">TEE REDUCTORA CPVC UL/FM 3X 1/2 </v>
          </cell>
        </row>
        <row r="756">
          <cell r="A756" t="str">
            <v>ACP-VTRED-03X0T</v>
          </cell>
          <cell r="B756" t="str">
            <v xml:space="preserve">TEE REDUCTORA CPVC UL/FM 3X 3/4 </v>
          </cell>
        </row>
        <row r="757">
          <cell r="A757" t="str">
            <v>ACP-VTRED-03X1C</v>
          </cell>
          <cell r="B757" t="str">
            <v xml:space="preserve">TEE REDUCTORA CPVC UL/FM 3X 11/4 </v>
          </cell>
        </row>
        <row r="758">
          <cell r="A758" t="str">
            <v>ACP-VTRED-03X1M</v>
          </cell>
          <cell r="B758" t="str">
            <v xml:space="preserve">TEE REDUCTORA CPVC UL/FM 3 X 1 1/2 </v>
          </cell>
        </row>
        <row r="759">
          <cell r="A759" t="str">
            <v>ACP-VTRED-03X2M</v>
          </cell>
          <cell r="B759" t="str">
            <v>TEE REDUCTORA CPVC UL/FM 3 X2 1/2</v>
          </cell>
        </row>
        <row r="760">
          <cell r="A760" t="str">
            <v>ACP-VTRED-04X01</v>
          </cell>
          <cell r="B760" t="str">
            <v xml:space="preserve">TEE REDUCTORA CPVC UL/FM 4X 1 </v>
          </cell>
        </row>
        <row r="761">
          <cell r="A761" t="str">
            <v>ACP-VTRED-04X02</v>
          </cell>
          <cell r="B761" t="str">
            <v xml:space="preserve">TEE REDUCTORA CPVC UL/FM 4X 2 </v>
          </cell>
        </row>
        <row r="762">
          <cell r="A762" t="str">
            <v>ACP-VTRED-04X03</v>
          </cell>
          <cell r="B762" t="str">
            <v xml:space="preserve">TEE REDUCTORA CPVC UL/FM 4X 3 </v>
          </cell>
        </row>
        <row r="763">
          <cell r="A763" t="str">
            <v>ACP-VTRED-04X1C</v>
          </cell>
          <cell r="B763" t="str">
            <v xml:space="preserve">TEE REDUCTORA CPVC UL/FM 4X 11/4 </v>
          </cell>
        </row>
        <row r="764">
          <cell r="A764" t="str">
            <v>ACP-VTRED-04X1M</v>
          </cell>
          <cell r="B764" t="str">
            <v xml:space="preserve">TEE REDUCTORA CPVC UL/FM 4 X11/2 </v>
          </cell>
        </row>
        <row r="765">
          <cell r="A765" t="str">
            <v>ACP-VTRED-04X2M</v>
          </cell>
          <cell r="B765" t="str">
            <v>TEE REDUCTORA CPVC UL/FM 4X 2 1/2</v>
          </cell>
        </row>
        <row r="766">
          <cell r="A766" t="str">
            <v>ACP-VTRED-06X02</v>
          </cell>
          <cell r="B766" t="str">
            <v xml:space="preserve">TEE REDUCTORA CPVC UL/FM 6X 2 </v>
          </cell>
        </row>
        <row r="767">
          <cell r="A767" t="str">
            <v>ACP-VTRED-06X03</v>
          </cell>
          <cell r="B767" t="str">
            <v xml:space="preserve">TEE REDUCTORA CPVC UL/FM 6X 3 </v>
          </cell>
        </row>
        <row r="768">
          <cell r="A768" t="str">
            <v>ACP-VTRED-06X04</v>
          </cell>
          <cell r="B768" t="str">
            <v xml:space="preserve">TEE REDUCTORA CPVC UL/FM 6X 4 </v>
          </cell>
        </row>
        <row r="769">
          <cell r="A769" t="str">
            <v>ACP-VTRED-06X1C</v>
          </cell>
          <cell r="B769" t="str">
            <v xml:space="preserve">TEE REDUCTORA CPVC UL/FM 6 X11/4 </v>
          </cell>
        </row>
        <row r="770">
          <cell r="A770" t="str">
            <v>ACP-VTRED-06X1M</v>
          </cell>
          <cell r="B770" t="str">
            <v xml:space="preserve">TEE REDUCTORA CPVC UL/FM 6 X11/2 </v>
          </cell>
        </row>
        <row r="771">
          <cell r="A771" t="str">
            <v>ACP-VTRED-06X2M</v>
          </cell>
          <cell r="B771" t="str">
            <v xml:space="preserve">TEE REDUCTORA CPVC UL/FM 6 X21/2 </v>
          </cell>
        </row>
        <row r="772">
          <cell r="A772" t="str">
            <v>ACP-VTRED-08X02</v>
          </cell>
          <cell r="B772" t="str">
            <v xml:space="preserve">TEE REDUCTORA CPVC UL/FM 8X 2 </v>
          </cell>
        </row>
        <row r="773">
          <cell r="A773" t="str">
            <v>ACP-VTRED-08X03</v>
          </cell>
          <cell r="B773" t="str">
            <v xml:space="preserve">TEE REDUCTORA CPVC UL/FM 8X 3 </v>
          </cell>
        </row>
        <row r="774">
          <cell r="A774" t="str">
            <v>ACP-VTRED-08X04</v>
          </cell>
          <cell r="B774" t="str">
            <v xml:space="preserve">TEE REDUCTORA CPVC UL/FM 8X 4 </v>
          </cell>
        </row>
        <row r="775">
          <cell r="A775" t="str">
            <v>ACP-VTRED-08X06</v>
          </cell>
          <cell r="B775" t="str">
            <v xml:space="preserve">TEE REDUCTORA CPVC UL/FM 8X 6 </v>
          </cell>
        </row>
        <row r="776">
          <cell r="A776" t="str">
            <v>ACP-VTRED-08X1M</v>
          </cell>
          <cell r="B776" t="str">
            <v xml:space="preserve">TEE REDUCTORA CPVC UL/FM 8X 11/2 </v>
          </cell>
        </row>
        <row r="777">
          <cell r="A777" t="str">
            <v>ACP-VTRED-08X2M</v>
          </cell>
          <cell r="B777" t="str">
            <v xml:space="preserve">TEE REDUCTORA CPVC UL/FM 8X 21/2 </v>
          </cell>
        </row>
        <row r="778">
          <cell r="A778" t="str">
            <v>ACP-VTRED-1CX01</v>
          </cell>
          <cell r="B778" t="str">
            <v xml:space="preserve">TEE REDUCTORA CPVC UL/FM 11/4 X1 </v>
          </cell>
        </row>
        <row r="779">
          <cell r="A779" t="str">
            <v>ACP-VTRED-2MX01</v>
          </cell>
          <cell r="B779" t="str">
            <v xml:space="preserve">TEE REDUCTORA CPVC UL/FM 21/2X 1 </v>
          </cell>
        </row>
        <row r="780">
          <cell r="A780" t="str">
            <v>ACP-VTRED-2MX1C</v>
          </cell>
          <cell r="B780" t="str">
            <v>TEE REDUCTORA CPVC UL/FM 21/2 X11/4</v>
          </cell>
        </row>
        <row r="781">
          <cell r="A781" t="str">
            <v>ACP-VTRED2-MX1M</v>
          </cell>
          <cell r="B781" t="str">
            <v>TEE REDUCTORA CPVC UL/FM 21/2 X11/2</v>
          </cell>
        </row>
        <row r="782">
          <cell r="A782" t="str">
            <v>ACP-VTRED2-MX2M</v>
          </cell>
          <cell r="B782" t="str">
            <v xml:space="preserve">TEE REDUCTORA CPVC UL/FM 21/2X 2 </v>
          </cell>
        </row>
        <row r="783">
          <cell r="A783" t="str">
            <v>ACP-VTRES-1010M</v>
          </cell>
          <cell r="B783" t="str">
            <v xml:space="preserve">TEE RED SPK OULET CPVC 1X1X1/2 </v>
          </cell>
        </row>
        <row r="784">
          <cell r="A784" t="str">
            <v>ACP-VTREST-0T0M</v>
          </cell>
          <cell r="B784" t="str">
            <v xml:space="preserve">TEE RED SPK OULET CPVC 3/4X1/2 </v>
          </cell>
        </row>
        <row r="785">
          <cell r="A785" t="str">
            <v>ACQ-UITHIC-OREP</v>
          </cell>
          <cell r="B785" t="str">
            <v xml:space="preserve">KIT ROSCADOR PAMAPA 2 JUEGOS P </v>
          </cell>
        </row>
        <row r="786">
          <cell r="A786" t="str">
            <v>ACR-B220 10-1M-G300</v>
          </cell>
          <cell r="B786" t="str">
            <v>CUPLA HILO NPT GALV UL/FM 11/2 CLASE 300</v>
          </cell>
        </row>
        <row r="787">
          <cell r="A787" t="str">
            <v>ACR-B220 15-3/8-G300</v>
          </cell>
          <cell r="B787" t="str">
            <v>CUPLA HILO NPT GALV UL/FM 3/8 CLASE 300</v>
          </cell>
        </row>
        <row r="788">
          <cell r="A788" t="str">
            <v>ACR-B220 25-0M-G300</v>
          </cell>
          <cell r="B788" t="str">
            <v>CUPLA HILO NPT GALV UL/FM 1/2 CLASE 300</v>
          </cell>
        </row>
        <row r="789">
          <cell r="A789" t="str">
            <v>ACR-B220 -2-G300</v>
          </cell>
          <cell r="B789" t="str">
            <v>CUPLA HILO NPT GALV UL/FM 2 CLASE 300</v>
          </cell>
        </row>
        <row r="790">
          <cell r="A790" t="str">
            <v>ACR-B220 32-0T-G300</v>
          </cell>
          <cell r="B790" t="str">
            <v>CUPLA HILO NPT GALV UL/FM 3/4 CLASE 300</v>
          </cell>
        </row>
        <row r="791">
          <cell r="A791" t="str">
            <v>ACR-B220 40-1-G300</v>
          </cell>
          <cell r="B791" t="str">
            <v>CUPLA HILO NPT GALV UL/FM 1 CLASE 300</v>
          </cell>
        </row>
        <row r="792">
          <cell r="A792" t="str">
            <v>ACR-B220 50-1C-G300</v>
          </cell>
          <cell r="B792" t="str">
            <v>CUPLA HILO NPT GALV UL/FM 11/4 CLASE 300</v>
          </cell>
        </row>
        <row r="793">
          <cell r="A793" t="str">
            <v>ACR-CBJRD0-1X0M</v>
          </cell>
          <cell r="B793" t="str">
            <v xml:space="preserve">BUJE REDUC. HILO NPT UL/FM 1 X1/2 </v>
          </cell>
        </row>
        <row r="794">
          <cell r="A794" t="str">
            <v>ACR-CBJRD-01X0T</v>
          </cell>
          <cell r="B794" t="str">
            <v xml:space="preserve">BUJE REDUC. HILO NPT UL/FM 1X 3/4 </v>
          </cell>
        </row>
        <row r="795">
          <cell r="A795" t="str">
            <v>ACR-CBJRD-02X01</v>
          </cell>
          <cell r="B795" t="str">
            <v xml:space="preserve">BUJE REDUC. HILO NPT UL/FM 2X 1 </v>
          </cell>
        </row>
        <row r="796">
          <cell r="A796" t="str">
            <v>ACR-CBJRD0-2X0M</v>
          </cell>
          <cell r="B796" t="str">
            <v xml:space="preserve">BUJE REDUC. HILO NPT UL/FM 2X 1/2 </v>
          </cell>
        </row>
        <row r="797">
          <cell r="A797" t="str">
            <v>ACR-CBJRD0-2X1C</v>
          </cell>
          <cell r="B797" t="str">
            <v xml:space="preserve">BUJE REDUC. HILO NPT UL/FM 2X 11/4 </v>
          </cell>
        </row>
        <row r="798">
          <cell r="A798" t="str">
            <v>ACR-CBJRD0-2X1M</v>
          </cell>
          <cell r="B798" t="str">
            <v xml:space="preserve">BUJE REDUC. HILO NPT UL/FM 2X 11/2 </v>
          </cell>
        </row>
        <row r="799">
          <cell r="A799" t="str">
            <v>ACR-CBJRD0-MX0C</v>
          </cell>
          <cell r="B799" t="str">
            <v xml:space="preserve">BUJE REDUC. HILO NPT UL/FM 1/2 X1/4 </v>
          </cell>
        </row>
        <row r="800">
          <cell r="A800" t="str">
            <v>ACR-CBJRD0-TX0M</v>
          </cell>
          <cell r="B800" t="str">
            <v xml:space="preserve">BUJE REDUC. HILO NPT UL/FM 3/4 X1/2 </v>
          </cell>
        </row>
        <row r="801">
          <cell r="A801" t="str">
            <v>ACR-CBJRD1-CX01</v>
          </cell>
          <cell r="B801" t="str">
            <v xml:space="preserve">BUJE REDUC. HILO NPT UL/FM 11/4 X1 </v>
          </cell>
        </row>
        <row r="802">
          <cell r="A802" t="str">
            <v>ACR-CBJRD1-CX0M</v>
          </cell>
          <cell r="B802" t="str">
            <v xml:space="preserve">BUJE REDUC. HILO NPT UL/FM 11/4 X1/2 </v>
          </cell>
        </row>
        <row r="803">
          <cell r="A803" t="str">
            <v>ACR-CBJRD1-CX0T</v>
          </cell>
          <cell r="B803" t="str">
            <v xml:space="preserve">BUJE REDUC. HILO NPT UL/FM 11/4 X3/4 </v>
          </cell>
        </row>
        <row r="804">
          <cell r="A804" t="str">
            <v>ACR-CBJRD1-MX01</v>
          </cell>
          <cell r="B804" t="str">
            <v xml:space="preserve">BUJE REDUC. HILO NPT UL/FM 11/2 X1 </v>
          </cell>
        </row>
        <row r="805">
          <cell r="A805" t="str">
            <v>ACR-CBJRD1-MX0M</v>
          </cell>
          <cell r="B805" t="str">
            <v xml:space="preserve">BUJE REDUC. HILO NPT UL/FM 11/2 X1/2 </v>
          </cell>
        </row>
        <row r="806">
          <cell r="A806" t="str">
            <v>ACR-CBJRD1-MX0T</v>
          </cell>
          <cell r="B806" t="str">
            <v xml:space="preserve">BUJE REDUC. HILO NPT UL/FM 11/2 X3/4 </v>
          </cell>
        </row>
        <row r="807">
          <cell r="A807" t="str">
            <v>ACR-CBJRD1-MX1C</v>
          </cell>
          <cell r="B807" t="str">
            <v>BUJE REDUC. HILO NPT UL/FM 11/2 X11/4</v>
          </cell>
        </row>
        <row r="808">
          <cell r="A808" t="str">
            <v>ACR-CCO45-01-00</v>
          </cell>
          <cell r="B808" t="str">
            <v xml:space="preserve">CODO 45º HILADO UL/FM 1 </v>
          </cell>
        </row>
        <row r="809">
          <cell r="A809" t="str">
            <v>ACR-CCO45-02-00</v>
          </cell>
          <cell r="B809" t="str">
            <v xml:space="preserve">CODO 45º HILADO UL/FM 2 </v>
          </cell>
        </row>
        <row r="810">
          <cell r="A810" t="str">
            <v>ACR-CCO45-0M-00</v>
          </cell>
          <cell r="B810" t="str">
            <v xml:space="preserve">CODO 45º HILADO UL/FM 1/2 </v>
          </cell>
        </row>
        <row r="811">
          <cell r="A811" t="str">
            <v>ACR-CCO45-0T-00</v>
          </cell>
          <cell r="B811" t="str">
            <v xml:space="preserve">CODO 45º HILADO UL/FM 3/4 </v>
          </cell>
        </row>
        <row r="812">
          <cell r="A812" t="str">
            <v>ACR-CCO45-1C-00</v>
          </cell>
          <cell r="B812" t="str">
            <v xml:space="preserve">CODO 45º HILADO UL/FM 1 1/4 </v>
          </cell>
        </row>
        <row r="813">
          <cell r="A813" t="str">
            <v>ACR-CCO45-1M-00</v>
          </cell>
          <cell r="B813" t="str">
            <v xml:space="preserve">CODO 45º HILADO UL/FM 1 1/2 </v>
          </cell>
        </row>
        <row r="814">
          <cell r="A814" t="str">
            <v>ACR-CCO90-01-00</v>
          </cell>
          <cell r="B814" t="str">
            <v xml:space="preserve">CODO 90º HILADA UL/FM 1 </v>
          </cell>
        </row>
        <row r="815">
          <cell r="A815" t="str">
            <v>ACR-CCO90-02-00</v>
          </cell>
          <cell r="B815" t="str">
            <v xml:space="preserve">CODO 90º HILADA UL/FM 2 </v>
          </cell>
        </row>
        <row r="816">
          <cell r="A816" t="str">
            <v>ACR-CCO90-0C-00</v>
          </cell>
          <cell r="B816" t="str">
            <v xml:space="preserve">CODO 90º HILADA UL/FM 1/4 </v>
          </cell>
        </row>
        <row r="817">
          <cell r="A817" t="str">
            <v>ACR-CCO90-0M-00</v>
          </cell>
          <cell r="B817" t="str">
            <v xml:space="preserve">CODO 90º HILADA UL/FM 1/2 </v>
          </cell>
        </row>
        <row r="818">
          <cell r="A818" t="str">
            <v>ACR-CCO90-0T-00</v>
          </cell>
          <cell r="B818" t="str">
            <v xml:space="preserve">CODO 90º HILADA UL/FM 3/4 </v>
          </cell>
        </row>
        <row r="819">
          <cell r="A819" t="str">
            <v>ACR-CCO90-1C-00</v>
          </cell>
          <cell r="B819" t="str">
            <v xml:space="preserve">CODO 90º HILADA UL/FM 1 1/4 </v>
          </cell>
        </row>
        <row r="820">
          <cell r="A820" t="str">
            <v>ACR-CCO90-1M-00</v>
          </cell>
          <cell r="B820" t="str">
            <v xml:space="preserve">CODO 90º HILADA UL/FM 1 1/2 </v>
          </cell>
        </row>
        <row r="821">
          <cell r="A821" t="str">
            <v>ACR-CCPRD-01X0M</v>
          </cell>
          <cell r="B821" t="str">
            <v xml:space="preserve">CUPLA RED. HILO NPTUL/FM 1 X1/2 </v>
          </cell>
        </row>
        <row r="822">
          <cell r="A822" t="str">
            <v>ACR-CCPRD-01X0T</v>
          </cell>
          <cell r="B822" t="str">
            <v xml:space="preserve">CUPLA RED. HILO NPTUL/FM 1X 3/4 </v>
          </cell>
        </row>
        <row r="823">
          <cell r="A823" t="str">
            <v>ACR-CCPRD-02X01</v>
          </cell>
          <cell r="B823" t="str">
            <v xml:space="preserve">CUPLA RED. HILO NPTUL/FM 2X 1 </v>
          </cell>
        </row>
        <row r="824">
          <cell r="A824" t="str">
            <v>ACR-CCPRD-02X1C</v>
          </cell>
          <cell r="B824" t="str">
            <v xml:space="preserve">CUPLA RED. HILO NPTUL/FM 2X 11/4 </v>
          </cell>
        </row>
        <row r="825">
          <cell r="A825" t="str">
            <v>ACR-CCPRD-02X1M</v>
          </cell>
          <cell r="B825" t="str">
            <v xml:space="preserve">CUPLA RED. HILO NPTUL/FM 2X 11/2 </v>
          </cell>
        </row>
        <row r="826">
          <cell r="A826" t="str">
            <v>ACR-CCPRD-1CX01</v>
          </cell>
          <cell r="B826" t="str">
            <v xml:space="preserve">CUPLA RED. HILO NPTUL/FM 11/4 X1 </v>
          </cell>
        </row>
        <row r="827">
          <cell r="A827" t="str">
            <v>ACR-CCPRD-1CX0T</v>
          </cell>
          <cell r="B827" t="str">
            <v xml:space="preserve">CUPLA RED. HILO NPTUL/FM 11/4 X3/4 </v>
          </cell>
        </row>
        <row r="828">
          <cell r="A828" t="str">
            <v>ACR-CCPRD-1MX01</v>
          </cell>
          <cell r="B828" t="str">
            <v xml:space="preserve">CUPLA RED. HILO NPTUL/FM 11/2 X1 </v>
          </cell>
        </row>
        <row r="829">
          <cell r="A829" t="str">
            <v>ACR-CCPRD-1MX0T</v>
          </cell>
          <cell r="B829" t="str">
            <v xml:space="preserve">CUPLA RED. HILO NPTUL/FM 11/2 X3/4 </v>
          </cell>
        </row>
        <row r="830">
          <cell r="A830" t="str">
            <v>ACR-CCPRD-1MX1C</v>
          </cell>
          <cell r="B830" t="str">
            <v>CUPLA RED. HILO NPTUL/FM 11/2 X11/4</v>
          </cell>
        </row>
        <row r="831">
          <cell r="A831" t="str">
            <v>ACR-CCPRD-2MX02</v>
          </cell>
          <cell r="B831" t="str">
            <v xml:space="preserve">CUPLA RED. HILO NPTUL/FM 2.1/2 X 2 </v>
          </cell>
        </row>
        <row r="832">
          <cell r="A832" t="str">
            <v>ACRCCPRD2MX2</v>
          </cell>
          <cell r="B832" t="str">
            <v xml:space="preserve">Cupla Red. Hilo NPT  UL/FM2.1/2  X 2 </v>
          </cell>
        </row>
        <row r="833">
          <cell r="A833" t="str">
            <v>ACR-CCR90-01X0M</v>
          </cell>
          <cell r="B833" t="str">
            <v xml:space="preserve">CODO REDUCCION 90ºHILADA UL/FM 1 X1/2 </v>
          </cell>
        </row>
        <row r="834">
          <cell r="A834" t="str">
            <v>ACR-CCR90-01X0T</v>
          </cell>
          <cell r="B834" t="str">
            <v xml:space="preserve">CODO REDUCCION 90ºHILADA UL/FM 1X 3/4 </v>
          </cell>
        </row>
        <row r="835">
          <cell r="A835" t="str">
            <v>ACR-CCR90-02X01</v>
          </cell>
          <cell r="B835" t="str">
            <v xml:space="preserve">CODO REDUCCION 90ºHILADA UL/FM 2X 1 </v>
          </cell>
        </row>
        <row r="836">
          <cell r="A836" t="str">
            <v>ACR-CCR90-02X0M</v>
          </cell>
          <cell r="B836" t="str">
            <v xml:space="preserve">CODO REDUC. 90º HILO NPT UL/FM 2X 1/2 </v>
          </cell>
        </row>
        <row r="837">
          <cell r="A837" t="str">
            <v>ACR-CCR90-02X1C</v>
          </cell>
          <cell r="B837" t="str">
            <v xml:space="preserve">CODO REDUCCION 90ºHILADA UL/FM 2X 11/4 </v>
          </cell>
        </row>
        <row r="838">
          <cell r="A838" t="str">
            <v>ACR-CCR90-02X1M</v>
          </cell>
          <cell r="B838" t="str">
            <v xml:space="preserve">CODO REDUCCION 90ºHILADA UL/FM 2X 11/2 </v>
          </cell>
        </row>
        <row r="839">
          <cell r="A839" t="str">
            <v>ACR-CCR90-1CX01</v>
          </cell>
          <cell r="B839" t="str">
            <v xml:space="preserve">CODO REDUCCION 90ºHILADA UL/FM 11/4 X1 </v>
          </cell>
        </row>
        <row r="840">
          <cell r="A840" t="str">
            <v>ACR-CCR90-1CX0M</v>
          </cell>
          <cell r="B840" t="str">
            <v xml:space="preserve">CODO REDUC. 90º HILO NPT UL/FM 11/4 X1/2 </v>
          </cell>
        </row>
        <row r="841">
          <cell r="A841" t="str">
            <v>ACR-CCR90-1CX0T</v>
          </cell>
          <cell r="B841" t="str">
            <v xml:space="preserve">CODO REDUCCION 90ºHILADA UL/FM 11/4 X3/4 </v>
          </cell>
        </row>
        <row r="842">
          <cell r="A842" t="str">
            <v>ACR-CCR90-1MX01</v>
          </cell>
          <cell r="B842" t="str">
            <v xml:space="preserve">CODO REDUCCION 90ºHILADA UL/FM 11/2 X1 </v>
          </cell>
        </row>
        <row r="843">
          <cell r="A843" t="str">
            <v>ACR-CCR90-1MX0M</v>
          </cell>
          <cell r="B843" t="str">
            <v xml:space="preserve">CODO REDUC. 90º HILO NPT UL/FM 11/2 X1/2 </v>
          </cell>
        </row>
        <row r="844">
          <cell r="A844" t="str">
            <v>ACR-CCR90-1MX0T</v>
          </cell>
          <cell r="B844" t="str">
            <v xml:space="preserve">CODO REDUCCION 90ºHILADA UL/FM 11/2 X3/4 </v>
          </cell>
        </row>
        <row r="845">
          <cell r="A845" t="str">
            <v>ACR-CCR90-1MX1C</v>
          </cell>
          <cell r="B845" t="str">
            <v>CODO REDUCCION 90ºHILADA UL/FM 11/2 X11/4</v>
          </cell>
        </row>
        <row r="846">
          <cell r="A846" t="str">
            <v>ACR-CCRUZ-01-00</v>
          </cell>
          <cell r="B846" t="str">
            <v xml:space="preserve">CRUCETA HILADA UL/FM 1 </v>
          </cell>
        </row>
        <row r="847">
          <cell r="A847" t="str">
            <v>ACR-CCRUZ-02-00</v>
          </cell>
          <cell r="B847" t="str">
            <v xml:space="preserve">CRUCETA HILADA UL/FM 2 </v>
          </cell>
        </row>
        <row r="848">
          <cell r="A848" t="str">
            <v>ACR-CCRUZ-0M-00</v>
          </cell>
          <cell r="B848" t="str">
            <v xml:space="preserve">CRUCETA HILADA UL/FM 1/2 </v>
          </cell>
        </row>
        <row r="849">
          <cell r="A849" t="str">
            <v>ACR-CCRUZ-0T-00</v>
          </cell>
          <cell r="B849" t="str">
            <v xml:space="preserve">CRUCETA HILADA UL/FM 3/4 </v>
          </cell>
        </row>
        <row r="850">
          <cell r="A850" t="str">
            <v>ACR-CCRUZ-1C-00</v>
          </cell>
          <cell r="B850" t="str">
            <v xml:space="preserve">CRUCETA HILADA UL/FM 1 1/4 </v>
          </cell>
        </row>
        <row r="851">
          <cell r="A851" t="str">
            <v>ACR-CCRUZ-1M-00</v>
          </cell>
          <cell r="B851" t="str">
            <v xml:space="preserve">CRUCETA HILADA UL/FM 1 1/2 </v>
          </cell>
        </row>
        <row r="852">
          <cell r="A852" t="str">
            <v>ACR-CCUPL-01-00</v>
          </cell>
          <cell r="B852" t="str">
            <v xml:space="preserve">CUPLA HILO NPT UL/FM 1 </v>
          </cell>
        </row>
        <row r="853">
          <cell r="A853" t="str">
            <v>ACR-CCUPL-02-00</v>
          </cell>
          <cell r="B853" t="str">
            <v xml:space="preserve">CUPLA HILO NPT UL/FM 2 </v>
          </cell>
        </row>
        <row r="854">
          <cell r="A854" t="str">
            <v>ACR-CCUPL-0M-00</v>
          </cell>
          <cell r="B854" t="str">
            <v xml:space="preserve">CUPLA HILO NPT UL/FM 1/2 </v>
          </cell>
        </row>
        <row r="855">
          <cell r="A855" t="str">
            <v>ACR-CCUPL-0T-00</v>
          </cell>
          <cell r="B855" t="str">
            <v xml:space="preserve">CUPLA HILO NPT UL/FM 3/4 </v>
          </cell>
        </row>
        <row r="856">
          <cell r="A856" t="str">
            <v>ACR-CCUPL-1C-00</v>
          </cell>
          <cell r="B856" t="str">
            <v xml:space="preserve">CUPLA HILO NPT UL/FM 1 1/4 </v>
          </cell>
        </row>
        <row r="857">
          <cell r="A857" t="str">
            <v>ACR-CCUPL-1M-00</v>
          </cell>
          <cell r="B857" t="str">
            <v xml:space="preserve">CUPLA HILO NPT UL/FM 1 1/2 </v>
          </cell>
        </row>
        <row r="858">
          <cell r="A858" t="str">
            <v>ACR-CCZRD-01X0M</v>
          </cell>
          <cell r="B858" t="str">
            <v xml:space="preserve">CRUCETA REDUCCION HILADA UL/FM 1 X1/2 </v>
          </cell>
        </row>
        <row r="859">
          <cell r="A859" t="str">
            <v>ACR-CCZRD-01X0T</v>
          </cell>
          <cell r="B859" t="str">
            <v xml:space="preserve">CRUCETA REDUCCION HILADA UL/FM 1X 3/4 </v>
          </cell>
        </row>
        <row r="860">
          <cell r="A860" t="str">
            <v>ACR-CCZRD-02X01</v>
          </cell>
          <cell r="B860" t="str">
            <v xml:space="preserve">CRUCETA REDUCCION HILADA UL/FM 2X 1 </v>
          </cell>
        </row>
        <row r="861">
          <cell r="A861" t="str">
            <v>ACR-CCZRD-02X1C</v>
          </cell>
          <cell r="B861" t="str">
            <v xml:space="preserve">CRUCETA REDUCCION HILADA UL/FM 2X 11/4 </v>
          </cell>
        </row>
        <row r="862">
          <cell r="A862" t="str">
            <v>ACR-CCZRD-02X1M</v>
          </cell>
          <cell r="B862" t="str">
            <v xml:space="preserve">CRUCETA REDUCCION HILADA UL/FM 2X 11/2 </v>
          </cell>
        </row>
        <row r="863">
          <cell r="A863" t="str">
            <v>ACR-CCZRD-1CX01</v>
          </cell>
          <cell r="B863" t="str">
            <v xml:space="preserve">CRUCETA REDUCCION HILADA UL/FM 11/4 X1 </v>
          </cell>
        </row>
        <row r="864">
          <cell r="A864" t="str">
            <v>ACR-CCZRD-1CX0T</v>
          </cell>
          <cell r="B864" t="str">
            <v xml:space="preserve">CRUCETA REDUCCION HILADA UL/FM 11/4 X3/4 </v>
          </cell>
        </row>
        <row r="865">
          <cell r="A865" t="str">
            <v>ACR-CCZRD-1MX01</v>
          </cell>
          <cell r="B865" t="str">
            <v xml:space="preserve">CRUCETA REDUCCION HILADA UL/FM 11/2 X1 </v>
          </cell>
        </row>
        <row r="866">
          <cell r="A866" t="str">
            <v>ACR-CCZRD-1MX0T</v>
          </cell>
          <cell r="B866" t="str">
            <v xml:space="preserve">CRUCETA REDUCCION HILADA UL/FM 11/2 X3/4 </v>
          </cell>
        </row>
        <row r="867">
          <cell r="A867" t="str">
            <v>ACR-CCZRD-1MX1C</v>
          </cell>
          <cell r="B867" t="str">
            <v>CRUCETA REDUCCION HILADA UL/FM 11/2 X11/4</v>
          </cell>
        </row>
        <row r="868">
          <cell r="A868" t="str">
            <v>ACR-CNPTU-01-00</v>
          </cell>
          <cell r="B868" t="str">
            <v xml:space="preserve">NIPLE TUERCA HILO NPT UL/FM 1 </v>
          </cell>
        </row>
        <row r="869">
          <cell r="A869" t="str">
            <v>ACR-CNPTU-02-00</v>
          </cell>
          <cell r="B869" t="str">
            <v xml:space="preserve">NIPLE TUERCA HILO NPT UL/FM 2 </v>
          </cell>
        </row>
        <row r="870">
          <cell r="A870" t="str">
            <v>ACR-CNPTU-0C-00</v>
          </cell>
          <cell r="B870" t="str">
            <v xml:space="preserve">NIPLE TUERCA HILO NPT UL/FM 1/4 </v>
          </cell>
        </row>
        <row r="871">
          <cell r="A871" t="str">
            <v>ACR-CNPTU-0M-00</v>
          </cell>
          <cell r="B871" t="str">
            <v xml:space="preserve">NIPLE TUERCA HILO NPT UL/FM 1/2 </v>
          </cell>
        </row>
        <row r="872">
          <cell r="A872" t="str">
            <v>ACR-CNPTU-0T-00</v>
          </cell>
          <cell r="B872" t="str">
            <v xml:space="preserve">NIPLE TUERCA HILO NPT UL/FM 3/4 </v>
          </cell>
        </row>
        <row r="873">
          <cell r="A873" t="str">
            <v>ACR-CNPTU-1C-00</v>
          </cell>
          <cell r="B873" t="str">
            <v xml:space="preserve">NIPLE TUERCA HILO NPT UL/FM 1 1/4 </v>
          </cell>
        </row>
        <row r="874">
          <cell r="A874" t="str">
            <v>ACR-CNPTU-1M-00</v>
          </cell>
          <cell r="B874" t="str">
            <v xml:space="preserve">NIPLE TUERCA HILO NPT UL/FM 1 1/2 </v>
          </cell>
        </row>
        <row r="875">
          <cell r="A875" t="str">
            <v>ACR-CNPTU-2M-00</v>
          </cell>
          <cell r="B875" t="str">
            <v xml:space="preserve">NIPLE TUERCA HILO NPT UL/FM 2 1/2 </v>
          </cell>
        </row>
        <row r="876">
          <cell r="A876" t="str">
            <v>ACR-CTAPA-01-00</v>
          </cell>
          <cell r="B876" t="str">
            <v xml:space="preserve">TAPA CAP HILO NPT UL/FM 1 </v>
          </cell>
        </row>
        <row r="877">
          <cell r="A877" t="str">
            <v>ACR-CTAPA-02-00</v>
          </cell>
          <cell r="B877" t="str">
            <v xml:space="preserve">TAPA CAP HILO NPT UL/FM 2 </v>
          </cell>
        </row>
        <row r="878">
          <cell r="A878" t="str">
            <v>ACR-CTAPA-0C-00</v>
          </cell>
          <cell r="B878" t="str">
            <v xml:space="preserve">TAPA CAP HILO NPT CLASE 3000 1/4 </v>
          </cell>
        </row>
        <row r="879">
          <cell r="A879" t="str">
            <v>ACR-CTAPA-0M-00</v>
          </cell>
          <cell r="B879" t="str">
            <v xml:space="preserve">TAPA CAP HILO NPT UL/FM 1/2 </v>
          </cell>
        </row>
        <row r="880">
          <cell r="A880" t="str">
            <v>ACR-CTAPA-0T-00</v>
          </cell>
          <cell r="B880" t="str">
            <v xml:space="preserve">TAPA CAP HILO NPT UL/FM 3/4 </v>
          </cell>
        </row>
        <row r="881">
          <cell r="A881" t="str">
            <v>ACR-CTAPA-1C-00</v>
          </cell>
          <cell r="B881" t="str">
            <v xml:space="preserve">TAPA CAP HILO NPT UL/FM 1 1/4 </v>
          </cell>
        </row>
        <row r="882">
          <cell r="A882" t="str">
            <v>ACR-CTAPA-1M-00</v>
          </cell>
          <cell r="B882" t="str">
            <v xml:space="preserve">TAPA CAP HILO NPT UL/FM 1 1/2 </v>
          </cell>
        </row>
        <row r="883">
          <cell r="A883" t="str">
            <v>ACR-CTMEC-01X0T</v>
          </cell>
          <cell r="B883" t="str">
            <v xml:space="preserve">TEE MECANICA HILO NPT UL/FM 1X 3/4 </v>
          </cell>
        </row>
        <row r="884">
          <cell r="A884" t="str">
            <v>ACR-CTMEC-02X01</v>
          </cell>
          <cell r="B884" t="str">
            <v xml:space="preserve">TEE MECANICA THREADED UL/FM 2X 1 </v>
          </cell>
        </row>
        <row r="885">
          <cell r="A885" t="str">
            <v>ACR-CTMEC-02X0T</v>
          </cell>
          <cell r="B885" t="str">
            <v xml:space="preserve">TEE MECANICA HILO NPT UL/FM 2X 3/4 </v>
          </cell>
        </row>
        <row r="886">
          <cell r="A886" t="str">
            <v>ACR-CTMEC-02X1C</v>
          </cell>
          <cell r="B886" t="str">
            <v xml:space="preserve">TEE MECANICA THREADED UL/FM 2X 11/4 </v>
          </cell>
        </row>
        <row r="887">
          <cell r="A887" t="str">
            <v>ACR-CTMEC-02X1M</v>
          </cell>
          <cell r="B887" t="str">
            <v xml:space="preserve">TEE MECANICA THREADED UL/FM 2X 11/2 </v>
          </cell>
        </row>
        <row r="888">
          <cell r="A888" t="str">
            <v>ACR-CTMEC-03X01</v>
          </cell>
          <cell r="B888" t="str">
            <v xml:space="preserve">TEE MECANICA THREADED UL/FM 3X 1 </v>
          </cell>
        </row>
        <row r="889">
          <cell r="A889" t="str">
            <v>ACR-CTMEC-03X02</v>
          </cell>
          <cell r="B889" t="str">
            <v xml:space="preserve">TEE MECANICA THREADED UL/FM 3X 2 </v>
          </cell>
        </row>
        <row r="890">
          <cell r="A890" t="str">
            <v>ACR-CTMEC-03X0M</v>
          </cell>
          <cell r="B890" t="str">
            <v xml:space="preserve">TEE MECANICA THREADED UL/FM 3X 1/2 </v>
          </cell>
        </row>
        <row r="891">
          <cell r="A891" t="str">
            <v>ACR-CTMEC-03X0T</v>
          </cell>
          <cell r="B891" t="str">
            <v xml:space="preserve">TEE MECANICA THREADED UL/FM 3X 3/4 </v>
          </cell>
        </row>
        <row r="892">
          <cell r="A892" t="str">
            <v>ACR-CTMEC-03X1C</v>
          </cell>
          <cell r="B892" t="str">
            <v xml:space="preserve">TEE MECANICA THREADED UL/FM 3X 11/4 </v>
          </cell>
        </row>
        <row r="893">
          <cell r="A893" t="str">
            <v>ACR-CTMEC-03X1C</v>
          </cell>
          <cell r="B893" t="str">
            <v xml:space="preserve">TEE MECANICA THREADED UL/FM 3X 11/4 </v>
          </cell>
        </row>
        <row r="894">
          <cell r="A894" t="str">
            <v>ACR-CTMEC-03X1M</v>
          </cell>
          <cell r="B894" t="str">
            <v xml:space="preserve">TEE MECANICA THREADED UL/FM 3 X 1 1/2 </v>
          </cell>
        </row>
        <row r="895">
          <cell r="A895" t="str">
            <v>ACR-CTMEC-03X2M</v>
          </cell>
          <cell r="B895" t="str">
            <v>TEE MECANICA THREADED UL/FM 3 X2 1/2</v>
          </cell>
        </row>
        <row r="896">
          <cell r="A896" t="str">
            <v>ACR-CTMEC-04X01</v>
          </cell>
          <cell r="B896" t="str">
            <v xml:space="preserve">TEE MECANICA THREADED UL/FM 4X 1 </v>
          </cell>
        </row>
        <row r="897">
          <cell r="A897" t="str">
            <v>ACR-CTMEC-04X02</v>
          </cell>
          <cell r="B897" t="str">
            <v xml:space="preserve">TEE MECANICA THREADED UL/FM 4X 2 </v>
          </cell>
        </row>
        <row r="898">
          <cell r="A898" t="str">
            <v>ACR-CTMEC-04X03</v>
          </cell>
          <cell r="B898" t="str">
            <v xml:space="preserve">TEE MECANICA THREADED UL/FM 4X 3 </v>
          </cell>
        </row>
        <row r="899">
          <cell r="A899" t="str">
            <v>ACR-CTMEC-04X03</v>
          </cell>
          <cell r="B899" t="str">
            <v xml:space="preserve">TEE MECANICA THREADED UL/FM 4X 3 </v>
          </cell>
        </row>
        <row r="900">
          <cell r="A900" t="str">
            <v>ACR-CTMEC-04X1C</v>
          </cell>
          <cell r="B900" t="str">
            <v xml:space="preserve">TEE MECANICA THREADED UL/FM 4X 11/4 </v>
          </cell>
        </row>
        <row r="901">
          <cell r="A901" t="str">
            <v>ACR-CTMEC-04X1C</v>
          </cell>
          <cell r="B901" t="str">
            <v xml:space="preserve">TEE MECANICA THREADED UL/FM 4X 11/4 </v>
          </cell>
        </row>
        <row r="902">
          <cell r="A902" t="str">
            <v>ACR-CTMEC-04X1M</v>
          </cell>
          <cell r="B902" t="str">
            <v xml:space="preserve">TEE MECANICA THREADED UL/FM 4 X11/2 </v>
          </cell>
        </row>
        <row r="903">
          <cell r="A903" t="str">
            <v>ACR-CTMEC-04X2M</v>
          </cell>
          <cell r="B903" t="str">
            <v>TEE MECANICA THREADED UL/FM 4X 2 1/2</v>
          </cell>
        </row>
        <row r="904">
          <cell r="A904" t="str">
            <v>ACR-CTMEC-06X02</v>
          </cell>
          <cell r="B904" t="str">
            <v xml:space="preserve">TEE MECANICA THREADED UL/FM 6X 2 </v>
          </cell>
        </row>
        <row r="905">
          <cell r="A905" t="str">
            <v>ACR-CTMEC-06X03</v>
          </cell>
          <cell r="B905" t="str">
            <v xml:space="preserve">TEE MECANICA THREADED UL/FM 6X 3 </v>
          </cell>
        </row>
        <row r="906">
          <cell r="A906" t="str">
            <v>ACR-CTMEC-06X04</v>
          </cell>
          <cell r="B906" t="str">
            <v xml:space="preserve">TEE MECANICA THREADED UL/FM 6X 4 </v>
          </cell>
        </row>
        <row r="907">
          <cell r="A907" t="str">
            <v>ACR-CTMEC-06X1</v>
          </cell>
          <cell r="B907" t="str">
            <v>TEE MECANICA THREADED UL/FM 6 X 1</v>
          </cell>
        </row>
        <row r="908">
          <cell r="A908" t="str">
            <v>ACR-CTMEC-06X1C</v>
          </cell>
          <cell r="B908" t="str">
            <v xml:space="preserve">TEE MECANICA THREADED UL/FM 6 X11/4 </v>
          </cell>
        </row>
        <row r="909">
          <cell r="A909" t="str">
            <v>ACR-CTMEC-06X1M</v>
          </cell>
          <cell r="B909" t="str">
            <v xml:space="preserve">TEE MECANICA THREADED UL/FM 6 X11/2 </v>
          </cell>
        </row>
        <row r="910">
          <cell r="A910" t="str">
            <v>ACR-CTMEC-06X2M</v>
          </cell>
          <cell r="B910" t="str">
            <v xml:space="preserve">TEE MECANICA THREADED UL/FM 6 X21/2 </v>
          </cell>
        </row>
        <row r="911">
          <cell r="A911" t="str">
            <v>ACR-CTMEC-08X02</v>
          </cell>
          <cell r="B911" t="str">
            <v xml:space="preserve">TEE MECANICA THREADED UL/FM 8X 2 </v>
          </cell>
        </row>
        <row r="912">
          <cell r="A912" t="str">
            <v>ACR-CTMEC-08X03</v>
          </cell>
          <cell r="B912" t="str">
            <v xml:space="preserve">TEE MECANICA THREADED UL/FM 8X 3 </v>
          </cell>
        </row>
        <row r="913">
          <cell r="A913" t="str">
            <v>ACR-CTMEC-08X04</v>
          </cell>
          <cell r="B913" t="str">
            <v xml:space="preserve">TEE MECANICA THREADED UL/FM 8X 4 </v>
          </cell>
        </row>
        <row r="914">
          <cell r="A914" t="str">
            <v>ACR-CTMEC-08X06</v>
          </cell>
          <cell r="B914" t="str">
            <v xml:space="preserve">TEE MECANICA THREADED UL/FM 8X 6 </v>
          </cell>
        </row>
        <row r="915">
          <cell r="A915" t="str">
            <v>ACR-CTMEC-08X1M</v>
          </cell>
          <cell r="B915" t="str">
            <v xml:space="preserve">TEE MECANICA THREADED UL/FM 8X 11/2 </v>
          </cell>
        </row>
        <row r="916">
          <cell r="A916" t="str">
            <v>ACR-CTMEC-08X2M</v>
          </cell>
          <cell r="B916" t="str">
            <v xml:space="preserve">TEE MECANICA THREADED UL/FM 8X 21/2 </v>
          </cell>
        </row>
        <row r="917">
          <cell r="A917" t="str">
            <v>ACR-CTMEC-1CX01</v>
          </cell>
          <cell r="B917" t="str">
            <v xml:space="preserve">TEE MECANICA HILO NPT UL/FM 11/4 X1 </v>
          </cell>
        </row>
        <row r="918">
          <cell r="A918" t="str">
            <v>ACR-CTMEC-1CX0T</v>
          </cell>
          <cell r="B918" t="str">
            <v xml:space="preserve">TEE MECANICA HILO NPT UL/FM 11/4 X3/4 </v>
          </cell>
        </row>
        <row r="919">
          <cell r="A919" t="str">
            <v>ACR-CTMEC-1MX01</v>
          </cell>
          <cell r="B919" t="str">
            <v xml:space="preserve">TEE MECANICA HILO NPT UL/FM 11/2 X1 </v>
          </cell>
        </row>
        <row r="920">
          <cell r="A920" t="str">
            <v>ACR-CTMEC-1MX0T</v>
          </cell>
          <cell r="B920" t="str">
            <v xml:space="preserve">TEE MECANICA HILO NPT UL/FM 11/2 X3/4 </v>
          </cell>
        </row>
        <row r="921">
          <cell r="A921" t="str">
            <v>ACR-CTMEC-1MX1C</v>
          </cell>
          <cell r="B921" t="str">
            <v>TEE MECANICA HILO NPT UL/FM 11/2 X11/4</v>
          </cell>
        </row>
        <row r="922">
          <cell r="A922" t="str">
            <v>ACR-CTMEC-2MX01</v>
          </cell>
          <cell r="B922" t="str">
            <v xml:space="preserve">TEE MECANICA THREADED UL/FM 21/2X 1 </v>
          </cell>
        </row>
        <row r="923">
          <cell r="A923" t="str">
            <v>ACR-CTMEC-2MX02</v>
          </cell>
          <cell r="B923" t="str">
            <v xml:space="preserve">TEE MECANICA THREADED UL/FM 21/2X 2 </v>
          </cell>
        </row>
        <row r="924">
          <cell r="A924" t="str">
            <v>ACR-CTMEC-2MX1C</v>
          </cell>
          <cell r="B924" t="str">
            <v>TEE MECANICA THREADED UL/FM 21/2 X11/4</v>
          </cell>
        </row>
        <row r="925">
          <cell r="A925" t="str">
            <v>ACR-CTMEC-2MX1M</v>
          </cell>
          <cell r="B925" t="str">
            <v>TEE MECANICA THREADED UL/FM 21/2 X11/2</v>
          </cell>
        </row>
        <row r="926">
          <cell r="A926" t="str">
            <v>ACR-CTNOR-01-00</v>
          </cell>
          <cell r="B926" t="str">
            <v xml:space="preserve">TEE NORMAL HILO NPT UL/FM 1 </v>
          </cell>
        </row>
        <row r="927">
          <cell r="A927" t="str">
            <v>ACR-CTNOR-02-00</v>
          </cell>
          <cell r="B927" t="str">
            <v xml:space="preserve">TEE NORMAL HILO NPT UL/FM 2 </v>
          </cell>
        </row>
        <row r="928">
          <cell r="A928" t="str">
            <v>ACR-CTNOR-0C-00</v>
          </cell>
          <cell r="B928" t="str">
            <v xml:space="preserve">TEE NORMAL HILO NPT UL/FM 1/4 </v>
          </cell>
        </row>
        <row r="929">
          <cell r="A929" t="str">
            <v>ACR-CTNOR-0M-00</v>
          </cell>
          <cell r="B929" t="str">
            <v xml:space="preserve">TEE NORMAL HILO NPT UL/FM 1/2 </v>
          </cell>
        </row>
        <row r="930">
          <cell r="A930" t="str">
            <v>ACR-CTNOR-0T-00</v>
          </cell>
          <cell r="B930" t="str">
            <v xml:space="preserve">TEE NORMAL HILO NPT UL/FM 3/4 </v>
          </cell>
        </row>
        <row r="931">
          <cell r="A931" t="str">
            <v>ACR-CTNOR-1C-00</v>
          </cell>
          <cell r="B931" t="str">
            <v xml:space="preserve">TEE NORMAL HILO NPT UL/FM 1 1/4 </v>
          </cell>
        </row>
        <row r="932">
          <cell r="A932" t="str">
            <v>ACR-CTNOR-1M-00</v>
          </cell>
          <cell r="B932" t="str">
            <v xml:space="preserve">TEE NORMAL HILO NPT UL/FM 1 1/2 </v>
          </cell>
        </row>
        <row r="933">
          <cell r="A933" t="str">
            <v>ACR-CTPNP-01-00</v>
          </cell>
          <cell r="B933" t="str">
            <v xml:space="preserve">TAPON/NIPLE T. HILO NPT UL/FM 1 </v>
          </cell>
        </row>
        <row r="934">
          <cell r="A934" t="str">
            <v>ACR-CTPNP-02-00</v>
          </cell>
          <cell r="B934" t="str">
            <v xml:space="preserve">TAPON/NIPLE T. HILO NPT UL/FM 2 </v>
          </cell>
        </row>
        <row r="935">
          <cell r="A935" t="str">
            <v>ACR-CTPNP-0C-00</v>
          </cell>
          <cell r="B935" t="str">
            <v xml:space="preserve">TAPON NIPLE HILO NPT CLAS 3000 1/4 </v>
          </cell>
        </row>
        <row r="936">
          <cell r="A936" t="str">
            <v>ACR-CTPNP-0C-BR</v>
          </cell>
          <cell r="B936" t="str">
            <v xml:space="preserve">TAPON/NIPLE T. HILO BR NPT 1/4 </v>
          </cell>
        </row>
        <row r="937">
          <cell r="A937" t="str">
            <v>ACR-CTPNP-0M-00</v>
          </cell>
          <cell r="B937" t="str">
            <v xml:space="preserve">TAPON/NIPLE T. HILO NPT UL/FM 1/2 </v>
          </cell>
        </row>
        <row r="938">
          <cell r="A938" t="str">
            <v>ACR-CTPNP-0T-00</v>
          </cell>
          <cell r="B938" t="str">
            <v xml:space="preserve">TAPON/NIPLE T. HILO NPT UL/FM 3/4 </v>
          </cell>
        </row>
        <row r="939">
          <cell r="A939" t="str">
            <v>ACR-CTPNP-1C-00</v>
          </cell>
          <cell r="B939" t="str">
            <v xml:space="preserve">TAPON/NIPLE T. HILO NPT UL/FM 1 1/4 </v>
          </cell>
        </row>
        <row r="940">
          <cell r="A940" t="str">
            <v>ACR-CTPNP-1M-00</v>
          </cell>
          <cell r="B940" t="str">
            <v xml:space="preserve">TAPON/NIPLE T. HILO NPT UL/FM 1 1/2 </v>
          </cell>
        </row>
        <row r="941">
          <cell r="A941" t="str">
            <v>ACR-CTRED-01X0M</v>
          </cell>
          <cell r="B941" t="str">
            <v xml:space="preserve">TEE REDUCTORA HILADO UL/FM 1 X1/2 </v>
          </cell>
        </row>
        <row r="942">
          <cell r="A942" t="str">
            <v>ACR-CTRED-01X0T</v>
          </cell>
          <cell r="B942" t="str">
            <v xml:space="preserve">TEE REDUCTORA HILADO UL/FM 1X 3/4 </v>
          </cell>
        </row>
        <row r="943">
          <cell r="A943" t="str">
            <v>ACR-CTRED-02X01</v>
          </cell>
          <cell r="B943" t="str">
            <v xml:space="preserve">TEE REDUCTORA HILADO UL/FM 2X 1 </v>
          </cell>
        </row>
        <row r="944">
          <cell r="A944" t="str">
            <v>ACR-CTRED-02X0M</v>
          </cell>
          <cell r="B944" t="str">
            <v xml:space="preserve">TEE REDUCTORA HILO NPT UL/FM 2X 1/2 </v>
          </cell>
        </row>
        <row r="945">
          <cell r="A945" t="str">
            <v>ACR-CTRED-02X1C</v>
          </cell>
          <cell r="B945" t="str">
            <v xml:space="preserve">TEE REDUCTORA HILADO UL/FM 2X 11/4 </v>
          </cell>
        </row>
        <row r="946">
          <cell r="A946" t="str">
            <v>ACR-CTRED-02X1M</v>
          </cell>
          <cell r="B946" t="str">
            <v xml:space="preserve">TEE REDUCTORA HILADO UL/FM 2X 11/2 </v>
          </cell>
        </row>
        <row r="947">
          <cell r="A947" t="str">
            <v>ACR-CTRED-0MX0C</v>
          </cell>
          <cell r="B947" t="str">
            <v xml:space="preserve">TEE REDUCTORA HILO NPT UL/FM 1/2 X1/4 </v>
          </cell>
        </row>
        <row r="948">
          <cell r="A948" t="str">
            <v>ACR-CTRED-1CX01</v>
          </cell>
          <cell r="B948" t="str">
            <v xml:space="preserve">TEE REDUCTORA HILADO UL/FM 11/4 X1 </v>
          </cell>
        </row>
        <row r="949">
          <cell r="A949" t="str">
            <v>ACR-CTRED-1CX0M</v>
          </cell>
          <cell r="B949" t="str">
            <v xml:space="preserve">TEE REDUCTORA HILO NPT UL/FM 11/4 X1/2 </v>
          </cell>
        </row>
        <row r="950">
          <cell r="A950" t="str">
            <v>ACR-CTRED-1CX0T</v>
          </cell>
          <cell r="B950" t="str">
            <v xml:space="preserve">TEE REDUCTORA HILADO UL/FM 11/4 X3/4 </v>
          </cell>
        </row>
        <row r="951">
          <cell r="A951" t="str">
            <v>ACR-CTRED-1MX01</v>
          </cell>
          <cell r="B951" t="str">
            <v xml:space="preserve">TEE REDUCTORA HILADO UL/FM 11/2 X1 </v>
          </cell>
        </row>
        <row r="952">
          <cell r="A952" t="str">
            <v>ACR-CTRED-1MX0M</v>
          </cell>
          <cell r="B952" t="str">
            <v xml:space="preserve">TEE REDUCTORA HILO NPT UL/FM 11/2 X1/2 </v>
          </cell>
        </row>
        <row r="953">
          <cell r="A953" t="str">
            <v>ACR-CTRED-1MX0T</v>
          </cell>
          <cell r="B953" t="str">
            <v xml:space="preserve">TEE REDUCTORA HILADO UL/FM 11/2 X3/4 </v>
          </cell>
        </row>
        <row r="954">
          <cell r="A954" t="str">
            <v>ACR-CTRED-1MX1C</v>
          </cell>
          <cell r="B954" t="str">
            <v>TEE REDUCTORA HILADO UL/FM 11/2 X11/4</v>
          </cell>
        </row>
        <row r="955">
          <cell r="A955" t="str">
            <v>ACR-CUNAM-01-00</v>
          </cell>
          <cell r="B955" t="str">
            <v xml:space="preserve">UNION AMERICANA HILO NPT UL/FM 1 </v>
          </cell>
        </row>
        <row r="956">
          <cell r="A956" t="str">
            <v>ACR-CUNAM-02-00</v>
          </cell>
          <cell r="B956" t="str">
            <v xml:space="preserve">UNION AMERICANA HILO NPT UL/FM 2 </v>
          </cell>
        </row>
        <row r="957">
          <cell r="A957" t="str">
            <v>ACR-CUNAM-0C-00</v>
          </cell>
          <cell r="B957" t="str">
            <v xml:space="preserve">UNION AMERICANA HILO NPT UL/FM 1/4 </v>
          </cell>
        </row>
        <row r="958">
          <cell r="A958" t="str">
            <v>ACR-CUNAM-0M-00</v>
          </cell>
          <cell r="B958" t="str">
            <v xml:space="preserve">UNION AMERICANA HILO NPT UL/FM 1/2 </v>
          </cell>
        </row>
        <row r="959">
          <cell r="A959" t="str">
            <v>ACR-CUNAM-0T-00</v>
          </cell>
          <cell r="B959" t="str">
            <v xml:space="preserve">UNION AMERICANA HILO NPT UL/FM 3/4 </v>
          </cell>
        </row>
        <row r="960">
          <cell r="A960" t="str">
            <v>ACR-CUNAM-1C-00</v>
          </cell>
          <cell r="B960" t="str">
            <v xml:space="preserve">UNION AMERICANA HILO NPT UL/FM 1 1/4 </v>
          </cell>
        </row>
        <row r="961">
          <cell r="A961" t="str">
            <v>ACR-CUNAM-1M-00</v>
          </cell>
          <cell r="B961" t="str">
            <v xml:space="preserve">UNION AMERICANA HILO NPT UL/FM 1 1/2 </v>
          </cell>
        </row>
        <row r="962">
          <cell r="A962" t="str">
            <v>ACR-DUCBJR-01X0M</v>
          </cell>
          <cell r="B962" t="str">
            <v>BUJE REDUC. HILO NPT UL/FM 1 X 1/2  FIG.241 DUCTIL</v>
          </cell>
        </row>
        <row r="963">
          <cell r="A963" t="str">
            <v>ACR-DUCBJR-01X0T</v>
          </cell>
          <cell r="B963" t="str">
            <v>BUJE REDUC. HILO NPT UL/FM 1 X 3/4  FIG.241 DUCTIL</v>
          </cell>
        </row>
        <row r="964">
          <cell r="A964" t="str">
            <v>ACR-DUCBJR-0MX0C</v>
          </cell>
          <cell r="B964" t="str">
            <v>BUJE REDUC. HILO NPT UL/FM 1/2 X  1/4 FIG.241 DUCTIL</v>
          </cell>
        </row>
        <row r="965">
          <cell r="A965" t="str">
            <v>ACR-DUCBJR-1CX01</v>
          </cell>
          <cell r="B965" t="str">
            <v>BUJE REDUC. HILO NPT UL/FM 11/4 X 1  FIG.241 DUCTIL</v>
          </cell>
        </row>
        <row r="966">
          <cell r="A966" t="str">
            <v>ACR-DUCBJRD0-MX0C</v>
          </cell>
          <cell r="B966" t="str">
            <v>BUJE REDUC. HILO NPT UL/FM 1/2 X1/4 FIG.241 DUCTIL</v>
          </cell>
        </row>
        <row r="967">
          <cell r="A967" t="str">
            <v>ACR-DUCBJRD1-MX0M</v>
          </cell>
          <cell r="B967" t="str">
            <v>BUJE REDUC. HILO NPT UL/FM 1 1/2 X1/2 FIG.241 DUCTIL</v>
          </cell>
        </row>
        <row r="968">
          <cell r="A968" t="str">
            <v>ACR-DUCCO45-01-00</v>
          </cell>
          <cell r="B968" t="str">
            <v>CODO 45º HILADO UL/FM 1 FIG.120  DUCTIL</v>
          </cell>
        </row>
        <row r="969">
          <cell r="A969" t="str">
            <v>ACR-DUCCO45-02-00</v>
          </cell>
          <cell r="B969" t="str">
            <v>CODO 45º HILADO UL/FM 2 FIG.120 DUCTIL</v>
          </cell>
        </row>
        <row r="970">
          <cell r="A970" t="str">
            <v>ACR-DUCCO45-0M-00</v>
          </cell>
          <cell r="B970" t="str">
            <v>CODO 45º HILADO UL/FM 1/2 FIG.120 DUCTIL</v>
          </cell>
        </row>
        <row r="971">
          <cell r="A971" t="str">
            <v>ACR-DUCCO45-0T-00</v>
          </cell>
          <cell r="B971" t="str">
            <v>CODO 45º HILADO UL/FM 3/4 FIG.120 DUCTIL</v>
          </cell>
        </row>
        <row r="972">
          <cell r="A972" t="str">
            <v>ACR-DUCCO45-1C-00</v>
          </cell>
          <cell r="B972" t="str">
            <v>CODO 45º HILADO UL/FM 1 1/4 FIG.120  DUCTIL</v>
          </cell>
        </row>
        <row r="973">
          <cell r="A973" t="str">
            <v>ACR-DUCCO45-1M-00</v>
          </cell>
          <cell r="B973" t="str">
            <v>CODO 45º HILADO UL/FM 1 1/2 FIG.120 DUCTIL</v>
          </cell>
        </row>
        <row r="974">
          <cell r="A974" t="str">
            <v>ACR-DUCCO90-01-00</v>
          </cell>
          <cell r="B974" t="str">
            <v>CODO 90º HILADA UL/FM 1  FIG. 90 DUCTIL</v>
          </cell>
        </row>
        <row r="975">
          <cell r="A975" t="str">
            <v>ACR-DUCCO90-02-00</v>
          </cell>
          <cell r="B975" t="str">
            <v>CODO 90º HILADA UL/FM 2  FIG. 90 DUCTIL</v>
          </cell>
        </row>
        <row r="976">
          <cell r="A976" t="str">
            <v>ACR-DUCCO90-0M-00</v>
          </cell>
          <cell r="B976" t="str">
            <v>CODO 90º HILADA UL/FM 1/2 FIG.90 DUCTIL</v>
          </cell>
        </row>
        <row r="977">
          <cell r="A977" t="str">
            <v>ACR-DUCCO90-1C-00</v>
          </cell>
          <cell r="B977" t="str">
            <v>CODO 90º HILADA UL/FM 1 1/4 FIG. 90 DUCTIL</v>
          </cell>
        </row>
        <row r="978">
          <cell r="A978" t="str">
            <v>ACR-DUCCO90-1M-00</v>
          </cell>
          <cell r="B978" t="str">
            <v>CODO 90º HILADA UL/FM 1 1/2  FIG. 90 DUCTIL</v>
          </cell>
        </row>
        <row r="979">
          <cell r="A979" t="str">
            <v>ACR-DUCCR90-01X0M</v>
          </cell>
          <cell r="B979" t="str">
            <v>CODO RED 90º HILADO UL/FM 1 X1/2  FIG.90R DUCTIL</v>
          </cell>
        </row>
        <row r="980">
          <cell r="A980" t="str">
            <v>ACR-DUCCR90-01X0T</v>
          </cell>
          <cell r="B980" t="str">
            <v>CODO RED 90º HILADO UL/FM 1 X3/4  FIG.90R DUCTIL</v>
          </cell>
        </row>
        <row r="981">
          <cell r="A981" t="str">
            <v>ACR-DUCCR90-02X1C</v>
          </cell>
          <cell r="B981" t="str">
            <v>CODO REDUCCION 90ºHILADA UL/FM 2X 11/4 FIG.90R DUCTIL</v>
          </cell>
        </row>
        <row r="982">
          <cell r="A982" t="str">
            <v>ACR-DUCCR90-1CX01</v>
          </cell>
          <cell r="B982" t="str">
            <v>CODO RED 90º HILADO UL/FM 1 1/4 X 1 FIG.90R DUCTIL</v>
          </cell>
        </row>
        <row r="983">
          <cell r="A983" t="str">
            <v>ACR-DUCCR90-1MX01</v>
          </cell>
          <cell r="B983" t="str">
            <v>CODO REDUCCION 90ºHILADA UL/FM 11/2 X1 FIG.90R DUCTIL</v>
          </cell>
        </row>
        <row r="984">
          <cell r="A984" t="str">
            <v>ACR-DUCCR90-1MX0M</v>
          </cell>
          <cell r="B984" t="str">
            <v>CODO RED 90º HILADO UL/FM 1 1/2 X 1/2  FIG.90R DUCTIL</v>
          </cell>
        </row>
        <row r="985">
          <cell r="A985" t="str">
            <v>ACR-DUCCR90-1MX0T</v>
          </cell>
          <cell r="B985" t="str">
            <v>CODO RED 90º HILADO UL/FM 1 1/2 X 3/4  FIG.90R DUCTIL</v>
          </cell>
        </row>
        <row r="986">
          <cell r="A986" t="str">
            <v>ACR-DUCCRUZ-1M-00</v>
          </cell>
          <cell r="B986" t="str">
            <v>CRUZETA HILADA UL/FM 1 1/2  FIG. 180 DUCTIL</v>
          </cell>
        </row>
        <row r="987">
          <cell r="A987" t="str">
            <v>ACR-DUCCUPL-01-00</v>
          </cell>
          <cell r="B987" t="str">
            <v>CUPLA HILO NPT UL/FM 1 FIG. 220 DUCTIL</v>
          </cell>
        </row>
        <row r="988">
          <cell r="A988" t="str">
            <v>ACR-DUCCUPL-1C-00</v>
          </cell>
          <cell r="B988" t="str">
            <v>CUPLA HILO NPT UL/FM 1 1/4 FIG. 220 DUCTIL</v>
          </cell>
        </row>
        <row r="989">
          <cell r="A989" t="str">
            <v>ACR-DUCCUPL-1M-00</v>
          </cell>
          <cell r="B989" t="str">
            <v>CUPLA HILO NPT UL/FM 1 1/2 FIG. 220 DUCTIL</v>
          </cell>
        </row>
        <row r="990">
          <cell r="A990" t="str">
            <v>ACR-DUCNPTU-01-00</v>
          </cell>
          <cell r="B990" t="str">
            <v>NIPLE TUERCA HILO NPT UL/FM 1  FIG.280 DUCTIL</v>
          </cell>
        </row>
        <row r="991">
          <cell r="A991" t="str">
            <v>ACR-DUCNPTU-02-00</v>
          </cell>
          <cell r="B991" t="str">
            <v>NIPLE TUERCA HILO NPT UL/FM 2  FIG.280 DUCTIL</v>
          </cell>
        </row>
        <row r="992">
          <cell r="A992" t="str">
            <v>ACR-DUCNPTU-1C-00</v>
          </cell>
          <cell r="B992" t="str">
            <v>NIPLE TUERCA HILO NPT UL/FM 1 1/4 FIG.280 DUCTIL</v>
          </cell>
        </row>
        <row r="993">
          <cell r="A993" t="str">
            <v>ACR-DUCNPTU-1M-00</v>
          </cell>
          <cell r="B993" t="str">
            <v>NIPLE TUERCA HILO NPT UL/FM 1 1/2 FIG.280 DUCTIL</v>
          </cell>
        </row>
        <row r="994">
          <cell r="A994" t="str">
            <v>ACR-DUCPRD-01X0M</v>
          </cell>
          <cell r="B994" t="str">
            <v>CUPLA RED. HILO NPTUL/FM 1 X 1/2  FIG.240 DUCTIL</v>
          </cell>
        </row>
        <row r="995">
          <cell r="A995" t="str">
            <v>ACR-DUCPRD-01X0T</v>
          </cell>
          <cell r="B995" t="str">
            <v>CUPLA RED. HILO NPTUL/FM 1 X 3/4  FIG.240 DUCTIL</v>
          </cell>
        </row>
        <row r="996">
          <cell r="A996" t="str">
            <v>ACR-DUCPRD-02X01</v>
          </cell>
          <cell r="B996" t="str">
            <v>CUPLA RED. HILO NPTUL/FM 2 X 1  FIG.240 DUCTIL</v>
          </cell>
        </row>
        <row r="997">
          <cell r="A997" t="str">
            <v>ACR-DUCPRD-02X1C</v>
          </cell>
          <cell r="B997" t="str">
            <v>CUPLA RED. HILO NPTUL/FM 2 X 1 1/4  FIG.240 DUCTIL</v>
          </cell>
        </row>
        <row r="998">
          <cell r="A998" t="str">
            <v>ACR-DUCPRD-02X1M</v>
          </cell>
          <cell r="B998" t="str">
            <v>CUPLA RED. HILO NPTUL/FM 2 X 1 1/2  FIG.240 DUCTIL</v>
          </cell>
        </row>
        <row r="999">
          <cell r="A999" t="str">
            <v>ACR-DUCPRD-1CX01</v>
          </cell>
          <cell r="B999" t="str">
            <v>CUPLA RED. HILO NPTUL/FM 1 1/4 X 1  FIG.240 DUCTIL</v>
          </cell>
        </row>
        <row r="1000">
          <cell r="A1000" t="str">
            <v>ACR-DUCPRD-1CX0T</v>
          </cell>
          <cell r="B1000" t="str">
            <v>CUPLA RED. HILO NPTUL/FM 1 1/4 X 3/4  FIG.240 DUCTIL</v>
          </cell>
        </row>
        <row r="1001">
          <cell r="A1001" t="str">
            <v>ACR-DUCPRD-1MX01</v>
          </cell>
          <cell r="B1001" t="str">
            <v>CUPLA RED. HILO NPTUL/FM 1 1/2 X 1  FIG.240 DUCTIL</v>
          </cell>
        </row>
        <row r="1002">
          <cell r="A1002" t="str">
            <v>ACR-DUCPRD-1MX0T</v>
          </cell>
          <cell r="B1002" t="str">
            <v>CUPLA RED. HILO NPTUL/FM 1 1/2 X 3/4  FIG.240 DUCTIL</v>
          </cell>
        </row>
        <row r="1003">
          <cell r="A1003" t="str">
            <v>ACR-DUCPRD-1MX1C</v>
          </cell>
          <cell r="B1003" t="str">
            <v>CUPLA RED. HILO NPTUL/FM 1 1/2 X 1 1/4  FIG.240 DUCTIL</v>
          </cell>
        </row>
        <row r="1004">
          <cell r="A1004" t="str">
            <v>ACR-DUCTAPA-01-00</v>
          </cell>
          <cell r="B1004" t="str">
            <v>TAPA CAP HILO NPT UL/FM 1  FIG.300 DUCTIL</v>
          </cell>
        </row>
        <row r="1005">
          <cell r="A1005" t="str">
            <v>ACR-DUCTAPA-1C-00</v>
          </cell>
          <cell r="B1005" t="str">
            <v>TAPA CAP HILO NPT UL/FM 1 1/4 FIG.300 DUCTIL</v>
          </cell>
        </row>
        <row r="1006">
          <cell r="A1006" t="str">
            <v>ACR-DUCTAPA-1M-00</v>
          </cell>
          <cell r="B1006" t="str">
            <v>TAPA CAP HILO NPT UL/FM 1 1/2 FIG.300 DUCTIL</v>
          </cell>
        </row>
        <row r="1007">
          <cell r="A1007" t="str">
            <v>ACR-DUCTNOR-01-00</v>
          </cell>
          <cell r="B1007" t="str">
            <v>TEE NORMAL HILO NPT UL/FM 1  FIG. 130 DUCTIL</v>
          </cell>
        </row>
        <row r="1008">
          <cell r="A1008" t="str">
            <v>ACR-DUCTNOR-02-00</v>
          </cell>
          <cell r="B1008" t="str">
            <v>TEE NORMAL HILO NPT UL/FM 2 FIG. 130 DUCTIL</v>
          </cell>
        </row>
        <row r="1009">
          <cell r="A1009" t="str">
            <v>ACR-DUCTNOR-1C-00</v>
          </cell>
          <cell r="B1009" t="str">
            <v>TEE NORMAL HILO NPT UL/FM 1 1/4 FIG. 130 DUCTIL</v>
          </cell>
        </row>
        <row r="1010">
          <cell r="A1010" t="str">
            <v>ACR-DUCTNOR-1M-00</v>
          </cell>
          <cell r="B1010" t="str">
            <v>TEE NORMAL HILO NPT UL/FM 1 1/2 FIG. 130 DUCTIL</v>
          </cell>
        </row>
        <row r="1011">
          <cell r="A1011" t="str">
            <v>ACR-DUCTPNP-01-00</v>
          </cell>
          <cell r="B1011" t="str">
            <v>TAPON/NIPLE T. HILO NPT UL/FM 1  FIG. 291 DUCTIL</v>
          </cell>
        </row>
        <row r="1012">
          <cell r="A1012" t="str">
            <v>ACR-DUCTPNP-02-00</v>
          </cell>
          <cell r="B1012" t="str">
            <v>TAPON/NIPLE T. HILO NPT UL/FM 2 FIG.291 DUCTIL</v>
          </cell>
        </row>
        <row r="1013">
          <cell r="A1013" t="str">
            <v>ACR-DUCTPNP-0M-00</v>
          </cell>
          <cell r="B1013" t="str">
            <v>TAPON/NIPLE T. HILO NPT UL/FM 1/2 FIG. 291 DUCTIL</v>
          </cell>
        </row>
        <row r="1014">
          <cell r="A1014" t="str">
            <v>ACR-DUCTPNP-0T-00</v>
          </cell>
          <cell r="B1014" t="str">
            <v>TAPON/NIPLE T. HILO NPT UL/FM 3/4 FIG. 291 DUCTIL</v>
          </cell>
        </row>
        <row r="1015">
          <cell r="A1015" t="str">
            <v>ACR-DUCTPNP-1C-00</v>
          </cell>
          <cell r="B1015" t="str">
            <v>TAPON/NIPLE T. HILO NPT UL/FM 1 1/4 FIG. 291 DUCTIL</v>
          </cell>
        </row>
        <row r="1016">
          <cell r="A1016" t="str">
            <v>ACR-DUCTPNP-1M-00</v>
          </cell>
          <cell r="B1016" t="str">
            <v>TAPON/NIPLE T. HILO NPT UL/FM 1 1/2 FIG. 291 DUCTIL</v>
          </cell>
        </row>
        <row r="1017">
          <cell r="A1017" t="str">
            <v>ACR-DUCTRED-01X0T</v>
          </cell>
          <cell r="B1017" t="str">
            <v>TEE REDUCTORA HILADO UL/FM 1X 3/4 FIG.130R DUCTIL</v>
          </cell>
        </row>
        <row r="1018">
          <cell r="A1018" t="str">
            <v>ACR-DUCTRED-02X1C</v>
          </cell>
          <cell r="B1018" t="str">
            <v>TEE RED HILADO UL/FM 2 X 1 1/4  FIG.130R DUCTIL</v>
          </cell>
        </row>
        <row r="1019">
          <cell r="A1019" t="str">
            <v>ACR-DUCTRED-1CX0M</v>
          </cell>
          <cell r="B1019" t="str">
            <v>TEE REDUCTORA HILO NPT UL/FM 11/4 X1/2 FIG.130R DUCTIL</v>
          </cell>
        </row>
        <row r="1020">
          <cell r="A1020" t="str">
            <v>ACR-DUCTRED-1CX0T</v>
          </cell>
          <cell r="B1020" t="str">
            <v>TEE REDUCTORA HILADO UL/FM 11/4 X3/4 FIG.130R DUCTIL</v>
          </cell>
        </row>
        <row r="1021">
          <cell r="A1021" t="str">
            <v>ACR-DUCTRED-1CX1</v>
          </cell>
          <cell r="B1021" t="str">
            <v>TEE RED HILADO UL/FM 1 1/4 X 1 FIG.130R DUCTIL</v>
          </cell>
        </row>
        <row r="1022">
          <cell r="A1022" t="str">
            <v>ACR-DUCTRED-1MX01</v>
          </cell>
          <cell r="B1022" t="str">
            <v>TEE RED HILADO UL/FM 1 1/2 X 1 FIG.130R DUCTIL</v>
          </cell>
        </row>
        <row r="1023">
          <cell r="A1023" t="str">
            <v>ACR-DUCTRED-1MX0M</v>
          </cell>
          <cell r="B1023" t="str">
            <v>TEE REDUCTORA HILO NPT UL/FM 11/2 X1/2 FIG.130R DUCTIL</v>
          </cell>
        </row>
        <row r="1024">
          <cell r="A1024" t="str">
            <v>ACR-DUCTRED-1MX0T</v>
          </cell>
          <cell r="B1024" t="str">
            <v>TEE REDUCTORA HILADO UL/FM 11/2 X3/4 FIG.130R DUCTIL</v>
          </cell>
        </row>
        <row r="1025">
          <cell r="A1025" t="str">
            <v>ACR-DUCUNAM-01-00</v>
          </cell>
          <cell r="B1025" t="str">
            <v>UNION AMER. HILO NPT UL/FM 1  FIG. 342 DUCTIL</v>
          </cell>
        </row>
        <row r="1026">
          <cell r="A1026" t="str">
            <v>ACR-DUCUNAM-1C-00</v>
          </cell>
          <cell r="B1026" t="str">
            <v>UNION AMER. HILO NPT UL/FM 1 1/4 FIG. 342 DUCTIL</v>
          </cell>
        </row>
        <row r="1027">
          <cell r="A1027" t="str">
            <v>ACR-DUCUNAM-1M-00</v>
          </cell>
          <cell r="B1027" t="str">
            <v>UNION AMER. HILO NPT UL/FM 1 1/2 FIG. 342 DUCTIL</v>
          </cell>
        </row>
        <row r="1028">
          <cell r="A1028" t="str">
            <v>ACR-G120 15-0M-G300</v>
          </cell>
          <cell r="B1028" t="str">
            <v>CODO 45 NPT GALV UL/FM 1/2 CLASE 300</v>
          </cell>
        </row>
        <row r="1029">
          <cell r="A1029" t="str">
            <v>ACR-G120 20-0T-G300</v>
          </cell>
          <cell r="B1029" t="str">
            <v>CODO 45 NPT GALV UL/FM 3/4 CLASE 300</v>
          </cell>
        </row>
        <row r="1030">
          <cell r="A1030" t="str">
            <v>ACR-G120 25-1-G300</v>
          </cell>
          <cell r="B1030" t="str">
            <v>CODO 45 NPT GALV UL/FM 1 CLASE 300</v>
          </cell>
        </row>
        <row r="1031">
          <cell r="A1031" t="str">
            <v>ACR-G120 32-1C-G300</v>
          </cell>
          <cell r="B1031" t="str">
            <v>CODO 45 NPT GALV UL/FM 1 1/4 CLASE 300</v>
          </cell>
        </row>
        <row r="1032">
          <cell r="A1032" t="str">
            <v>ACR-G120 40-1M-G300</v>
          </cell>
          <cell r="B1032" t="str">
            <v>CODO 45 NPT GALV UL/FM 1 1/2 CLASE 300</v>
          </cell>
        </row>
        <row r="1033">
          <cell r="A1033" t="str">
            <v>ACR-G120 50-2-G300</v>
          </cell>
          <cell r="B1033" t="str">
            <v>CODO 45 NPT GALV UL/FM 2 CLASE 300</v>
          </cell>
        </row>
        <row r="1034">
          <cell r="A1034" t="str">
            <v>ACR-G12015-GALV</v>
          </cell>
          <cell r="B1034" t="str">
            <v>CODO 45 NPT GALV UL/FM 1/2 CLASE 150</v>
          </cell>
        </row>
        <row r="1035">
          <cell r="A1035" t="str">
            <v>ACR-G12020-GALV</v>
          </cell>
          <cell r="B1035" t="str">
            <v>CODO 45 NPT GALV UL/FM 3/4 CLASE 150</v>
          </cell>
        </row>
        <row r="1036">
          <cell r="A1036" t="str">
            <v>ACR-G12025-GALV</v>
          </cell>
          <cell r="B1036" t="str">
            <v>CODO 45 NPT GALV UL/FM 1 CLASE 150</v>
          </cell>
        </row>
        <row r="1037">
          <cell r="A1037" t="str">
            <v>ACR-G12032-GALV</v>
          </cell>
          <cell r="B1037" t="str">
            <v>CODO 45 NPT GALV UL/FM 11/4 CLASE 150</v>
          </cell>
        </row>
        <row r="1038">
          <cell r="A1038" t="str">
            <v>ACR-G12040-GALV</v>
          </cell>
          <cell r="B1038" t="str">
            <v>CODO 45 NPT GALV UL/FM 11/2 CLASE 150</v>
          </cell>
        </row>
        <row r="1039">
          <cell r="A1039" t="str">
            <v>ACR-G12050-GALV</v>
          </cell>
          <cell r="B1039" t="str">
            <v>CODO 45 NPT GALV UL/FM 2 CLASE 150</v>
          </cell>
        </row>
        <row r="1040">
          <cell r="A1040" t="str">
            <v>ACR-G130 10-3/8-G300</v>
          </cell>
          <cell r="B1040" t="str">
            <v>TEE NPT GALV UL/FM 3/8 CLASE 300</v>
          </cell>
        </row>
        <row r="1041">
          <cell r="A1041" t="str">
            <v>ACR-G130 15-0M-G300</v>
          </cell>
          <cell r="B1041" t="str">
            <v>TEE NPT GALV UL/FM 1/2 CLASE 300</v>
          </cell>
        </row>
        <row r="1042">
          <cell r="A1042" t="str">
            <v>ACR-G130 20-0T-G300</v>
          </cell>
          <cell r="B1042" t="str">
            <v>TEE NPT GALV UL/FM 3/4 CLASE 300</v>
          </cell>
        </row>
        <row r="1043">
          <cell r="A1043" t="str">
            <v>ACR-G130 25-1-G300</v>
          </cell>
          <cell r="B1043" t="str">
            <v>TEE NPT GALV UL/FM 1 CLASE 300</v>
          </cell>
        </row>
        <row r="1044">
          <cell r="A1044" t="str">
            <v>ACR-G130 32-1C-G300</v>
          </cell>
          <cell r="B1044" t="str">
            <v>TEE NPT GALV UL/FM 11/4 CLASE 300</v>
          </cell>
        </row>
        <row r="1045">
          <cell r="A1045" t="str">
            <v>ACR-G130 40-1M-G300</v>
          </cell>
          <cell r="B1045" t="str">
            <v>TEE NPT GALV UL/FM 11/2 CLASE 300</v>
          </cell>
        </row>
        <row r="1046">
          <cell r="A1046" t="str">
            <v>ACR-G130 50-2-G300</v>
          </cell>
          <cell r="B1046" t="str">
            <v>TEE NPT GALV UL/FM 2 CLASE 300</v>
          </cell>
        </row>
        <row r="1047">
          <cell r="A1047" t="str">
            <v>ACR-G13010-GALV</v>
          </cell>
          <cell r="B1047" t="str">
            <v>TEE NPT GALV UL/FM 3/8 CLASE 150</v>
          </cell>
        </row>
        <row r="1048">
          <cell r="A1048" t="str">
            <v>ACR-G13015-GALV</v>
          </cell>
          <cell r="B1048" t="str">
            <v>TEE NPT GALV UL/FM 1/2 CLASE 150</v>
          </cell>
        </row>
        <row r="1049">
          <cell r="A1049" t="str">
            <v>ACR-G13020-GALV</v>
          </cell>
          <cell r="B1049" t="str">
            <v>TEE NPT GALV UL/FM 3/4 CLASE 150</v>
          </cell>
        </row>
        <row r="1050">
          <cell r="A1050" t="str">
            <v>ACR-G13025-GALV</v>
          </cell>
          <cell r="B1050" t="str">
            <v>TEE NPT GALV UL/FM 1 CLASE 150</v>
          </cell>
        </row>
        <row r="1051">
          <cell r="A1051" t="str">
            <v>ACR-G13032-GALV</v>
          </cell>
          <cell r="B1051" t="str">
            <v>TEE NPT GALV UL/FM 11/4 CLASE 150</v>
          </cell>
        </row>
        <row r="1052">
          <cell r="A1052" t="str">
            <v>ACR-G13040-GALV</v>
          </cell>
          <cell r="B1052" t="str">
            <v>TEE NPT GALV UL/FM 11/2 CLASE 150</v>
          </cell>
        </row>
        <row r="1053">
          <cell r="A1053" t="str">
            <v>ACR-G13050-GALV</v>
          </cell>
          <cell r="B1053" t="str">
            <v>TEE NPT GALV UL/FM 2 CLASE 150</v>
          </cell>
        </row>
        <row r="1054">
          <cell r="A1054" t="str">
            <v>ACR-G130R -01X0M-G30</v>
          </cell>
          <cell r="B1054" t="str">
            <v>TEE RED NPT  GALV UL/FM 1 X 1/2 CLASE 300</v>
          </cell>
        </row>
        <row r="1055">
          <cell r="A1055" t="str">
            <v>ACR-G130R -01X0T-G30</v>
          </cell>
          <cell r="B1055" t="str">
            <v>TEE RED NPT  GALV UL/FM 1 X 3/4 CLASE 300</v>
          </cell>
        </row>
        <row r="1056">
          <cell r="A1056" t="str">
            <v>ACR-G130R -0TX0M-G30</v>
          </cell>
          <cell r="B1056" t="str">
            <v>TEE RED NPT  GALV UL/FM 3/4X1/2 CLASE 300</v>
          </cell>
        </row>
        <row r="1057">
          <cell r="A1057" t="str">
            <v>ACR-G130R -1CX01-G30</v>
          </cell>
          <cell r="B1057" t="str">
            <v>TEE RED NPT  GALV UL/FM 11/4 X 1 CLASE 300</v>
          </cell>
        </row>
        <row r="1058">
          <cell r="A1058" t="str">
            <v>ACR-G130R -1CX0M-G30</v>
          </cell>
          <cell r="B1058" t="str">
            <v>TEE RED NPT  GALV UL/FM 11/4 X 1/2 CLASE 300</v>
          </cell>
        </row>
        <row r="1059">
          <cell r="A1059" t="str">
            <v>ACR-G130R -1CX0T-G30</v>
          </cell>
          <cell r="B1059" t="str">
            <v>TEE RED NPT  GALV UL/FM 1 1/4X 3/4 CLASE 300</v>
          </cell>
        </row>
        <row r="1060">
          <cell r="A1060" t="str">
            <v>ACR-G130R-01X0M-GALV</v>
          </cell>
          <cell r="B1060" t="str">
            <v>TEE RED NPT  GALV UL/FM 1 X 1/2 CLASE 150</v>
          </cell>
        </row>
        <row r="1061">
          <cell r="A1061" t="str">
            <v>ACR-G130R-01X0T-GALV</v>
          </cell>
          <cell r="B1061" t="str">
            <v>TEE RED NPT  GALV UL/FM 1 X 3/4 CLASE 150</v>
          </cell>
        </row>
        <row r="1062">
          <cell r="A1062" t="str">
            <v>ACR-G130R-02X01-G300</v>
          </cell>
          <cell r="B1062" t="str">
            <v>TEE RED NPT  GALV UL/FM 2 X 1 CLASE 300</v>
          </cell>
        </row>
        <row r="1063">
          <cell r="A1063" t="str">
            <v>ACR-G130R-02X01-GALV</v>
          </cell>
          <cell r="B1063" t="str">
            <v>TEE RED NPT  GALV UL/FM 2 X 1 CLASE 150</v>
          </cell>
        </row>
        <row r="1064">
          <cell r="A1064" t="str">
            <v>ACR-G130R-02X0M-G300</v>
          </cell>
          <cell r="B1064" t="str">
            <v>TEE RED NPT  GALV UL/FM 2 X 1/2 CLASE 300</v>
          </cell>
        </row>
        <row r="1065">
          <cell r="A1065" t="str">
            <v>ACR-G130R-02X0T-GALV</v>
          </cell>
          <cell r="B1065" t="str">
            <v>TEE RED NPT  GALV UL/FM 2 X 3/4 CLASE 150</v>
          </cell>
        </row>
        <row r="1066">
          <cell r="A1066" t="str">
            <v>ACR-G130R-02X1C-G300</v>
          </cell>
          <cell r="B1066" t="str">
            <v>TEE RED NPT  GALV UL/FM 2 X 11/4 CLASE 300</v>
          </cell>
        </row>
        <row r="1067">
          <cell r="A1067" t="str">
            <v>ACR-G130R-02X1C-GALV</v>
          </cell>
          <cell r="B1067" t="str">
            <v>TEE RED NPT  GALV UL/FM 2 X 11/4 CLASE 150</v>
          </cell>
        </row>
        <row r="1068">
          <cell r="A1068" t="str">
            <v>ACR-G130R-02X1M-G300</v>
          </cell>
          <cell r="B1068" t="str">
            <v>TEE RED NPT  GALV UL/FM 2 X 11/2 CLASE 300</v>
          </cell>
        </row>
        <row r="1069">
          <cell r="A1069" t="str">
            <v>ACR-G130R-02X1M-GALV</v>
          </cell>
          <cell r="B1069" t="str">
            <v>TEE RED NPT  GALV UL/FM 2 X 11/2 CLASE 150</v>
          </cell>
        </row>
        <row r="1070">
          <cell r="A1070" t="str">
            <v>ACR-G130R-1CX01-GALV</v>
          </cell>
          <cell r="B1070" t="str">
            <v>TEE RED NPT  GALV UL/FM 11/4 X 1 CLASE 150</v>
          </cell>
        </row>
        <row r="1071">
          <cell r="A1071" t="str">
            <v>ACR-G130R-1CX0M-GALV</v>
          </cell>
          <cell r="B1071" t="str">
            <v>TEE RED NPT  GALV UL/FM 11/4 X 1/2 CLASE 150</v>
          </cell>
        </row>
        <row r="1072">
          <cell r="A1072" t="str">
            <v>ACR-G130R-1MX01-G300</v>
          </cell>
          <cell r="B1072" t="str">
            <v>TEE RED NPT  GALV UL/FM 11/2 X 1 CLASE 300</v>
          </cell>
        </row>
        <row r="1073">
          <cell r="A1073" t="str">
            <v>ACR-G130R-1MX01-GALV</v>
          </cell>
          <cell r="B1073" t="str">
            <v>TEE RED NPT  GALV UL/FM 11/2 X 1 CLASE 150</v>
          </cell>
        </row>
        <row r="1074">
          <cell r="A1074" t="str">
            <v>ACR-G130R-1MX0M-G300</v>
          </cell>
          <cell r="B1074" t="str">
            <v>TEE RED NPT  GALV UL/FM 1 1/2 X 1/2 CLASE 300</v>
          </cell>
        </row>
        <row r="1075">
          <cell r="A1075" t="str">
            <v>ACR-G130R-1MX0T-G300</v>
          </cell>
          <cell r="B1075" t="str">
            <v>TEE RED NPT  GALV UL/FM 11/2 X 3/4 CLASE 300</v>
          </cell>
        </row>
        <row r="1076">
          <cell r="A1076" t="str">
            <v>ACR-G130R-1MX1C-G300</v>
          </cell>
          <cell r="B1076" t="str">
            <v>TEE RED NPT  GALV UL/FM 11/2 X 11/4 CLASE 300</v>
          </cell>
        </row>
        <row r="1077">
          <cell r="A1077" t="str">
            <v>ACR-G130R-1MX1C-GALV</v>
          </cell>
          <cell r="B1077" t="str">
            <v>TEE RED NPT  GALV UL/FM 11/2 X 11/4 CLASE 150</v>
          </cell>
        </row>
        <row r="1078">
          <cell r="A1078" t="str">
            <v>ACR-G22015-GALV</v>
          </cell>
          <cell r="B1078" t="str">
            <v>CUPLA HILO NPT GALV UL/FM 1/2 CLASE 150</v>
          </cell>
        </row>
        <row r="1079">
          <cell r="A1079" t="str">
            <v>ACR-G22020-GALV</v>
          </cell>
          <cell r="B1079" t="str">
            <v>CUPLA HILO NPT GALV UL/FM 3/4 CLASE 150</v>
          </cell>
        </row>
        <row r="1080">
          <cell r="A1080" t="str">
            <v>ACR-G22025-GALV</v>
          </cell>
          <cell r="B1080" t="str">
            <v>CUPLA HILO NPT GALV UL/FM 1 CLASE 150</v>
          </cell>
        </row>
        <row r="1081">
          <cell r="A1081" t="str">
            <v>ACR-G22032-GALV</v>
          </cell>
          <cell r="B1081" t="str">
            <v>CUPLA HILO NPT GALV UL/FM 11/4 CLASE 150</v>
          </cell>
        </row>
        <row r="1082">
          <cell r="A1082" t="str">
            <v>ACR-G22040-GALV</v>
          </cell>
          <cell r="B1082" t="str">
            <v>CUPLA HILO NPT GALV UL/FM 11/2 CLASE 150</v>
          </cell>
        </row>
        <row r="1083">
          <cell r="A1083" t="str">
            <v>ACR-G22050-GALV</v>
          </cell>
          <cell r="B1083" t="str">
            <v>CUPLA HILO NPT GALV UL/FM 2 CLASE 150</v>
          </cell>
        </row>
        <row r="1084">
          <cell r="A1084" t="str">
            <v>ACR-G240-01X0M-G300</v>
          </cell>
          <cell r="B1084" t="str">
            <v>CUPLA RED NPT GALV UL/FM 1 X  1/2  CLASE 300</v>
          </cell>
        </row>
        <row r="1085">
          <cell r="A1085" t="str">
            <v>ACR-G240-01X0M-GALV</v>
          </cell>
          <cell r="B1085" t="str">
            <v>CUPLA RED NPT GALV UL/FM 1 X  1/2  CLASE 150</v>
          </cell>
        </row>
        <row r="1086">
          <cell r="A1086" t="str">
            <v>ACR-G240-01X0T-G300</v>
          </cell>
          <cell r="B1086" t="str">
            <v>CUPLA RED NPT GALV UL/FM 1 X  3/4  CLASE 300</v>
          </cell>
        </row>
        <row r="1087">
          <cell r="A1087" t="str">
            <v>ACR-G240-01X0T-GALV</v>
          </cell>
          <cell r="B1087" t="str">
            <v>CUPLA RED NPT GALV UL/FM 1 X  3/4  CLASE 150</v>
          </cell>
        </row>
        <row r="1088">
          <cell r="A1088" t="str">
            <v>ACR-G240-02X01-G300</v>
          </cell>
          <cell r="B1088" t="str">
            <v>CUPLA RED NPT GALV UL/FM 2 X 1   CLASE 300</v>
          </cell>
        </row>
        <row r="1089">
          <cell r="A1089" t="str">
            <v>ACR-G240-02X01-GALV</v>
          </cell>
          <cell r="B1089" t="str">
            <v>CUPLA RED NPT GALV UL/FM 2 X 1   CLASE 150</v>
          </cell>
        </row>
        <row r="1090">
          <cell r="A1090" t="str">
            <v>ACR-G240-02X0M-G300</v>
          </cell>
          <cell r="B1090" t="str">
            <v>CUPLA RED NPT GALV UL/FM 2 X 1/2  CLASE 300</v>
          </cell>
        </row>
        <row r="1091">
          <cell r="A1091" t="str">
            <v>ACR-G240-02X0T-G300</v>
          </cell>
          <cell r="B1091" t="str">
            <v>CUPLA RED NPT GALV UL/FM 2 X 3/4  CLASE 300</v>
          </cell>
        </row>
        <row r="1092">
          <cell r="A1092" t="str">
            <v>ACR-G240-02X1C-G300</v>
          </cell>
          <cell r="B1092" t="str">
            <v>CUPLA RED NPT GALV UL/FM 2 X 1 1/4  CLASE 300</v>
          </cell>
        </row>
        <row r="1093">
          <cell r="A1093" t="str">
            <v>ACR-G240-02X1C-GALV</v>
          </cell>
          <cell r="B1093" t="str">
            <v>CUPLA RED NPT GALV UL/FM 2 X 1 1/4  CLASE 150</v>
          </cell>
        </row>
        <row r="1094">
          <cell r="A1094" t="str">
            <v>ACR-G240-02X1M-G300</v>
          </cell>
          <cell r="B1094" t="str">
            <v>CUPLA RED NPT GALV UL/FM 2 X 1 1/2  CLASE 300</v>
          </cell>
        </row>
        <row r="1095">
          <cell r="A1095" t="str">
            <v>ACR-G240-02X1M-GALV</v>
          </cell>
          <cell r="B1095" t="str">
            <v>CUPLA RED NPT GALV UL/FM 2 X 1 1/2  CLASE 150</v>
          </cell>
        </row>
        <row r="1096">
          <cell r="A1096" t="str">
            <v>ACR-G240-0MX3/8-G300</v>
          </cell>
          <cell r="B1096" t="str">
            <v>CUPLA RED NPT GALV UL/FM 1/2 X 3/8  CLASE 300</v>
          </cell>
        </row>
        <row r="1097">
          <cell r="A1097" t="str">
            <v>ACR-G240-0TX0M-G300</v>
          </cell>
          <cell r="B1097" t="str">
            <v>CUPLA RED NPT GALV UL/FM 3/4 X  1/2  CLASE 300</v>
          </cell>
        </row>
        <row r="1098">
          <cell r="A1098" t="str">
            <v>ACR-G240-1CX01-G300</v>
          </cell>
          <cell r="B1098" t="str">
            <v>CUPLA RED NPT GALV UL/FM 11/4 X  1  CLASE 300</v>
          </cell>
        </row>
        <row r="1099">
          <cell r="A1099" t="str">
            <v>ACR-G240-1CX01-GALV</v>
          </cell>
          <cell r="B1099" t="str">
            <v>CUPLA RED NPT GALV UL/FM 11/4 X  1  CLASE 150</v>
          </cell>
        </row>
        <row r="1100">
          <cell r="A1100" t="str">
            <v>ACR-G240-1CX0M-G300</v>
          </cell>
          <cell r="B1100" t="str">
            <v>CUPLA RED NPT GALV UL/FM 11/4 X  1/2  CLASE 300</v>
          </cell>
        </row>
        <row r="1101">
          <cell r="A1101" t="str">
            <v>ACR-G240-1CX0T-G300</v>
          </cell>
          <cell r="B1101" t="str">
            <v>CUPLA RED NPT GALV UL/FM 11/4 X  3/4  CLASE 300</v>
          </cell>
        </row>
        <row r="1102">
          <cell r="A1102" t="str">
            <v>ACR-G240-1CX0T-GALV</v>
          </cell>
          <cell r="B1102" t="str">
            <v>CUPLA RED NPT GALV UL/FM 11/4 X  3/4  CLASE 150</v>
          </cell>
        </row>
        <row r="1103">
          <cell r="A1103" t="str">
            <v>ACR-G240-1MX01-G300</v>
          </cell>
          <cell r="B1103" t="str">
            <v>CUPLA RED NPT GALV UL/FM 11/2 X  1  CLASE 300</v>
          </cell>
        </row>
        <row r="1104">
          <cell r="A1104" t="str">
            <v>ACR-G240-1MX01-GALV</v>
          </cell>
          <cell r="B1104" t="str">
            <v>CUPLA RED NPT GALV UL/FM 11/2 X  1  CLASE 150</v>
          </cell>
        </row>
        <row r="1105">
          <cell r="A1105" t="str">
            <v>ACR-G240-1MX1C-G300</v>
          </cell>
          <cell r="B1105" t="str">
            <v>CUPLA RED NPT GALV UL/FM 11/2 X 11/4  CLASE 300</v>
          </cell>
        </row>
        <row r="1106">
          <cell r="A1106" t="str">
            <v>ACR-G240-1MX1C-GALV</v>
          </cell>
          <cell r="B1106" t="str">
            <v>CUPLA RED NPT GALV UL/FM 11/2 X 11/4  CLASE 150</v>
          </cell>
        </row>
        <row r="1107">
          <cell r="A1107" t="str">
            <v>ACR-G241-01X0M-G300</v>
          </cell>
          <cell r="B1107" t="str">
            <v>BUJE REDUC NPT GALV UL/FM 1 X 1/2  CLASE 300</v>
          </cell>
        </row>
        <row r="1108">
          <cell r="A1108" t="str">
            <v>ACR-G241-01X0M-GALV</v>
          </cell>
          <cell r="B1108" t="str">
            <v>BUJE REDUC NPT GALV UL/FM 1 X 1/2  CLASE 150</v>
          </cell>
        </row>
        <row r="1109">
          <cell r="A1109" t="str">
            <v>ACR-G241-01X0T-G300</v>
          </cell>
          <cell r="B1109" t="str">
            <v>BUJE REDUC NPT GALV UL/FM 1 X 3/4 CLASE 300</v>
          </cell>
        </row>
        <row r="1110">
          <cell r="A1110" t="str">
            <v>ACR-G241-02X01-G300</v>
          </cell>
          <cell r="B1110" t="str">
            <v>BUJE REDUC NPT GALV UL/FM 2 X 1  CLASE 300</v>
          </cell>
        </row>
        <row r="1111">
          <cell r="A1111" t="str">
            <v>ACR-G241-02X01-GALV</v>
          </cell>
          <cell r="B1111" t="str">
            <v>BUJE REDUC NPT GALV UL/FM 2 X 1  CLASE 150</v>
          </cell>
        </row>
        <row r="1112">
          <cell r="A1112" t="str">
            <v>ACR-G241-02X1C-G300</v>
          </cell>
          <cell r="B1112" t="str">
            <v>BUJE REDUC NPT GALV UL/FM 2 X 11/4  CLASE 300</v>
          </cell>
        </row>
        <row r="1113">
          <cell r="A1113" t="str">
            <v>ACR-G241-02X1C-GALV</v>
          </cell>
          <cell r="B1113" t="str">
            <v>BUJE REDUC NPT GALV UL/FM 2 X 11/4  CLASE 150</v>
          </cell>
        </row>
        <row r="1114">
          <cell r="A1114" t="str">
            <v>ACR-G241-02X1M-G300</v>
          </cell>
          <cell r="B1114" t="str">
            <v>BUJE REDUC NPT GALV UL/FM 2 X 11/2  CLASE 300</v>
          </cell>
        </row>
        <row r="1115">
          <cell r="A1115" t="str">
            <v>ACR-G241-02X1M-GALV</v>
          </cell>
          <cell r="B1115" t="str">
            <v>BUJE REDUC NPT GALV UL/FM 2 X 11/2  CLASE 150</v>
          </cell>
        </row>
        <row r="1116">
          <cell r="A1116" t="str">
            <v>ACR-G241-0TX0C-G300</v>
          </cell>
          <cell r="B1116" t="str">
            <v>BUJE REDUC NPT GALV UL/FM 3/4 X 1/4  CLASE 300</v>
          </cell>
        </row>
        <row r="1117">
          <cell r="A1117" t="str">
            <v>ACR-G241-0TX0C-GALV</v>
          </cell>
          <cell r="B1117" t="str">
            <v>BUJE REDUC NPT GALV UL/FM 3/4 X 1/4  CLASE 150</v>
          </cell>
        </row>
        <row r="1118">
          <cell r="A1118" t="str">
            <v>ACR-G241-1CX01-G300</v>
          </cell>
          <cell r="B1118" t="str">
            <v>BUJE REDUC NPT GALV UL/FM 11/4 X 1  CLASE 300</v>
          </cell>
        </row>
        <row r="1119">
          <cell r="A1119" t="str">
            <v>ACR-G241-1CX01-GALV</v>
          </cell>
          <cell r="B1119" t="str">
            <v>BUJE REDUC NPT GALV UL/FM 11/4 X 1  CLASE 150</v>
          </cell>
        </row>
        <row r="1120">
          <cell r="A1120" t="str">
            <v>ACR-G241-1MX01-G300</v>
          </cell>
          <cell r="B1120" t="str">
            <v>BUJE REDUC NPT GALV UL/FM 11/2 X 1  CLASE 300</v>
          </cell>
        </row>
        <row r="1121">
          <cell r="A1121" t="str">
            <v>ACR-G241-1MX01-GALV</v>
          </cell>
          <cell r="B1121" t="str">
            <v>BUJE REDUC NPT GALV UL/FM 11/2 X 1  CLASE 150</v>
          </cell>
        </row>
        <row r="1122">
          <cell r="A1122" t="str">
            <v>ACR-G241-1MX1C-G300</v>
          </cell>
          <cell r="B1122" t="str">
            <v>BUJE REDUC NPT GALV UL/FM 11/2 X 11/4  CLASE 300</v>
          </cell>
        </row>
        <row r="1123">
          <cell r="A1123" t="str">
            <v>ACR-G241-1MX1C-GALV</v>
          </cell>
          <cell r="B1123" t="str">
            <v>BUJE REDUC NPT GALV UL/FM 11/2 X 11/4  CLASE 150</v>
          </cell>
        </row>
        <row r="1124">
          <cell r="A1124" t="str">
            <v>ACR-G280 10-3/8-G300</v>
          </cell>
          <cell r="B1124" t="str">
            <v>NIPLE TUERCA NPT GALV  UL/FM 3/8  CLASE 300</v>
          </cell>
        </row>
        <row r="1125">
          <cell r="A1125" t="str">
            <v>ACR-G280 15-0M-G300</v>
          </cell>
          <cell r="B1125" t="str">
            <v>NIPLE TUERCA NPT GALV  UL/FM 1/2  CLASE 300</v>
          </cell>
        </row>
        <row r="1126">
          <cell r="A1126" t="str">
            <v>ACR-G280 20-0T-G300</v>
          </cell>
          <cell r="B1126" t="str">
            <v>NIPLE TUERCA NPT GALV  UL/FM 3/4  CLASE 300</v>
          </cell>
        </row>
        <row r="1127">
          <cell r="A1127" t="str">
            <v>ACR-G280 25-1-G300</v>
          </cell>
          <cell r="B1127" t="str">
            <v>NIPLE TUERCA NPT GALV  UL/FM 1  CLASE 300</v>
          </cell>
        </row>
        <row r="1128">
          <cell r="A1128" t="str">
            <v>ACR-G280 32-1C-G300</v>
          </cell>
          <cell r="B1128" t="str">
            <v>NIPLE TUERCA NPT GALV  UL/FM 11/4  CLASE 300</v>
          </cell>
        </row>
        <row r="1129">
          <cell r="A1129" t="str">
            <v>ACR-G280 40-1M-G300</v>
          </cell>
          <cell r="B1129" t="str">
            <v>NIPLE TUERCA NPT GALV  UL/FM 11/2  CLASE 300</v>
          </cell>
        </row>
        <row r="1130">
          <cell r="A1130" t="str">
            <v>ACR-G280 50-2-G300</v>
          </cell>
          <cell r="B1130" t="str">
            <v>NIPLE TUERCA NPT GALV  UL/FM 2  CLASE 300</v>
          </cell>
        </row>
        <row r="1131">
          <cell r="A1131" t="str">
            <v>ACR-G28010-GALV</v>
          </cell>
          <cell r="B1131" t="str">
            <v>NIPLE TUERCA NPT GALV  UL/FM 3/8  CLASE 150</v>
          </cell>
        </row>
        <row r="1132">
          <cell r="A1132" t="str">
            <v>ACR-G28015-GALV</v>
          </cell>
          <cell r="B1132" t="str">
            <v>NIPLE TUERCA NPT GALV  UL/FM 1/2  CLASE 150</v>
          </cell>
        </row>
        <row r="1133">
          <cell r="A1133" t="str">
            <v>ACR-G28020-GALV</v>
          </cell>
          <cell r="B1133" t="str">
            <v>NIPLE TUERCA NPT GALV  UL/FM 3/4  CLASE 150</v>
          </cell>
        </row>
        <row r="1134">
          <cell r="A1134" t="str">
            <v>ACR-G28025-GALV</v>
          </cell>
          <cell r="B1134" t="str">
            <v>NIPLE TUERCA NPT GALV  UL/FM 1  CLASE 150</v>
          </cell>
        </row>
        <row r="1135">
          <cell r="A1135" t="str">
            <v>ACR-G28032-GALV</v>
          </cell>
          <cell r="B1135" t="str">
            <v>NIPLE TUERCA NPT GALV  UL/FM 11/4  CLASE 150</v>
          </cell>
        </row>
        <row r="1136">
          <cell r="A1136" t="str">
            <v>ACR-G28040-GALV</v>
          </cell>
          <cell r="B1136" t="str">
            <v>NIPLE TUERCA NPT GALV  UL/FM 11/2  CLASE 150</v>
          </cell>
        </row>
        <row r="1137">
          <cell r="A1137" t="str">
            <v>ACR-G28050-GALV</v>
          </cell>
          <cell r="B1137" t="str">
            <v>NIPLE TUERCA NPT GALV  UL/FM 2  CLASE 150</v>
          </cell>
        </row>
        <row r="1138">
          <cell r="A1138" t="str">
            <v>ACR-G291S 15-0M-G300</v>
          </cell>
          <cell r="B1138" t="str">
            <v>TAPON/NIPLE T.NPT UL/FM 1/2  CLASE 300</v>
          </cell>
        </row>
        <row r="1139">
          <cell r="A1139" t="str">
            <v>ACR-G291S 20-0T-G300</v>
          </cell>
          <cell r="B1139" t="str">
            <v>TAPON/NIPLE T.NPT UL/FM 3/4  CLASE 300</v>
          </cell>
        </row>
        <row r="1140">
          <cell r="A1140" t="str">
            <v>ACR-G291S 25-1-G300</v>
          </cell>
          <cell r="B1140" t="str">
            <v>TAPON/NIPLE T.NPT UL/FM 1  CLASE 300</v>
          </cell>
        </row>
        <row r="1141">
          <cell r="A1141" t="str">
            <v>ACR-G291S 32-1C-G300</v>
          </cell>
          <cell r="B1141" t="str">
            <v>TAPON/NIPLE T.NPT UL/FM 1 1/4 CLASE 300</v>
          </cell>
        </row>
        <row r="1142">
          <cell r="A1142" t="str">
            <v>ACR-G291S 40-1M-G300</v>
          </cell>
          <cell r="B1142" t="str">
            <v>TAPON/NIPLE T.NPT UL/FM 1 1/2 CLASE 300</v>
          </cell>
        </row>
        <row r="1143">
          <cell r="A1143" t="str">
            <v>ACR-G291S 50-2-G300</v>
          </cell>
          <cell r="B1143" t="str">
            <v>TAPON/NIPLE T.NPT UL/FM 2 CLASE 300</v>
          </cell>
        </row>
        <row r="1144">
          <cell r="A1144" t="str">
            <v>ACR-G291S 8-0C-G300</v>
          </cell>
          <cell r="B1144" t="str">
            <v>TAPON/NIPLE T.NPT UL/FM 1/4  CLASE 300</v>
          </cell>
        </row>
        <row r="1145">
          <cell r="A1145" t="str">
            <v>ACR-G300 10-3/8-G300</v>
          </cell>
          <cell r="B1145" t="str">
            <v>TAPA CAP NPT GALV  UL/FM  3/8 CLASE 300</v>
          </cell>
        </row>
        <row r="1146">
          <cell r="A1146" t="str">
            <v>ACR-G300 15-0M-G300</v>
          </cell>
          <cell r="B1146" t="str">
            <v>TAPA CAP NPT GALV  UL/FM  1/2 CLASE 300</v>
          </cell>
        </row>
        <row r="1147">
          <cell r="A1147" t="str">
            <v>ACR-G300 20-0T-G300</v>
          </cell>
          <cell r="B1147" t="str">
            <v>TAPA CAP NPT GALV  UL/FM  3/4 CLASE 300</v>
          </cell>
        </row>
        <row r="1148">
          <cell r="A1148" t="str">
            <v>ACR-G300 25-1-G300</v>
          </cell>
          <cell r="B1148" t="str">
            <v>TAPA CAP NPT GALV  UL/FM 1  CLASE 300</v>
          </cell>
        </row>
        <row r="1149">
          <cell r="A1149" t="str">
            <v>ACR-G300 32-1C-G300</v>
          </cell>
          <cell r="B1149" t="str">
            <v>TAPA CAP NPT GALV  UL/FM 1 1/4 CLASE 300</v>
          </cell>
        </row>
        <row r="1150">
          <cell r="A1150" t="str">
            <v>ACR-G300 40-1M-G300</v>
          </cell>
          <cell r="B1150" t="str">
            <v>TAPA CAP NPT GALV  UL/FM 1 1/2 CLASE 300</v>
          </cell>
        </row>
        <row r="1151">
          <cell r="A1151" t="str">
            <v>ACR-G300 50-2-G300</v>
          </cell>
          <cell r="B1151" t="str">
            <v>TAPA CAP NPT GALV  UL/FM 2 CLASE 300</v>
          </cell>
        </row>
        <row r="1152">
          <cell r="A1152" t="str">
            <v>ACR-G300 8-0C-G300</v>
          </cell>
          <cell r="B1152" t="str">
            <v>TAPA CAP NPT GALV  UL/FM 1/4 CLASE 300</v>
          </cell>
        </row>
        <row r="1153">
          <cell r="A1153" t="str">
            <v>ACR-G30015-GALV</v>
          </cell>
          <cell r="B1153" t="str">
            <v>TAPA CAP NPT GALV  UL/FM  1/2 CLASE 150</v>
          </cell>
        </row>
        <row r="1154">
          <cell r="A1154" t="str">
            <v>ACR-G30020-GALV</v>
          </cell>
          <cell r="B1154" t="str">
            <v>TAPA CAP NPT GALV  UL/FM  3/4 CLASE 150</v>
          </cell>
        </row>
        <row r="1155">
          <cell r="A1155" t="str">
            <v>ACR-G30025-GALV</v>
          </cell>
          <cell r="B1155" t="str">
            <v>TAPA CAP NPT GALV  UL/FM 1  CLASE 150</v>
          </cell>
        </row>
        <row r="1156">
          <cell r="A1156" t="str">
            <v>ACR-G30032-GALV</v>
          </cell>
          <cell r="B1156" t="str">
            <v>TAPA CAP NPT GALV  UL/FM 1 1/4 CLASE 150</v>
          </cell>
        </row>
        <row r="1157">
          <cell r="A1157" t="str">
            <v>ACR-G30040-GALV</v>
          </cell>
          <cell r="B1157" t="str">
            <v>TAPA CAP NPT GALV  UL/FM 1 1/2 CLASE 150</v>
          </cell>
        </row>
        <row r="1158">
          <cell r="A1158" t="str">
            <v>ACR-G30050-GALV</v>
          </cell>
          <cell r="B1158" t="str">
            <v>TAPA CAP NPT GALV  UL/FM 2 CLASE 150</v>
          </cell>
        </row>
        <row r="1159">
          <cell r="A1159" t="str">
            <v>ACR-G342 10-3/8-G300</v>
          </cell>
          <cell r="B1159" t="str">
            <v>UNION AMER.  NPT GALV  UL/FM  3/8  CLASE 300</v>
          </cell>
        </row>
        <row r="1160">
          <cell r="A1160" t="str">
            <v>ACR-G342 15-0M-G300</v>
          </cell>
          <cell r="B1160" t="str">
            <v>UNION AMER.  NPT GALV  UL/FM 1/2 CLASE 300</v>
          </cell>
        </row>
        <row r="1161">
          <cell r="A1161" t="str">
            <v>ACR-G342 20-0T-G300</v>
          </cell>
          <cell r="B1161" t="str">
            <v>UNION AMER.  NPT GALV  UL/FM  3/4  CLASE 300</v>
          </cell>
        </row>
        <row r="1162">
          <cell r="A1162" t="str">
            <v>ACR-G342 25-1-G300</v>
          </cell>
          <cell r="B1162" t="str">
            <v>UNION AMER.  NPT GALV  UL/FM 1 CLASE 300</v>
          </cell>
        </row>
        <row r="1163">
          <cell r="A1163" t="str">
            <v>ACR-G342 32-1C-G300</v>
          </cell>
          <cell r="B1163" t="str">
            <v>UNION AMER.  NPT GALV  UL/FM 11/4 CLASE 300</v>
          </cell>
        </row>
        <row r="1164">
          <cell r="A1164" t="str">
            <v>ACR-G342 40-1M-G300</v>
          </cell>
          <cell r="B1164" t="str">
            <v>UNION AMER.  NPT GALV  UL/FM 11/2 CLASE 300</v>
          </cell>
        </row>
        <row r="1165">
          <cell r="A1165" t="str">
            <v>ACR-G342 50-2-G300</v>
          </cell>
          <cell r="B1165" t="str">
            <v>UNION AMER.  NPT GALV  UL/FM 2 CLASE 300</v>
          </cell>
        </row>
        <row r="1166">
          <cell r="A1166" t="str">
            <v>ACR-G342 8-0C-G300</v>
          </cell>
          <cell r="B1166" t="str">
            <v>UNION AMER.  NPT GALV  UL/FM 1/4 CLASE 300</v>
          </cell>
        </row>
        <row r="1167">
          <cell r="A1167" t="str">
            <v>ACR-G34220-GALV</v>
          </cell>
          <cell r="B1167" t="str">
            <v>UNION AMER.  NPT GALV  UL/FM  3/4  CLASE 150</v>
          </cell>
        </row>
        <row r="1168">
          <cell r="A1168" t="str">
            <v>ACR-G34225-GALV</v>
          </cell>
          <cell r="B1168" t="str">
            <v>UNION AMER.  NPT GALV  UL/FM 1 CLASE 150</v>
          </cell>
        </row>
        <row r="1169">
          <cell r="A1169" t="str">
            <v>ACR-G34232-GALV</v>
          </cell>
          <cell r="B1169" t="str">
            <v>UNION AMER.  NPT GALV  UL/FM 11/4 CLASE 150</v>
          </cell>
        </row>
        <row r="1170">
          <cell r="A1170" t="str">
            <v>ACR-G34240-GALV</v>
          </cell>
          <cell r="B1170" t="str">
            <v>UNION AMER.  NPT GALV  UL/FM 11/2 CLASE 150</v>
          </cell>
        </row>
        <row r="1171">
          <cell r="A1171" t="str">
            <v>ACR-G34250-GALV</v>
          </cell>
          <cell r="B1171" t="str">
            <v>UNION AMER.  NPT GALV  UL/FM 2 CLASE 150</v>
          </cell>
        </row>
        <row r="1172">
          <cell r="A1172" t="str">
            <v>ACR-G90 10-3/8-G300</v>
          </cell>
          <cell r="B1172" t="str">
            <v>CODO 90 NPT GALV UL/FM 3/8 CLASE 300</v>
          </cell>
        </row>
        <row r="1173">
          <cell r="A1173" t="str">
            <v>ACR-G90 15-0M-G300</v>
          </cell>
          <cell r="B1173" t="str">
            <v>CODO 90 NPT GALV UL/FM 1/2 CLASE 300</v>
          </cell>
        </row>
        <row r="1174">
          <cell r="A1174" t="str">
            <v>ACR-G90 20-0T-G300</v>
          </cell>
          <cell r="B1174" t="str">
            <v>CODO 90 NPT GALV UL/FM 3/4 CLASE 300</v>
          </cell>
        </row>
        <row r="1175">
          <cell r="A1175" t="str">
            <v>ACR-G90 25-1-G300</v>
          </cell>
          <cell r="B1175" t="str">
            <v>CODO 90 NPT GALV UL/FM 1 CLASE 300</v>
          </cell>
        </row>
        <row r="1176">
          <cell r="A1176" t="str">
            <v>ACR-G90 32-1C-G300</v>
          </cell>
          <cell r="B1176" t="str">
            <v>CODO 90 NPT GALV UL/FM 1 1/4 CLASE 300</v>
          </cell>
        </row>
        <row r="1177">
          <cell r="A1177" t="str">
            <v>ACR-G90 40-1M-G300</v>
          </cell>
          <cell r="B1177" t="str">
            <v>CODO 90 NPT GALV UL/FM 1 1/2 CLASE 300</v>
          </cell>
        </row>
        <row r="1178">
          <cell r="A1178" t="str">
            <v>ACR-G90 50-2-G300</v>
          </cell>
          <cell r="B1178" t="str">
            <v>CODO 90 NPT GALV UL/FM 2 CLASE 300</v>
          </cell>
        </row>
        <row r="1179">
          <cell r="A1179" t="str">
            <v>ACR-G9010-GALV</v>
          </cell>
          <cell r="B1179" t="str">
            <v>CODO 90 NPT GALV UL/FM 3/8 CLASE 150</v>
          </cell>
        </row>
        <row r="1180">
          <cell r="A1180" t="str">
            <v>ACR-G9015-GALV</v>
          </cell>
          <cell r="B1180" t="str">
            <v>CODO 90 NPT GALV UL/FM 1/2 CLASE 150</v>
          </cell>
        </row>
        <row r="1181">
          <cell r="A1181" t="str">
            <v>ACR-G9020-GALV</v>
          </cell>
          <cell r="B1181" t="str">
            <v>CODO 90 NPT GALV UL/FM 3/4 CLASE 150</v>
          </cell>
        </row>
        <row r="1182">
          <cell r="A1182" t="str">
            <v>ACR-G9025-GALV</v>
          </cell>
          <cell r="B1182" t="str">
            <v>CODO 90 NPT GALV UL/FM 1 CLASE 150</v>
          </cell>
        </row>
        <row r="1183">
          <cell r="A1183" t="str">
            <v>ACR-G9032-GALV</v>
          </cell>
          <cell r="B1183" t="str">
            <v>CODO 90 NPT GALV UL/FM 11/4 CLASE 150</v>
          </cell>
        </row>
        <row r="1184">
          <cell r="A1184" t="str">
            <v>ACR-G9040-GALV</v>
          </cell>
          <cell r="B1184" t="str">
            <v>CODO 90 NPT GALV UL/FM 11/2 CLASE 150</v>
          </cell>
        </row>
        <row r="1185">
          <cell r="A1185" t="str">
            <v>ACR-G9050-GALV</v>
          </cell>
          <cell r="B1185" t="str">
            <v>CODO 90 NPT GALV UL/FM 2 CLASE 150</v>
          </cell>
        </row>
        <row r="1186">
          <cell r="A1186" t="str">
            <v>ACR-G90R -02X01-G300</v>
          </cell>
          <cell r="B1186" t="str">
            <v>CODO RED NPT 90 GALV UL/FM 2 X 1 CLASE 300</v>
          </cell>
        </row>
        <row r="1187">
          <cell r="A1187" t="str">
            <v>ACR-G90R -02X0M-G300</v>
          </cell>
          <cell r="B1187" t="str">
            <v>CODO RED NPT 90 GALV UL/FM 2 X 1/2 CLASE 300</v>
          </cell>
        </row>
        <row r="1188">
          <cell r="A1188" t="str">
            <v>ACR-G90R -02X0T-G300</v>
          </cell>
          <cell r="B1188" t="str">
            <v>CODO RED NPT 90 GALV UL/FM 2 X 3/4 CLASE 300</v>
          </cell>
        </row>
        <row r="1189">
          <cell r="A1189" t="str">
            <v>ACR-G90R -02X1C-G300</v>
          </cell>
          <cell r="B1189" t="str">
            <v>CODO RED NPT 90 GALV UL/FM 2 X 1 1/4 CLASE 300</v>
          </cell>
        </row>
        <row r="1190">
          <cell r="A1190" t="str">
            <v>ACR-G90R -02X1M-G300</v>
          </cell>
          <cell r="B1190" t="str">
            <v>CODO RED NPT 90 GALV UL/FM 2 X1 1/2 CLASE 300</v>
          </cell>
        </row>
        <row r="1191">
          <cell r="A1191" t="str">
            <v>ACR-G90R -1CX01-G300</v>
          </cell>
          <cell r="B1191" t="str">
            <v>CODO RED NPT 90 GALV UL/FM 1 1/4 X 1 CLASE 300</v>
          </cell>
        </row>
        <row r="1192">
          <cell r="A1192" t="str">
            <v>ACR-G90R -1CX0M-G300</v>
          </cell>
          <cell r="B1192" t="str">
            <v>CODO RED NPT 90 GALV UL/FM 1 1/4 X 1/2 CLASE 300</v>
          </cell>
        </row>
        <row r="1193">
          <cell r="A1193" t="str">
            <v>ACR-G90R -1CX0T-G300</v>
          </cell>
          <cell r="B1193" t="str">
            <v>CODO RED NPT 90 GALV UL/FM 1 1/4 X 3/4 CLASE 300</v>
          </cell>
        </row>
        <row r="1194">
          <cell r="A1194" t="str">
            <v>ACR-G90R -1MX01-G300</v>
          </cell>
          <cell r="B1194" t="str">
            <v>CODO RED NPT 90 GALV UL/FM 1 1/2 X 1 CLASE 300</v>
          </cell>
        </row>
        <row r="1195">
          <cell r="A1195" t="str">
            <v>ACR-G90R -1MX0M-G300</v>
          </cell>
          <cell r="B1195" t="str">
            <v>CODO RED NPT 90 GALV UL/FM 1 1/2 X 1/2 CLASE 300</v>
          </cell>
        </row>
        <row r="1196">
          <cell r="A1196" t="str">
            <v>ACR-G90R -1MX0T-G300</v>
          </cell>
          <cell r="B1196" t="str">
            <v>CODO RED NPT 90 GALV UL/FM 1 1/2 X 3/4 CLASE 300</v>
          </cell>
        </row>
        <row r="1197">
          <cell r="A1197" t="str">
            <v>ACR-G90R -1MX1C-G300</v>
          </cell>
          <cell r="B1197" t="str">
            <v>CODO RED NPT 90 GALV UL/FM 1 1/2 X1 1/4 CLASE 300</v>
          </cell>
        </row>
        <row r="1198">
          <cell r="A1198" t="str">
            <v>ACR-G90R -1X0M-G300</v>
          </cell>
          <cell r="B1198" t="str">
            <v>CODO RED NPT 90 GALV UL/FM 1 X 1/2 CLASE 300</v>
          </cell>
        </row>
        <row r="1199">
          <cell r="A1199" t="str">
            <v>ACR-G90R -1X0T-G300</v>
          </cell>
          <cell r="B1199" t="str">
            <v>CODO RED NPT 90 GALV UL/FM 1 X 3/4 CLASE 300</v>
          </cell>
        </row>
        <row r="1200">
          <cell r="A1200" t="str">
            <v>ACR-G90R-01X0M-GALV</v>
          </cell>
          <cell r="B1200" t="str">
            <v>CODO RED NPT 90 GALV UL/FM 1 X 1/2 CLASE 150</v>
          </cell>
        </row>
        <row r="1201">
          <cell r="A1201" t="str">
            <v>ACR-G90R-01X0T-GALV</v>
          </cell>
          <cell r="B1201" t="str">
            <v>CODO RED NPT 90 GALV UL/FM 1 X 3/4 CLASE 150</v>
          </cell>
        </row>
        <row r="1202">
          <cell r="A1202" t="str">
            <v>ACR-G90R-02X01-GALV</v>
          </cell>
          <cell r="B1202" t="str">
            <v>CODO RED NPT 90 GALV UL/FM 2 X 1 CLASE 150</v>
          </cell>
        </row>
        <row r="1203">
          <cell r="A1203" t="str">
            <v>ACR-G90R-02X1C-GALV</v>
          </cell>
          <cell r="B1203" t="str">
            <v>CODO RED NPT 90 GALV UL/FM 2 X 11/4 CLASE 150</v>
          </cell>
        </row>
        <row r="1204">
          <cell r="A1204" t="str">
            <v>ACR-G90R-02X1M-GALV</v>
          </cell>
          <cell r="B1204" t="str">
            <v>CODO RED NPT 90 GALV UL/FM 2 X 11/2 CLASE 150</v>
          </cell>
        </row>
        <row r="1205">
          <cell r="A1205" t="str">
            <v>ACR-G90R-1CX01-GALV</v>
          </cell>
          <cell r="B1205" t="str">
            <v>CODO RED NPT 90 GALV UL/FM 11/4 X 1 CLASE 150</v>
          </cell>
        </row>
        <row r="1206">
          <cell r="A1206" t="str">
            <v>ACR-G90R-1CX0M-GALV</v>
          </cell>
          <cell r="B1206" t="str">
            <v>CODO RED NPT 90 GALV UL/FM 11/4 X 1/2 CLASE 150</v>
          </cell>
        </row>
        <row r="1207">
          <cell r="A1207" t="str">
            <v>ACR-G90R-1CX0T-GALV</v>
          </cell>
          <cell r="B1207" t="str">
            <v>CODO RED NPT 90 GALV UL/FM 11/4 X 3/4 CLASE 150</v>
          </cell>
        </row>
        <row r="1208">
          <cell r="A1208" t="str">
            <v>ACR-G90R-1MX01-GALV</v>
          </cell>
          <cell r="B1208" t="str">
            <v>CODO RED NPT 90 GALV UL/FM 11/2 X 1 CLASE 150</v>
          </cell>
        </row>
        <row r="1209">
          <cell r="A1209" t="str">
            <v>ACR-G90R-1MX0M-GALV</v>
          </cell>
          <cell r="B1209" t="str">
            <v>CODO RED NPT 90 GALV UL/FM 11/2 X 1/2 CLASE 150</v>
          </cell>
        </row>
        <row r="1210">
          <cell r="A1210" t="str">
            <v>ACR-G90R-1MX0T-GALV</v>
          </cell>
          <cell r="B1210" t="str">
            <v>CODO RED NPT 90 GALV UL/FM 11/2 X 3/4 CLASE 150</v>
          </cell>
        </row>
        <row r="1211">
          <cell r="A1211" t="str">
            <v>ACR-GN-0CX02-GALV</v>
          </cell>
          <cell r="B1211" t="str">
            <v>NIPLE TUERCA NPT GALV  1/4X2</v>
          </cell>
        </row>
        <row r="1212">
          <cell r="A1212" t="str">
            <v>ACR-GN-0CX5 0M-GALV</v>
          </cell>
          <cell r="B1212" t="str">
            <v>NIPLE TUERCA NPT GALV  1/4X5 1/2</v>
          </cell>
        </row>
        <row r="1213">
          <cell r="A1213" t="str">
            <v>ACR-NIPTUEHE14-0C</v>
          </cell>
          <cell r="B1213" t="str">
            <v>NIPLE TUERCA NPT GALV  UL/FM 1/4 CLASE 150 (51 MM LARGO)</v>
          </cell>
        </row>
        <row r="1214">
          <cell r="A1214" t="str">
            <v>ACR-NIPTUEHE16-0C</v>
          </cell>
          <cell r="B1214" t="str">
            <v>NIPLE TUERCA NPT GALV  UL/FM 1/4 CLASE 150 (141 MM LARGO)</v>
          </cell>
        </row>
        <row r="1215">
          <cell r="A1215" t="str">
            <v>ACRZJUNTEXPAN06-G</v>
          </cell>
          <cell r="B1215" t="str">
            <v>JUNTA EXPANSIÓN 6  METRAFLEX 2FZ63A0600613852</v>
          </cell>
        </row>
        <row r="1216">
          <cell r="A1216" t="str">
            <v>ACRZJUNTMLUG02-G</v>
          </cell>
          <cell r="B1216" t="str">
            <v>JUNTA EXPANSIÓN 2  METRAFLEX MLUG480200 24</v>
          </cell>
        </row>
        <row r="1217">
          <cell r="A1217" t="str">
            <v>ACRZJUNTMLUG03-G</v>
          </cell>
          <cell r="B1217" t="str">
            <v>JUNTA EXPANSIÓN 3  METRAFLEX MLUG480300 24</v>
          </cell>
        </row>
        <row r="1218">
          <cell r="A1218" t="str">
            <v>ACRZJUNTMLUG06-G</v>
          </cell>
          <cell r="B1218" t="str">
            <v>JUNTA EXPANSIÓN 6  METRAFLEX MLUG480600 24</v>
          </cell>
        </row>
        <row r="1219">
          <cell r="A1219" t="str">
            <v>ACRZJUNTMLUG2M-G</v>
          </cell>
          <cell r="B1219" t="str">
            <v>JUNTA EXPANSIÓN 2 1/2 METRAFLEX MLUG480250 24</v>
          </cell>
        </row>
        <row r="1220">
          <cell r="A1220" t="str">
            <v>AGLIMP-RECARGA</v>
          </cell>
          <cell r="B1220" t="str">
            <v>( INACTIVO )</v>
          </cell>
        </row>
        <row r="1221">
          <cell r="A1221" t="str">
            <v>ANTICIPODEVENTA</v>
          </cell>
          <cell r="B1221" t="str">
            <v xml:space="preserve">ANTICIPO DE VENTA </v>
          </cell>
        </row>
        <row r="1222">
          <cell r="A1222" t="str">
            <v>ARCO-DOR</v>
          </cell>
          <cell r="B1222" t="str">
            <v xml:space="preserve">REACTIVACION SISTEMA ANSUL </v>
          </cell>
        </row>
        <row r="1223">
          <cell r="A1223" t="str">
            <v>BOCNTDISFTA1100</v>
          </cell>
          <cell r="B1223" t="str">
            <v>CONT. FIRETROL DIESEL FTA1100-12V</v>
          </cell>
        </row>
        <row r="1224">
          <cell r="A1224" t="str">
            <v>BOM- HCME50P1228</v>
          </cell>
          <cell r="B1224" t="str">
            <v>Power Suply-HCME50P1228</v>
          </cell>
        </row>
        <row r="1225">
          <cell r="A1225" t="str">
            <v>BOM-083766-00</v>
          </cell>
          <cell r="B1225" t="str">
            <v>DRIVESHAFT DCS20-SC (SC55-AD)</v>
          </cell>
        </row>
        <row r="1226">
          <cell r="A1226" t="str">
            <v>BOM-101137-00</v>
          </cell>
          <cell r="B1226" t="str">
            <v xml:space="preserve">GUARD, DRIVESHAFT - JDFP 4.5L </v>
          </cell>
        </row>
        <row r="1227">
          <cell r="A1227" t="str">
            <v>BOM-101143-00</v>
          </cell>
          <cell r="B1227" t="str">
            <v>GUARD, DRIVESHAFT ENDCAP - JDFP</v>
          </cell>
        </row>
        <row r="1228">
          <cell r="A1228" t="str">
            <v>BOM-ACCEBREAKER</v>
          </cell>
          <cell r="B1228" t="str">
            <v xml:space="preserve">CONTACTOR </v>
          </cell>
        </row>
        <row r="1229">
          <cell r="A1229" t="str">
            <v>BOMACCECONAUXIL</v>
          </cell>
          <cell r="B1229" t="str">
            <v xml:space="preserve">CONTACTOS AUXILIARES SCHNEIDER </v>
          </cell>
        </row>
        <row r="1230">
          <cell r="A1230" t="str">
            <v>BOMACCECONINSTA</v>
          </cell>
          <cell r="B1230" t="str">
            <v xml:space="preserve">CONTACTO INSTANTANEO SCHNEIDER </v>
          </cell>
        </row>
        <row r="1231">
          <cell r="A1231" t="str">
            <v>BOMACCEFITROAIR</v>
          </cell>
          <cell r="B1231" t="str">
            <v xml:space="preserve">FILTROS DE AIRE M/DIESEL </v>
          </cell>
        </row>
        <row r="1232">
          <cell r="A1232" t="str">
            <v>BOMACCEINTERRUP</v>
          </cell>
          <cell r="B1232" t="str">
            <v xml:space="preserve">INTERRUPTOR HG 150/150 AMPER </v>
          </cell>
        </row>
        <row r="1233">
          <cell r="A1233" t="str">
            <v>BOMACCETARJEDIE</v>
          </cell>
          <cell r="B1233" t="str">
            <v xml:space="preserve">OID - FD4 </v>
          </cell>
        </row>
        <row r="1234">
          <cell r="A1234" t="str">
            <v>BOMACCETARJELEC</v>
          </cell>
          <cell r="B1234" t="str">
            <v xml:space="preserve">OID - MP430 </v>
          </cell>
        </row>
        <row r="1235">
          <cell r="A1235" t="str">
            <v>BOM-ACC-RESPUESTO</v>
          </cell>
          <cell r="B1235" t="str">
            <v>LANTER RING PART 38835-210-445-4</v>
          </cell>
        </row>
        <row r="1236">
          <cell r="A1236" t="str">
            <v>BOM-ADICSKID-00</v>
          </cell>
          <cell r="B1236" t="str">
            <v xml:space="preserve">ADICIONALES SKID DE BOMBAS </v>
          </cell>
        </row>
        <row r="1237">
          <cell r="A1237" t="str">
            <v>BOM-A-GK-100-1</v>
          </cell>
          <cell r="B1237" t="str">
            <v>GSK KIT 10 L FLG GSK AND BOLTS- 150</v>
          </cell>
        </row>
        <row r="1238">
          <cell r="A1238" t="str">
            <v>BOM-AUTAIR0T175</v>
          </cell>
          <cell r="B1238" t="str">
            <v xml:space="preserve">BOMBA AUTOMATICA ROTATIVA 175 </v>
          </cell>
        </row>
        <row r="1239">
          <cell r="A1239" t="str">
            <v>BOM-AUTAIR0T300</v>
          </cell>
          <cell r="B1239" t="str">
            <v xml:space="preserve">BOMBA AUTOMATICA ROTATIVA 300 </v>
          </cell>
        </row>
        <row r="1240">
          <cell r="A1240" t="str">
            <v>BOM-AUTAIRREL0M</v>
          </cell>
          <cell r="B1240" t="str">
            <v xml:space="preserve">BOMBA AUTOMATICA RELOM </v>
          </cell>
        </row>
        <row r="1241">
          <cell r="A1241" t="str">
            <v>BOM-AUTAIRREL0T</v>
          </cell>
          <cell r="B1241" t="str">
            <v xml:space="preserve">BOMBA AUTOMATICA RELOT </v>
          </cell>
        </row>
        <row r="1242">
          <cell r="A1242" t="str">
            <v>BOMBA-CABEZAL</v>
          </cell>
          <cell r="B1242" t="str">
            <v>CABEZAL DE DESCARGA G250 (2350 RPM IN / 1770 RPM OUT)</v>
          </cell>
        </row>
        <row r="1243">
          <cell r="A1243" t="str">
            <v>BOMBA-DIESELSPP</v>
          </cell>
          <cell r="B1243" t="str">
            <v>BOMBA PRINCIPAL DIESEL SPP</v>
          </cell>
        </row>
        <row r="1244">
          <cell r="A1244" t="str">
            <v>BOMBADIFTIPCAMB</v>
          </cell>
          <cell r="B1244" t="str">
            <v xml:space="preserve">DIFERENCIA TIPO CAMBIO BOMBA </v>
          </cell>
        </row>
        <row r="1245">
          <cell r="A1245" t="str">
            <v>BOMBA-ELECTRICA</v>
          </cell>
          <cell r="B1245" t="str">
            <v>BOMBA PRINCIPAL ELECTRICA SPP</v>
          </cell>
        </row>
        <row r="1246">
          <cell r="A1246" t="str">
            <v>BOMBA-PRICIPAL1</v>
          </cell>
          <cell r="B1246" t="str">
            <v>BOMBA PRINCIPAL (CARACOL)</v>
          </cell>
        </row>
        <row r="1247">
          <cell r="A1247" t="str">
            <v>BOMBATERIAS12V</v>
          </cell>
          <cell r="B1247" t="str">
            <v>Baterías 12 Volts</v>
          </cell>
        </row>
        <row r="1248">
          <cell r="A1248" t="str">
            <v>BOMBATTERY12VOL</v>
          </cell>
          <cell r="B1248" t="str">
            <v xml:space="preserve">BATERIA 12 VOLT PACK </v>
          </cell>
        </row>
        <row r="1249">
          <cell r="A1249" t="str">
            <v>BOMBA-VERTICAL2</v>
          </cell>
          <cell r="B1249" t="str">
            <v>BOMBA PRINCIPAL VERTICAL SPP</v>
          </cell>
        </row>
        <row r="1250">
          <cell r="A1250" t="str">
            <v>BOMBMOTORDIESEL</v>
          </cell>
          <cell r="B1250" t="str">
            <v>MOTOR DIESEL JU4H-UF10 CLARKE</v>
          </cell>
        </row>
        <row r="1251">
          <cell r="A1251" t="str">
            <v>BOM-CA-1055-001</v>
          </cell>
          <cell r="B1251" t="str">
            <v>HARNEES, CHARGER TRASNFORMER MARK II DIESEL</v>
          </cell>
        </row>
        <row r="1252">
          <cell r="A1252" t="str">
            <v>BOMCABESALPRUEB</v>
          </cell>
          <cell r="B1252" t="str">
            <v xml:space="preserve">CABEZAL DE PRUEBA CON VAL. ANG </v>
          </cell>
        </row>
        <row r="1253">
          <cell r="A1253" t="str">
            <v>BOM-CALEFACTOR</v>
          </cell>
          <cell r="B1253" t="str">
            <v>CALEFACTOR ELECTRICO 2000 W</v>
          </cell>
        </row>
        <row r="1254">
          <cell r="A1254" t="str">
            <v>BOM-CALEFACTOR-JU4H</v>
          </cell>
          <cell r="B1254" t="str">
            <v>CALEFACTOR MOTOR DIESEL CLACK JU4H</v>
          </cell>
        </row>
        <row r="1255">
          <cell r="A1255" t="str">
            <v>BOM-CALEFCLACK124949</v>
          </cell>
          <cell r="B1255" t="str">
            <v>CALEFACTOR MOTOR DIESEL CLACK C124949</v>
          </cell>
        </row>
        <row r="1256">
          <cell r="A1256" t="str">
            <v>BOMCASWRNGSTF15E</v>
          </cell>
          <cell r="B1256" t="str">
            <v>TF15E CASING WEAR RINGS</v>
          </cell>
        </row>
        <row r="1257">
          <cell r="A1257" t="str">
            <v>BOM-CHARGER-EATON</v>
          </cell>
          <cell r="B1257" t="str">
            <v>CHARGER BATTERY EATON</v>
          </cell>
        </row>
        <row r="1258">
          <cell r="A1258" t="str">
            <v>BOM-CHARGER-FIRETROL</v>
          </cell>
          <cell r="B1258" t="str">
            <v>CHARGER BATTERY FIRETROL</v>
          </cell>
        </row>
        <row r="1259">
          <cell r="A1259" t="str">
            <v>BOMCNFTA1300-100-N2</v>
          </cell>
          <cell r="B1259" t="str">
            <v>CONT. FIRETROL FTA 1300 100 HP  NEMA 2</v>
          </cell>
        </row>
        <row r="1260">
          <cell r="A1260" t="str">
            <v>BOMCNFTA1300150</v>
          </cell>
          <cell r="B1260" t="str">
            <v>CONT. FIRETROL FTA-1300 150 HP FIRETROL</v>
          </cell>
        </row>
        <row r="1261">
          <cell r="A1261" t="str">
            <v>BOMCNFTA1300200</v>
          </cell>
          <cell r="B1261" t="str">
            <v>CONT. FIRETROL FTA-1300 200 HP FIRETROL</v>
          </cell>
        </row>
        <row r="1262">
          <cell r="A1262" t="str">
            <v>BOMCNFTA1300200TTA</v>
          </cell>
          <cell r="B1262" t="str">
            <v>CONT. FIRETROL FTA-1300 200 HP FIRETROL TRANSFER SWITCH</v>
          </cell>
        </row>
        <row r="1263">
          <cell r="A1263" t="str">
            <v>BOMCNFTA1300-300</v>
          </cell>
          <cell r="B1263" t="str">
            <v>CONT. FIRETROL FTA 1300 300 HP</v>
          </cell>
        </row>
        <row r="1264">
          <cell r="A1264" t="str">
            <v>BOMCNFTA1350100N4X</v>
          </cell>
          <cell r="B1264" t="str">
            <v>CONT. FIRETROL FTA-1350 100 HP FIRETROL NEMA 4X</v>
          </cell>
        </row>
        <row r="1265">
          <cell r="A1265" t="str">
            <v>BOMCNFTA1350200</v>
          </cell>
          <cell r="B1265" t="str">
            <v>CONT. FIRETROL FTA-1350 200 HP FIRETROL</v>
          </cell>
        </row>
        <row r="1266">
          <cell r="A1266" t="str">
            <v>BOMCNTDIEFTA110024</v>
          </cell>
          <cell r="B1266" t="str">
            <v>CONT. FIRETROL DIESEL  FTA1100-24V</v>
          </cell>
        </row>
        <row r="1267">
          <cell r="A1267" t="str">
            <v>BOMCOFTA1300100</v>
          </cell>
          <cell r="B1267" t="str">
            <v>Cont. FIRETROL FTA-1300 100 HP - FIRETROL</v>
          </cell>
        </row>
        <row r="1268">
          <cell r="A1268" t="str">
            <v>BOMCOFTA1300100TTA</v>
          </cell>
          <cell r="B1268" t="str">
            <v>Cont. FIRETROL FTA-1300 100 HP - FIRETROL Transfer Switch</v>
          </cell>
        </row>
        <row r="1269">
          <cell r="A1269" t="str">
            <v>BOMCOFTA1300125</v>
          </cell>
          <cell r="B1269" t="str">
            <v>Cont. FIRETROL FTA-1300 125 HPFIRETROL</v>
          </cell>
        </row>
        <row r="1270">
          <cell r="A1270" t="str">
            <v>BOM-COLUMN-96830840</v>
          </cell>
          <cell r="B1270" t="str">
            <v>14  DIA X 60  LENGTH COLUMN PN 96830840</v>
          </cell>
        </row>
        <row r="1271">
          <cell r="A1271" t="str">
            <v>BOM-COLUMN-97549078</v>
          </cell>
          <cell r="B1271" t="str">
            <v>14  DIA X 60  LENGTH COLUMN PN 97549078</v>
          </cell>
        </row>
        <row r="1272">
          <cell r="A1272" t="str">
            <v>BOMCONDIEEATONFD-120</v>
          </cell>
          <cell r="B1272" t="str">
            <v xml:space="preserve">Control Diesel EATON FD120-24I-LI-R2-E5 Nema 4X </v>
          </cell>
        </row>
        <row r="1273">
          <cell r="A1273" t="str">
            <v>BOMCONDIELFD412</v>
          </cell>
          <cell r="B1273" t="str">
            <v xml:space="preserve">CONT. METRON DIESEL FD4-12-VDC </v>
          </cell>
        </row>
        <row r="1274">
          <cell r="A1274" t="str">
            <v>BOMCONDIELFD424</v>
          </cell>
          <cell r="B1274" t="str">
            <v xml:space="preserve">CONT. METRON DIESEL FD4-24-VDC </v>
          </cell>
        </row>
        <row r="1275">
          <cell r="A1275" t="str">
            <v>BOMCONDIELFD424 N4X</v>
          </cell>
          <cell r="B1275" t="str">
            <v>CONT. METRON DIESEL FD4-12-VDC NEMA 4X</v>
          </cell>
        </row>
        <row r="1276">
          <cell r="A1276" t="str">
            <v>BOMCONDIELFD4BD</v>
          </cell>
          <cell r="B1276" t="str">
            <v xml:space="preserve">TARJ HIJA METRON DIESEL FD4 </v>
          </cell>
        </row>
        <row r="1277">
          <cell r="A1277" t="str">
            <v>BOMCONDIELTTECH-24-V</v>
          </cell>
          <cell r="B1277" t="str">
            <v>CONT. TORNA TECH DIESEL GPD-24-VDC-220VAC</v>
          </cell>
        </row>
        <row r="1278">
          <cell r="A1278" t="str">
            <v>BOMCONDIELTTECHFD12</v>
          </cell>
          <cell r="B1278" t="str">
            <v>CONT. TORNA TECH DIESEL GPD-12-VDC-220VAC</v>
          </cell>
        </row>
        <row r="1279">
          <cell r="A1279" t="str">
            <v>BOMCONEATON-XTJP-G09</v>
          </cell>
          <cell r="B1279" t="str">
            <v>Controlador Jockey EATON XTJP-G09-R3-E5 Nema 4X SS Painted</v>
          </cell>
        </row>
        <row r="1280">
          <cell r="A1280" t="str">
            <v>BOM-CONECTOR-00</v>
          </cell>
          <cell r="B1280" t="str">
            <v>CONECTOR FLEXIBLE MOTOR DIESEL 4 S/M S/M</v>
          </cell>
        </row>
        <row r="1281">
          <cell r="A1281" t="str">
            <v>BOMCONFTA130040TTA</v>
          </cell>
          <cell r="B1281" t="str">
            <v>CONT. FIRETROL FTA-1300 40 HP FIRETROL TRANSFER SWITCH</v>
          </cell>
        </row>
        <row r="1282">
          <cell r="A1282" t="str">
            <v>BOMCONFTA130050</v>
          </cell>
          <cell r="B1282" t="str">
            <v>CONT. FIRETROL FTA-1300 50 HP FIRETROL</v>
          </cell>
        </row>
        <row r="1283">
          <cell r="A1283" t="str">
            <v>BOMCONFTA130060</v>
          </cell>
          <cell r="B1283" t="str">
            <v>CONT. FIRETROL FTA-1300 60 HP FIRETROL</v>
          </cell>
        </row>
        <row r="1284">
          <cell r="A1284" t="str">
            <v>BOMCONFTA130075</v>
          </cell>
          <cell r="B1284" t="str">
            <v>CONT. FIRETROL FTA-1300 75 HP FIRETROL</v>
          </cell>
        </row>
        <row r="1285">
          <cell r="A1285" t="str">
            <v>BOMCONFTA5001.5</v>
          </cell>
          <cell r="B1285" t="str">
            <v>INACTIVO</v>
          </cell>
        </row>
        <row r="1286">
          <cell r="A1286" t="str">
            <v>BOM-CONFTA-5003</v>
          </cell>
          <cell r="B1286" t="str">
            <v>Cont. FIRETROL FTA-550 3 HP FIRETROL</v>
          </cell>
        </row>
        <row r="1287">
          <cell r="A1287" t="str">
            <v>BOM-CONFT-A550 10</v>
          </cell>
          <cell r="B1287" t="str">
            <v>CONT. FIRETROL FTA-550 10 HP FIRETROL</v>
          </cell>
        </row>
        <row r="1288">
          <cell r="A1288" t="str">
            <v>BOM-CONFT-A550 5</v>
          </cell>
          <cell r="B1288" t="str">
            <v>CONT. FIRETROL FTA-550 5 HP FIRETROL</v>
          </cell>
        </row>
        <row r="1289">
          <cell r="A1289" t="str">
            <v>BOM-CONFT-A5501,5</v>
          </cell>
          <cell r="B1289" t="str">
            <v>CONT. FIRETROL FTA-550 1,5 HP FIRETROL</v>
          </cell>
        </row>
        <row r="1290">
          <cell r="A1290" t="str">
            <v>BOM-CONFT-A5502</v>
          </cell>
          <cell r="B1290" t="str">
            <v>CONT. FIRETROL FTA-550 2 HP FIRETROL</v>
          </cell>
        </row>
        <row r="1291">
          <cell r="A1291" t="str">
            <v>BOM-CONFTA-550-20</v>
          </cell>
          <cell r="B1291" t="str">
            <v>CONT. FIRETROL FTA 550 20HP</v>
          </cell>
        </row>
        <row r="1292">
          <cell r="A1292" t="str">
            <v>BOM-CONFT-A5504</v>
          </cell>
          <cell r="B1292" t="str">
            <v>CONT. FIRETROL FTA-550 4 HP FIRETROL</v>
          </cell>
        </row>
        <row r="1293">
          <cell r="A1293" t="str">
            <v>BOM-CONODESC-00</v>
          </cell>
          <cell r="B1293" t="str">
            <v xml:space="preserve">CONO DE DESCARGA BASE </v>
          </cell>
        </row>
        <row r="1294">
          <cell r="A1294" t="str">
            <v>BOMCONODESC0304</v>
          </cell>
          <cell r="B1294" t="str">
            <v xml:space="preserve">CONO DE DESCARGA 3 X 4 </v>
          </cell>
        </row>
        <row r="1295">
          <cell r="A1295" t="str">
            <v>BOMCONODESC0305</v>
          </cell>
          <cell r="B1295" t="str">
            <v xml:space="preserve">CONO DE DESCARGA 3 X 5 </v>
          </cell>
        </row>
        <row r="1296">
          <cell r="A1296" t="str">
            <v>BOMCONODESC0306</v>
          </cell>
          <cell r="B1296" t="str">
            <v xml:space="preserve">CONO DE DESCARGA 3 X 6 </v>
          </cell>
        </row>
        <row r="1297">
          <cell r="A1297" t="str">
            <v>BOMCONODESC0406</v>
          </cell>
          <cell r="B1297" t="str">
            <v xml:space="preserve">CONO DE DESCARGA 4 X 6 </v>
          </cell>
        </row>
        <row r="1298">
          <cell r="A1298" t="str">
            <v>BOMCONODESC0408</v>
          </cell>
          <cell r="B1298" t="str">
            <v xml:space="preserve">CONO DE DESCARGA 4 X 8 </v>
          </cell>
        </row>
        <row r="1299">
          <cell r="A1299" t="str">
            <v>BOMCONODESC0410</v>
          </cell>
          <cell r="B1299" t="str">
            <v xml:space="preserve">CONO DESCARGA  4  X 10 </v>
          </cell>
        </row>
        <row r="1300">
          <cell r="A1300" t="str">
            <v>BOMCONODESC0608</v>
          </cell>
          <cell r="B1300" t="str">
            <v xml:space="preserve">CONO DE DESCARGA 6 X 8 </v>
          </cell>
        </row>
        <row r="1301">
          <cell r="A1301" t="str">
            <v>BOMCONODESC0610</v>
          </cell>
          <cell r="B1301" t="str">
            <v xml:space="preserve">CONO DE DESCARGA 6 X 10 </v>
          </cell>
        </row>
        <row r="1302">
          <cell r="A1302" t="str">
            <v>BOMCONODESC0812</v>
          </cell>
          <cell r="B1302" t="str">
            <v xml:space="preserve">CONO DE DESCARGA 8 X 12 </v>
          </cell>
        </row>
        <row r="1303">
          <cell r="A1303" t="str">
            <v>BOMCONODESC202M</v>
          </cell>
          <cell r="B1303" t="str">
            <v>CONO DE DESCARGA 2 X 2.1/2 SPP</v>
          </cell>
        </row>
        <row r="1304">
          <cell r="A1304" t="str">
            <v>BOM-CONODES-MIR</v>
          </cell>
          <cell r="B1304" t="str">
            <v xml:space="preserve">MIRILLA 2P/ CONO DE DESCARGA </v>
          </cell>
        </row>
        <row r="1305">
          <cell r="A1305" t="str">
            <v>BOM-CONOVISOR01</v>
          </cell>
          <cell r="B1305" t="str">
            <v xml:space="preserve">CONO VISOR </v>
          </cell>
        </row>
        <row r="1306">
          <cell r="A1306" t="str">
            <v>BOM-CONT300HP</v>
          </cell>
          <cell r="B1306" t="str">
            <v>CONTROLADOR 300 HP 380 V.</v>
          </cell>
        </row>
        <row r="1307">
          <cell r="A1307" t="str">
            <v>BOM-CONTF-D4-00</v>
          </cell>
          <cell r="B1307" t="str">
            <v xml:space="preserve">BOMBA CONO VISOR </v>
          </cell>
        </row>
        <row r="1308">
          <cell r="A1308" t="str">
            <v>BOM-CONTFIRE-200A</v>
          </cell>
          <cell r="B1308" t="str">
            <v>PANEL DE ALARMA REMOTO FTA 200A</v>
          </cell>
        </row>
        <row r="1309">
          <cell r="A1309" t="str">
            <v>BOM-CONTFIRE-200F</v>
          </cell>
          <cell r="B1309" t="str">
            <v>PANEL DE ALARMA REMOTO FTA 200F</v>
          </cell>
        </row>
        <row r="1310">
          <cell r="A1310" t="str">
            <v>BOM-CONTFT1930-50HP-</v>
          </cell>
          <cell r="B1310" t="str">
            <v xml:space="preserve">CONTROLADOR ELECTRICO SOFT START - T.S </v>
          </cell>
        </row>
        <row r="1311">
          <cell r="A1311" t="str">
            <v>BOMCONTGPS-50HP</v>
          </cell>
          <cell r="B1311" t="str">
            <v>CONT. TORNA TECH GPS 50 HP</v>
          </cell>
        </row>
        <row r="1312">
          <cell r="A1312" t="str">
            <v>BOMCONTGPW+GPU-60HP</v>
          </cell>
          <cell r="B1312" t="str">
            <v>CONT. TORNA TECH GPW+GPU 60 HP 380V Transfer Switch</v>
          </cell>
        </row>
        <row r="1313">
          <cell r="A1313" t="str">
            <v>BOMCONTGPY-150HP</v>
          </cell>
          <cell r="B1313" t="str">
            <v xml:space="preserve">CONT. TORNA TECH GPY+GPU 50 HP 380V Transfer Switch </v>
          </cell>
        </row>
        <row r="1314">
          <cell r="A1314" t="str">
            <v>BOMCONTGPY-50HP</v>
          </cell>
          <cell r="B1314" t="str">
            <v>CONT. TORNA TECH GPY+GPU 50 HP 380V T. Switch</v>
          </cell>
        </row>
        <row r="1315">
          <cell r="A1315" t="str">
            <v>BOMCONTGPY-60HP</v>
          </cell>
          <cell r="B1315" t="str">
            <v>CONT. TORNA TECH GPY 60 HP 380 VOLTS 50HZ</v>
          </cell>
        </row>
        <row r="1316">
          <cell r="A1316" t="str">
            <v>BOMCONTGPY-75HP</v>
          </cell>
          <cell r="B1316" t="str">
            <v>Controlador tornatech GPY 75HP 380V</v>
          </cell>
        </row>
        <row r="1317">
          <cell r="A1317" t="str">
            <v>BOMCONTJP3-0.25HP</v>
          </cell>
          <cell r="B1317" t="str">
            <v>CONT. TORNA TECH 0.25 HP JP3</v>
          </cell>
        </row>
        <row r="1318">
          <cell r="A1318" t="str">
            <v>BOMCONTJP3-10HP</v>
          </cell>
          <cell r="B1318" t="str">
            <v>CONT. TORNA TECH JP3 10 HP  380 VOLTS  50 HZ</v>
          </cell>
        </row>
        <row r="1319">
          <cell r="A1319" t="str">
            <v>BOMCONTJP3-2HP</v>
          </cell>
          <cell r="B1319" t="str">
            <v>Controlador tornatech 2 HP JP3</v>
          </cell>
        </row>
        <row r="1320">
          <cell r="A1320" t="str">
            <v>BOMCONTJP3-380-1.5</v>
          </cell>
          <cell r="B1320" t="str">
            <v>CONT. TORNA TECH 1,5 HP JP3</v>
          </cell>
        </row>
        <row r="1321">
          <cell r="A1321" t="str">
            <v>BOMCONTJP3-3HP</v>
          </cell>
          <cell r="B1321" t="str">
            <v>Controlador tornatech 3 HP JP3</v>
          </cell>
        </row>
        <row r="1322">
          <cell r="A1322" t="str">
            <v>BOMCONTJP3-4HP</v>
          </cell>
          <cell r="B1322" t="str">
            <v>Controlador tornatech 4 HP JP3</v>
          </cell>
        </row>
        <row r="1323">
          <cell r="A1323" t="str">
            <v>BOMCONTJP3-600-2HP</v>
          </cell>
          <cell r="B1323" t="str">
            <v xml:space="preserve">CONT. TORNA TECH 2 HP JP3-600 </v>
          </cell>
        </row>
        <row r="1324">
          <cell r="A1324" t="str">
            <v>BOMCONTM15A0.75</v>
          </cell>
          <cell r="B1324" t="str">
            <v xml:space="preserve">CONT. METRON M15A 0.75 HP </v>
          </cell>
        </row>
        <row r="1325">
          <cell r="A1325" t="str">
            <v>BOMCONTM15A1.5H</v>
          </cell>
          <cell r="B1325" t="str">
            <v xml:space="preserve">CONT. METRON M15A 1.5 HP </v>
          </cell>
        </row>
        <row r="1326">
          <cell r="A1326" t="str">
            <v>BOMCONTM15A10HP</v>
          </cell>
          <cell r="B1326" t="str">
            <v xml:space="preserve">CONT. METRON M15A 10 HP </v>
          </cell>
        </row>
        <row r="1327">
          <cell r="A1327" t="str">
            <v>BOMCONTM15A15HP</v>
          </cell>
          <cell r="B1327" t="str">
            <v xml:space="preserve">CONT. METRON M15A 15 HP </v>
          </cell>
        </row>
        <row r="1328">
          <cell r="A1328" t="str">
            <v>BOMCONTM15A-1H</v>
          </cell>
          <cell r="B1328" t="str">
            <v>CONT. METRON M15A 1 HP</v>
          </cell>
        </row>
        <row r="1329">
          <cell r="A1329" t="str">
            <v>BOMCONTM15A20HP</v>
          </cell>
          <cell r="B1329" t="str">
            <v xml:space="preserve">CONT. METRON M15A 20 HP </v>
          </cell>
        </row>
        <row r="1330">
          <cell r="A1330" t="str">
            <v>BOMCONTM15A25HP</v>
          </cell>
          <cell r="B1330" t="str">
            <v xml:space="preserve">CONT. METRON M15A 25 HP </v>
          </cell>
        </row>
        <row r="1331">
          <cell r="A1331" t="str">
            <v>BOMCONTM15A2HP0</v>
          </cell>
          <cell r="B1331" t="str">
            <v xml:space="preserve">CONT. METRON M15A 2 HP </v>
          </cell>
        </row>
        <row r="1332">
          <cell r="A1332" t="str">
            <v>BOMCONTM15A2HP-NEMA4</v>
          </cell>
          <cell r="B1332" t="str">
            <v>CONT. METRON M15A 2 HP  NEMA 4X</v>
          </cell>
        </row>
        <row r="1333">
          <cell r="A1333" t="str">
            <v>BOMCONTM15A30HP</v>
          </cell>
          <cell r="B1333" t="str">
            <v xml:space="preserve">CONT. METRON M15A 30 HP </v>
          </cell>
        </row>
        <row r="1334">
          <cell r="A1334" t="str">
            <v>BOMCONTM15A3HP0</v>
          </cell>
          <cell r="B1334" t="str">
            <v xml:space="preserve">CONT. METRON M15A 3 HP </v>
          </cell>
        </row>
        <row r="1335">
          <cell r="A1335" t="str">
            <v>BOMCONTM15A3HP0NEMA4</v>
          </cell>
          <cell r="B1335" t="str">
            <v>CONT. METRON M15A 3 HP NEMA 4</v>
          </cell>
        </row>
        <row r="1336">
          <cell r="A1336" t="str">
            <v>BOMCONTM15A4HP0</v>
          </cell>
          <cell r="B1336" t="str">
            <v xml:space="preserve">CONT. METRON M15A 4 HP </v>
          </cell>
        </row>
        <row r="1337">
          <cell r="A1337" t="str">
            <v>BOMCONTM15A4HPNEMA4X</v>
          </cell>
          <cell r="B1337" t="str">
            <v>CONT. METRON M15A 4 HP NEMA 4X</v>
          </cell>
        </row>
        <row r="1338">
          <cell r="A1338" t="str">
            <v>BOMCONTM15A5HP0</v>
          </cell>
          <cell r="B1338" t="str">
            <v xml:space="preserve">CONT. METRON M15A 5 HP </v>
          </cell>
        </row>
        <row r="1339">
          <cell r="A1339" t="str">
            <v>BOMCONTM15A7.5H</v>
          </cell>
          <cell r="B1339" t="str">
            <v xml:space="preserve">CONT. METRON M15A 7.5 HP </v>
          </cell>
        </row>
        <row r="1340">
          <cell r="A1340" t="str">
            <v>BOMCONTM15B1.5H</v>
          </cell>
          <cell r="B1340" t="str">
            <v xml:space="preserve">CONT. METRON M15B 1.5 HP </v>
          </cell>
        </row>
        <row r="1341">
          <cell r="A1341" t="str">
            <v>BOMCONTM15B10HP</v>
          </cell>
          <cell r="B1341" t="str">
            <v xml:space="preserve">CONT. METRON M15B 10 HP </v>
          </cell>
        </row>
        <row r="1342">
          <cell r="A1342" t="str">
            <v>BOMCONTM15B15HP</v>
          </cell>
          <cell r="B1342" t="str">
            <v xml:space="preserve">CONT. METRON M15B 15 HP </v>
          </cell>
        </row>
        <row r="1343">
          <cell r="A1343" t="str">
            <v>BOMCONTM15B20HP</v>
          </cell>
          <cell r="B1343" t="str">
            <v xml:space="preserve">CONT. METRON M15B 20 HP </v>
          </cell>
        </row>
        <row r="1344">
          <cell r="A1344" t="str">
            <v>BOMCONTM15B25HP</v>
          </cell>
          <cell r="B1344" t="str">
            <v xml:space="preserve">CONT. METRON M15B 25 HP </v>
          </cell>
        </row>
        <row r="1345">
          <cell r="A1345" t="str">
            <v>BOMCONTM15B2HP0</v>
          </cell>
          <cell r="B1345" t="str">
            <v xml:space="preserve">CONT. METRON M15B 2 HP </v>
          </cell>
        </row>
        <row r="1346">
          <cell r="A1346" t="str">
            <v>BOMCONTM15B30HP</v>
          </cell>
          <cell r="B1346" t="str">
            <v xml:space="preserve">CONT. METRON M15B 30 HP </v>
          </cell>
        </row>
        <row r="1347">
          <cell r="A1347" t="str">
            <v>BOMCONTM15B3HP0</v>
          </cell>
          <cell r="B1347" t="str">
            <v xml:space="preserve">CONT. METRON M15B 3 HP </v>
          </cell>
        </row>
        <row r="1348">
          <cell r="A1348" t="str">
            <v>BOMCONTM15B4HP0</v>
          </cell>
          <cell r="B1348" t="str">
            <v xml:space="preserve">CONT. METRON M15B 4 HP </v>
          </cell>
        </row>
        <row r="1349">
          <cell r="A1349" t="str">
            <v>BOMCONTM15B5HP0</v>
          </cell>
          <cell r="B1349" t="str">
            <v xml:space="preserve">CONT. METRON M15B 5 HP </v>
          </cell>
        </row>
        <row r="1350">
          <cell r="A1350" t="str">
            <v>BOMCONTM15B7.5H</v>
          </cell>
          <cell r="B1350" t="str">
            <v xml:space="preserve">CONT. METRON M15B 7.5 HP </v>
          </cell>
        </row>
        <row r="1351">
          <cell r="A1351" t="str">
            <v>BOMCONTMP153HPNEMA4</v>
          </cell>
          <cell r="B1351" t="str">
            <v>MP15-3HP -480 50HZ 3ph Nema 4</v>
          </cell>
        </row>
        <row r="1352">
          <cell r="A1352" t="str">
            <v>BOMCONTMP430030</v>
          </cell>
          <cell r="B1352" t="str">
            <v xml:space="preserve">CONT. METRON MP-430 30 HP </v>
          </cell>
        </row>
        <row r="1353">
          <cell r="A1353" t="str">
            <v>BOMCONTMP430040</v>
          </cell>
          <cell r="B1353" t="str">
            <v xml:space="preserve">CONT. METRON MP-430 40 HP </v>
          </cell>
        </row>
        <row r="1354">
          <cell r="A1354" t="str">
            <v>BOMCONTMP430060</v>
          </cell>
          <cell r="B1354" t="str">
            <v xml:space="preserve">CONT. METRON MP-430 60 HP </v>
          </cell>
        </row>
        <row r="1355">
          <cell r="A1355" t="str">
            <v>BOMCONTMP430075</v>
          </cell>
          <cell r="B1355" t="str">
            <v xml:space="preserve">CONT. METRON MP-430 75 HP </v>
          </cell>
        </row>
        <row r="1356">
          <cell r="A1356" t="str">
            <v>BOMCONTMP430075TS</v>
          </cell>
          <cell r="B1356" t="str">
            <v>CONT. METRON MP-430 075 HP TRANSFER SWITH</v>
          </cell>
        </row>
        <row r="1357">
          <cell r="A1357" t="str">
            <v>BOMCONTMP430100</v>
          </cell>
          <cell r="B1357" t="str">
            <v xml:space="preserve">CONT. METRON MP-430 100 HP </v>
          </cell>
        </row>
        <row r="1358">
          <cell r="A1358" t="str">
            <v>BOMCONTMP430100-TS</v>
          </cell>
          <cell r="B1358" t="str">
            <v>CONT. METRON MP-430 100 HP  TS</v>
          </cell>
        </row>
        <row r="1359">
          <cell r="A1359" t="str">
            <v>BOMCONTMP430125</v>
          </cell>
          <cell r="B1359" t="str">
            <v xml:space="preserve">CONT. METRON MP-430 125 HP </v>
          </cell>
        </row>
        <row r="1360">
          <cell r="A1360" t="str">
            <v>BOMCONTMP430150</v>
          </cell>
          <cell r="B1360" t="str">
            <v xml:space="preserve">CONT. METRON MP-430 150 HP </v>
          </cell>
        </row>
        <row r="1361">
          <cell r="A1361" t="str">
            <v>BOMCONTMP430150TS</v>
          </cell>
          <cell r="B1361" t="str">
            <v>CONT. METRON MP-430 150 HP TS</v>
          </cell>
        </row>
        <row r="1362">
          <cell r="A1362" t="str">
            <v>BOMCONTMP430200</v>
          </cell>
          <cell r="B1362" t="str">
            <v xml:space="preserve">CONT. METRON MP-430 200 HP </v>
          </cell>
        </row>
        <row r="1363">
          <cell r="A1363" t="str">
            <v>BOMCONTMP430200-460V</v>
          </cell>
          <cell r="B1363" t="str">
            <v>Controlador Metron MP430 3/50HZ/460V</v>
          </cell>
        </row>
        <row r="1364">
          <cell r="A1364" t="str">
            <v>BOMCONTMP430200-480V</v>
          </cell>
          <cell r="B1364" t="str">
            <v>Controlador Metron MP430 200HP 480V 50HZ NEMA 4</v>
          </cell>
        </row>
        <row r="1365">
          <cell r="A1365" t="str">
            <v>BOMCONTMP430200TS</v>
          </cell>
          <cell r="B1365" t="str">
            <v>CONT. METRON MP-430 200 HP TS</v>
          </cell>
        </row>
        <row r="1366">
          <cell r="A1366" t="str">
            <v>BOMCONTMP430300</v>
          </cell>
          <cell r="B1366" t="str">
            <v xml:space="preserve">CONT. METRON MP-430 300 HP </v>
          </cell>
        </row>
        <row r="1367">
          <cell r="A1367" t="str">
            <v>BOMCONTMP43060-TS</v>
          </cell>
          <cell r="B1367" t="str">
            <v>CONT. METRON MP-430-60 HP TS</v>
          </cell>
        </row>
        <row r="1368">
          <cell r="A1368" t="str">
            <v>BOM-CONT-MP430-75EXP</v>
          </cell>
          <cell r="B1368" t="str">
            <v>CONT. METRON MP-430 75 HP EXP.</v>
          </cell>
        </row>
        <row r="1369">
          <cell r="A1369" t="str">
            <v>BOMCONTMP430H50</v>
          </cell>
          <cell r="B1369" t="str">
            <v xml:space="preserve">CONT. METRON MP-430 50 HP </v>
          </cell>
        </row>
        <row r="1370">
          <cell r="A1370" t="str">
            <v>BOMCONTMP430H50TS</v>
          </cell>
          <cell r="B1370" t="str">
            <v>CONT. METRON MP-430 50 HP TS</v>
          </cell>
        </row>
        <row r="1371">
          <cell r="A1371" t="str">
            <v>BOMCONTMP700250</v>
          </cell>
          <cell r="B1371" t="str">
            <v xml:space="preserve">CONT. METRON MP-700-250 HP </v>
          </cell>
        </row>
        <row r="1372">
          <cell r="A1372" t="str">
            <v>BOM-CONTMP700-250HP</v>
          </cell>
          <cell r="B1372" t="str">
            <v>METRON MP700 SOFT  START UL/FM CONTROLLER 250 HP NEMA2</v>
          </cell>
        </row>
        <row r="1373">
          <cell r="A1373" t="str">
            <v>BOM-CONTMP700-300HP</v>
          </cell>
          <cell r="B1373" t="str">
            <v>METRON MP700 SOFT  START UL/FM CONTROLLER 300 HP NEMA4X</v>
          </cell>
        </row>
        <row r="1374">
          <cell r="A1374" t="str">
            <v>BOM-CONTREL-000</v>
          </cell>
          <cell r="B1374" t="str">
            <v xml:space="preserve">RELE AUXILIARES </v>
          </cell>
        </row>
        <row r="1375">
          <cell r="A1375" t="str">
            <v>BOM-CONTTJMA-ST</v>
          </cell>
          <cell r="B1375" t="str">
            <v xml:space="preserve">TARJETA ELECT. CONT MASTERS </v>
          </cell>
        </row>
        <row r="1376">
          <cell r="A1376" t="str">
            <v>BOMCONT-TORNA-150HP</v>
          </cell>
          <cell r="B1376" t="str">
            <v>CONT. TORNA TECH GPS 150 HP</v>
          </cell>
        </row>
        <row r="1377">
          <cell r="A1377" t="str">
            <v>BOMCONTTORNA-5.5HP</v>
          </cell>
          <cell r="B1377" t="str">
            <v xml:space="preserve">Controlador Tornatech  JP3 5,5 HP </v>
          </cell>
        </row>
        <row r="1378">
          <cell r="A1378" t="str">
            <v>BOMCONTTORNA-7,5H</v>
          </cell>
          <cell r="B1378" t="str">
            <v xml:space="preserve">Controlador Tornatech  JP3 7,5 HP </v>
          </cell>
        </row>
        <row r="1379">
          <cell r="A1379" t="str">
            <v>BOMCONT-TTCH-150-GPW</v>
          </cell>
          <cell r="B1379" t="str">
            <v>CONT. TORNA TECH GPW 150 HP 380 VOLTS</v>
          </cell>
        </row>
        <row r="1380">
          <cell r="A1380" t="str">
            <v>BOMCONT-TTCH-200-GPW</v>
          </cell>
          <cell r="B1380" t="str">
            <v>CONT. TORNA TECH GPW 200 HP 380 VOLTS</v>
          </cell>
        </row>
        <row r="1381">
          <cell r="A1381" t="str">
            <v>BOMCONT-TTECH-125HP</v>
          </cell>
          <cell r="B1381" t="str">
            <v>CONT. TORNA TECH GPY 125 HP</v>
          </cell>
        </row>
        <row r="1382">
          <cell r="A1382" t="str">
            <v>BOMCONT-TTECH-150HP</v>
          </cell>
          <cell r="B1382" t="str">
            <v>CONT. TORNA TECH GPY 150 HP</v>
          </cell>
        </row>
        <row r="1383">
          <cell r="A1383" t="str">
            <v>BOMCONT-TTECH-200HP</v>
          </cell>
          <cell r="B1383" t="str">
            <v>CONT. TORNA TECH GPY 200 HP</v>
          </cell>
        </row>
        <row r="1384">
          <cell r="A1384" t="str">
            <v>BOMCONT-TTECH-50HP</v>
          </cell>
          <cell r="B1384" t="str">
            <v>CONT. TORNA TECH GPY 50 HP</v>
          </cell>
        </row>
        <row r="1385">
          <cell r="A1385" t="str">
            <v>BOM-DIE-JU4HUF14-EXP</v>
          </cell>
          <cell r="B1385" t="str">
            <v>MOTOR DIESEL CLARKE JU4H-UF14 EXPO</v>
          </cell>
        </row>
        <row r="1386">
          <cell r="A1386" t="str">
            <v>BOMDIEJU6H-UF54-DT2H</v>
          </cell>
          <cell r="B1386" t="str">
            <v>Motor Clarke JU6H-UF54 Tropicatation/ Enclosure DT2H SA</v>
          </cell>
        </row>
        <row r="1387">
          <cell r="A1387" t="str">
            <v>BOMDIESELDP6H-UFAA50</v>
          </cell>
          <cell r="B1387" t="str">
            <v>MOTOR DIESEL CLARKE DP6H-UFAA50</v>
          </cell>
        </row>
        <row r="1388">
          <cell r="A1388" t="str">
            <v>BOMDIESELDP6H-UFAA62</v>
          </cell>
          <cell r="B1388" t="str">
            <v>MOTOR DIESEL CLARKE DP6H-UFAA62</v>
          </cell>
        </row>
        <row r="1389">
          <cell r="A1389" t="str">
            <v>BOMDIESELDP6H-UFAA70</v>
          </cell>
          <cell r="B1389" t="str">
            <v>MOTOR DIESEL CLARKE DP6H-UFAA70</v>
          </cell>
        </row>
        <row r="1390">
          <cell r="A1390" t="str">
            <v>BOMDIESELDP6H-UFAA88</v>
          </cell>
          <cell r="B1390" t="str">
            <v>MOTOR DIESEL CLARKE DP6H-UFAA88</v>
          </cell>
        </row>
        <row r="1391">
          <cell r="A1391" t="str">
            <v>BOMDIESELDP6H-UFAAX8</v>
          </cell>
          <cell r="B1391" t="str">
            <v>MOTOR DIESEL CLARKE DP6H-UFAAX8</v>
          </cell>
        </row>
        <row r="1392">
          <cell r="A1392" t="str">
            <v>BOMDIESELDQ6H-UFAA50</v>
          </cell>
          <cell r="B1392" t="str">
            <v>MOTOR DIESEL CLARKE DQ6H-UFAA50</v>
          </cell>
        </row>
        <row r="1393">
          <cell r="A1393" t="str">
            <v>BOMDIESELDQ6H-UFAA60</v>
          </cell>
          <cell r="B1393" t="str">
            <v>MOTOR DIESEL CLARKE DQ6H-UFAA60</v>
          </cell>
        </row>
        <row r="1394">
          <cell r="A1394" t="str">
            <v>BOMDIESELDQ6H-UFAA88</v>
          </cell>
          <cell r="B1394" t="str">
            <v>MOTOR DIESEL CLARKE DQ6H-UFAA88</v>
          </cell>
        </row>
        <row r="1395">
          <cell r="A1395" t="str">
            <v>BOMDIESELDQ6H-UFAA98</v>
          </cell>
          <cell r="B1395" t="str">
            <v>MOTOR DIESEL CLARKE DQ6H-UFAA98</v>
          </cell>
        </row>
        <row r="1396">
          <cell r="A1396" t="str">
            <v>BOMDIESELDR8H-UFAA40</v>
          </cell>
          <cell r="B1396" t="str">
            <v>MOTOR DIESEL CLARKE DR8H-UFAA40</v>
          </cell>
        </row>
        <row r="1397">
          <cell r="A1397" t="str">
            <v>BOMDIESELDR8H-UFAA5G</v>
          </cell>
          <cell r="B1397" t="str">
            <v>MOTOR DIESEL CLARKE DR8H-UFAA5G</v>
          </cell>
        </row>
        <row r="1398">
          <cell r="A1398" t="str">
            <v>BOMDIESELDR8H-UFAA62</v>
          </cell>
          <cell r="B1398" t="str">
            <v>MOTOR DIESEL CLARKE DR8H-UFAA62</v>
          </cell>
        </row>
        <row r="1399">
          <cell r="A1399" t="str">
            <v>BOMDIESELDR8H-UFAA68</v>
          </cell>
          <cell r="B1399" t="str">
            <v>MOTOR DIESEL CLARKE DR8H-UFAA68</v>
          </cell>
        </row>
        <row r="1400">
          <cell r="A1400" t="str">
            <v>BOMDIESELDR8H-UFAA92</v>
          </cell>
          <cell r="B1400" t="str">
            <v>MOTOR DIESEL CLARKE DR8H-UFAA92</v>
          </cell>
        </row>
        <row r="1401">
          <cell r="A1401" t="str">
            <v>BOMDIESELDR8H-UFAA98</v>
          </cell>
          <cell r="B1401" t="str">
            <v>MOTOR DIESEL CLARKE DR8H-UFAA98</v>
          </cell>
        </row>
        <row r="1402">
          <cell r="A1402" t="str">
            <v>BOMDIESELDS0H-UFAA60</v>
          </cell>
          <cell r="B1402" t="str">
            <v>MOTOR DIESEL CLARKE DS0H-UFAA60</v>
          </cell>
        </row>
        <row r="1403">
          <cell r="A1403" t="str">
            <v>BOMDIESELDS0H-UFAA68</v>
          </cell>
          <cell r="B1403" t="str">
            <v>MOTOR DIESEL CLARKE DS0H-UFAA68</v>
          </cell>
        </row>
        <row r="1404">
          <cell r="A1404" t="str">
            <v>BOMDIESELDS0H-UFAA92</v>
          </cell>
          <cell r="B1404" t="str">
            <v>MOTOR DIESEL CLARKE DS0H-UFAA92</v>
          </cell>
        </row>
        <row r="1405">
          <cell r="A1405" t="str">
            <v>BOMDIESELDS0H-UFAA98</v>
          </cell>
          <cell r="B1405" t="str">
            <v>MOTOR DIESEL CLARKE DS0H-UFAA98</v>
          </cell>
        </row>
        <row r="1406">
          <cell r="A1406" t="str">
            <v>BOMDIESELDS0H-UFAAM0</v>
          </cell>
          <cell r="B1406" t="str">
            <v>MOTOR DIESEL CLARKE DS0H-UFAAM0</v>
          </cell>
        </row>
        <row r="1407">
          <cell r="A1407" t="str">
            <v>BOMDIESELDS0H-UFAAN0</v>
          </cell>
          <cell r="B1407" t="str">
            <v>MOTOR DIESEL CLARKE DS0H-UFAAN0</v>
          </cell>
        </row>
        <row r="1408">
          <cell r="A1408" t="str">
            <v>BOMDIESELDT2H-UFAA20</v>
          </cell>
          <cell r="B1408" t="str">
            <v>MOTOR DIESEL CLARKE DT2H-UFAA20</v>
          </cell>
        </row>
        <row r="1409">
          <cell r="A1409" t="str">
            <v>BOMDIESELDT2H-UFAA50</v>
          </cell>
          <cell r="B1409" t="str">
            <v>MOTOR DIESEL CLARKE DT2H-UFAA50</v>
          </cell>
        </row>
        <row r="1410">
          <cell r="A1410" t="str">
            <v>BOMDIESELDT2H-UFAA58</v>
          </cell>
          <cell r="B1410" t="str">
            <v>MOTOR DIESEL CLARKE DT2H-UFAA58</v>
          </cell>
        </row>
        <row r="1411">
          <cell r="A1411" t="str">
            <v>BOMDIESELDT2H-UFAA60</v>
          </cell>
          <cell r="B1411" t="str">
            <v>MOTOR DIESEL CLARKE DT2H-UFAA60</v>
          </cell>
        </row>
        <row r="1412">
          <cell r="A1412" t="str">
            <v>BOMDIESELDT2H-UFAA88</v>
          </cell>
          <cell r="B1412" t="str">
            <v>MOTOR DIESEL CLARKE DT2H-UFAA88</v>
          </cell>
        </row>
        <row r="1413">
          <cell r="A1413" t="str">
            <v>BOMDIESELDT2H-UFAA92</v>
          </cell>
          <cell r="B1413" t="str">
            <v>MOTOR DIESEL CLARKE DT2H-UFAA92</v>
          </cell>
        </row>
        <row r="1414">
          <cell r="A1414" t="str">
            <v>BOMDIESELDT2H-UFAA98</v>
          </cell>
          <cell r="B1414" t="str">
            <v>MOTOR DIESEL CLARKE DT2H-UFAA98</v>
          </cell>
        </row>
        <row r="1415">
          <cell r="A1415" t="str">
            <v>BOMDIESELJU4H-UF10</v>
          </cell>
          <cell r="B1415" t="str">
            <v>MOTOR DIESEL CLARKE JU4H-UF10</v>
          </cell>
        </row>
        <row r="1416">
          <cell r="A1416" t="str">
            <v>BOMDIESELJU4H-UF12</v>
          </cell>
          <cell r="B1416" t="str">
            <v>MOTOR DIESEL CLARKE JU4H-UF12</v>
          </cell>
        </row>
        <row r="1417">
          <cell r="A1417" t="str">
            <v>BOMDIESELJU4H-UF14</v>
          </cell>
          <cell r="B1417" t="str">
            <v>MOTOR DIESEL CLARKE JU4H-UF14</v>
          </cell>
        </row>
        <row r="1418">
          <cell r="A1418" t="str">
            <v>BOMDIESELJU4H-UF20</v>
          </cell>
          <cell r="B1418" t="str">
            <v>MOTOR DIESEL CLARKE JU4H-UF20</v>
          </cell>
        </row>
        <row r="1419">
          <cell r="A1419" t="str">
            <v>BOMDIESELJU4H-UF22</v>
          </cell>
          <cell r="B1419" t="str">
            <v>MOTOR DIESEL CLARKE JU4H-UF22</v>
          </cell>
        </row>
        <row r="1420">
          <cell r="A1420" t="str">
            <v>BOMDIESELJU4H-UF24</v>
          </cell>
          <cell r="B1420" t="str">
            <v>MOTOR DIESEL CLARKE JU4H-UF24</v>
          </cell>
        </row>
        <row r="1421">
          <cell r="A1421" t="str">
            <v>BOMDIESELJU4H-UF30</v>
          </cell>
          <cell r="B1421" t="str">
            <v>MOTOR DIESEL CLARKE JU4H-UF30</v>
          </cell>
        </row>
        <row r="1422">
          <cell r="A1422" t="str">
            <v>BOMDIESELJU4H-UF32</v>
          </cell>
          <cell r="B1422" t="str">
            <v>MOTOR DIESEL CLARKE JU4H-UF32</v>
          </cell>
        </row>
        <row r="1423">
          <cell r="A1423" t="str">
            <v>BOMDIESELJU4H-UF34</v>
          </cell>
          <cell r="B1423" t="str">
            <v>MOTOR DIESEL CLARKE JU4H-UF34</v>
          </cell>
        </row>
        <row r="1424">
          <cell r="A1424" t="str">
            <v>BOMDIESELJU4H-UF40</v>
          </cell>
          <cell r="B1424" t="str">
            <v>MOTOR DIESEL CLARKE JU4H-UF40</v>
          </cell>
        </row>
        <row r="1425">
          <cell r="A1425" t="str">
            <v>BOMDIESELJU4H-UF42</v>
          </cell>
          <cell r="B1425" t="str">
            <v>MOTOR DIESEL CLARKE JU4H-UF42</v>
          </cell>
        </row>
        <row r="1426">
          <cell r="A1426" t="str">
            <v>BOMDIESELJU4H-UF50</v>
          </cell>
          <cell r="B1426" t="str">
            <v>MOTOR DIESEL CLARKE JU4H-UF50</v>
          </cell>
        </row>
        <row r="1427">
          <cell r="A1427" t="str">
            <v>BOMDIESELJU4H-UF52</v>
          </cell>
          <cell r="B1427" t="str">
            <v>MOTOR DIESEL CLARKE JU4H-UF52</v>
          </cell>
        </row>
        <row r="1428">
          <cell r="A1428" t="str">
            <v>BOMDIESELJU4H-UF54</v>
          </cell>
          <cell r="B1428" t="str">
            <v>MOTOR DIESEL CLARKE JU4H-UF54</v>
          </cell>
        </row>
        <row r="1429">
          <cell r="A1429" t="str">
            <v>BOMDIESELJU4H-UF58</v>
          </cell>
          <cell r="B1429" t="str">
            <v>MOTOR DIESEL CLARKE JU4H-UF58</v>
          </cell>
        </row>
        <row r="1430">
          <cell r="A1430" t="str">
            <v>BOMDIESELJU4H-UFAB26</v>
          </cell>
          <cell r="B1430" t="str">
            <v>MOTOR DIESEL CLARKE JU4H-UFAB26</v>
          </cell>
        </row>
        <row r="1431">
          <cell r="A1431" t="str">
            <v>BOMDIESELJU4H-UFH0</v>
          </cell>
          <cell r="B1431" t="str">
            <v>MOTOR DIESEL CLARKE JU4H-UFH0</v>
          </cell>
        </row>
        <row r="1432">
          <cell r="A1432" t="str">
            <v>BOMDIESELJU4H-UFH2</v>
          </cell>
          <cell r="B1432" t="str">
            <v>MOTOR DIESEL CLARKE JU4H-UFH2</v>
          </cell>
        </row>
        <row r="1433">
          <cell r="A1433" t="str">
            <v>BOMDIESELJU4H-UFH8</v>
          </cell>
          <cell r="B1433" t="str">
            <v>MOTOR DIESEL CLARKE JU4H-UFH8</v>
          </cell>
        </row>
        <row r="1434">
          <cell r="A1434" t="str">
            <v>BOMDIESELJU6H-UF30</v>
          </cell>
          <cell r="B1434" t="str">
            <v>MOTOR DIESEL CLARKE JU6H-UF30</v>
          </cell>
        </row>
        <row r="1435">
          <cell r="A1435" t="str">
            <v>BOMDIESELJU6H-UF32</v>
          </cell>
          <cell r="B1435" t="str">
            <v>MOTOR DIESEL CLARKE JU6H-UF32</v>
          </cell>
        </row>
        <row r="1436">
          <cell r="A1436" t="str">
            <v>BOMDIESELJU6H-UF34</v>
          </cell>
          <cell r="B1436" t="str">
            <v>MOTOR DIESEL CLARKE JU6H-UF34</v>
          </cell>
        </row>
        <row r="1437">
          <cell r="A1437" t="str">
            <v>BOMDIESELJU6H-UF50</v>
          </cell>
          <cell r="B1437" t="str">
            <v>MOTOR DIESEL CLARKE JU6H-UF50</v>
          </cell>
        </row>
        <row r="1438">
          <cell r="A1438" t="str">
            <v>BOMDIESELJU6H-UF52</v>
          </cell>
          <cell r="B1438" t="str">
            <v>MOTOR DIESEL CLARKE JU6H-UF52</v>
          </cell>
        </row>
        <row r="1439">
          <cell r="A1439" t="str">
            <v>BOMDIESELJU6H-UF54</v>
          </cell>
          <cell r="B1439" t="str">
            <v>MOTOR DIESEL CLARKE JU6H-UF54</v>
          </cell>
        </row>
        <row r="1440">
          <cell r="A1440" t="str">
            <v>BOMDIESELJU6H-UF58</v>
          </cell>
          <cell r="B1440" t="str">
            <v>MOTOR DIESEL CLARKE JU6H-UF58</v>
          </cell>
        </row>
        <row r="1441">
          <cell r="A1441" t="str">
            <v>BOMDIESELJU6H-UF60</v>
          </cell>
          <cell r="B1441" t="str">
            <v>MOTOR DIESEL CLARKE JU6H-UF60</v>
          </cell>
        </row>
        <row r="1442">
          <cell r="A1442" t="str">
            <v>BOMDIESELJU6H-UF62</v>
          </cell>
          <cell r="B1442" t="str">
            <v>MOTOR DIESEL CLARKE JU6H-UF62</v>
          </cell>
        </row>
        <row r="1443">
          <cell r="A1443" t="str">
            <v>BOMDIESELJU6H-UF68</v>
          </cell>
          <cell r="B1443" t="str">
            <v>MOTOR DIESEL CLARKE JU6H-UF68</v>
          </cell>
        </row>
        <row r="1444">
          <cell r="A1444" t="str">
            <v>BOMDIESELJU6H-UF84</v>
          </cell>
          <cell r="B1444" t="str">
            <v>MOTOR DIESEL CLARKE JU6H-UF84</v>
          </cell>
        </row>
        <row r="1445">
          <cell r="A1445" t="str">
            <v>BOMDIESELJU6H-UFAAPG</v>
          </cell>
          <cell r="B1445" t="str">
            <v>MOTOR DIESEL CLARKE JU6H-UFAAPG</v>
          </cell>
        </row>
        <row r="1446">
          <cell r="A1446" t="str">
            <v>BOMDIESELJU6H-UFAAQ8</v>
          </cell>
          <cell r="B1446" t="str">
            <v>MOTOR DIESEL CLARKE JU6H-UFAAQ8</v>
          </cell>
        </row>
        <row r="1447">
          <cell r="A1447" t="str">
            <v>BOMDIESELJU6H-UFAARG</v>
          </cell>
          <cell r="B1447" t="str">
            <v>MOTOR DIESEL CLARKE JU6H-UFAARG</v>
          </cell>
        </row>
        <row r="1448">
          <cell r="A1448" t="str">
            <v>BOMDIESELJU6H-UFAAS0</v>
          </cell>
          <cell r="B1448" t="str">
            <v>MOTOR DIESEL CLARKE JU6H-UFAAS0</v>
          </cell>
        </row>
        <row r="1449">
          <cell r="A1449" t="str">
            <v>BOMDIESELJU6H-UFAB76</v>
          </cell>
          <cell r="B1449" t="str">
            <v>MOTOR DIESEL CLARKE JU6H-UFAB76</v>
          </cell>
        </row>
        <row r="1450">
          <cell r="A1450" t="str">
            <v>BOMDIESELJU6H-UFABL0</v>
          </cell>
          <cell r="B1450" t="str">
            <v>MOTOR DIESEL CLARKE JU6H-UFABL0</v>
          </cell>
        </row>
        <row r="1451">
          <cell r="A1451" t="str">
            <v>BOMDIESELJU6H-UFABL2</v>
          </cell>
          <cell r="B1451" t="str">
            <v>MOTOR DIESEL CLARKE JU6H-UFABL2</v>
          </cell>
        </row>
        <row r="1452">
          <cell r="A1452" t="str">
            <v>BOMDIESELJU6H-UFABL8</v>
          </cell>
          <cell r="B1452" t="str">
            <v>MOTOR DIESEL CLARKE JU6H-UFABL8</v>
          </cell>
        </row>
        <row r="1453">
          <cell r="A1453" t="str">
            <v>BOMDIESELJU6H-UFD0</v>
          </cell>
          <cell r="B1453" t="str">
            <v>MOTOR DIESEL CLARKE JU6H-UFD0</v>
          </cell>
        </row>
        <row r="1454">
          <cell r="A1454" t="str">
            <v>BOMDIESELJU6H-UFD2</v>
          </cell>
          <cell r="B1454" t="str">
            <v>MOTOR DIESEL CLARKE JU6H-UFD2</v>
          </cell>
        </row>
        <row r="1455">
          <cell r="A1455" t="str">
            <v>BOMDIESELJU6H-UFG8</v>
          </cell>
          <cell r="B1455" t="str">
            <v>MOTOR DIESEL CLARKE JU6H-UFG8</v>
          </cell>
        </row>
        <row r="1456">
          <cell r="A1456" t="str">
            <v>BOMDIESELJU6H-UFM0</v>
          </cell>
          <cell r="B1456" t="str">
            <v>MOTOR DIESEL CLARKE JU6H-UFM0</v>
          </cell>
        </row>
        <row r="1457">
          <cell r="A1457" t="str">
            <v>BOMDIESELJU6H-UFM2</v>
          </cell>
          <cell r="B1457" t="str">
            <v>MOTOR DIESEL CLARKE JU6H-UFM2</v>
          </cell>
        </row>
        <row r="1458">
          <cell r="A1458" t="str">
            <v>BOMDIESELJU6H-UFM8</v>
          </cell>
          <cell r="B1458" t="str">
            <v>MOTOR DIESEL CLARKE JU6H-UFM8</v>
          </cell>
        </row>
        <row r="1459">
          <cell r="A1459" t="str">
            <v>BOMDIESELJW6H-UFAA60</v>
          </cell>
          <cell r="B1459" t="str">
            <v>MOTOR DIESEL CLARKE JW6H-UFAA60</v>
          </cell>
        </row>
        <row r="1460">
          <cell r="A1460" t="str">
            <v>BOMDIESELJW6H-UFAA80</v>
          </cell>
          <cell r="B1460" t="str">
            <v>MOTOR DIESEL CLARKE JW6H-UFAA80</v>
          </cell>
        </row>
        <row r="1461">
          <cell r="A1461" t="str">
            <v>BOMDIESELJW6H-UFAD70</v>
          </cell>
          <cell r="B1461" t="str">
            <v>MOTOR DIESEL CLARKE JW6H-UFAD70</v>
          </cell>
        </row>
        <row r="1462">
          <cell r="A1462" t="str">
            <v>BOMDIESELZF6H-UFAC60</v>
          </cell>
          <cell r="B1462" t="str">
            <v>MOTOR DIESEL CLARKE ZF6H-UFAC60</v>
          </cell>
        </row>
        <row r="1463">
          <cell r="A1463" t="str">
            <v>BOMDISCHARHEAD6</v>
          </cell>
          <cell r="B1463" t="str">
            <v>DISCHARGE HEAD 6SPP</v>
          </cell>
        </row>
        <row r="1464">
          <cell r="A1464" t="str">
            <v>BOM-DISPLAY-FD4</v>
          </cell>
          <cell r="B1464" t="str">
            <v xml:space="preserve">BOMBA DISPLAY FD4 </v>
          </cell>
        </row>
        <row r="1465">
          <cell r="A1465" t="str">
            <v>BOMDISPLAYMP430</v>
          </cell>
          <cell r="B1465" t="str">
            <v xml:space="preserve">BOMBA DISPLAY MP-430 </v>
          </cell>
        </row>
        <row r="1466">
          <cell r="A1466" t="str">
            <v>BOM-EJE</v>
          </cell>
          <cell r="B1466" t="str">
            <v>Eje bomba TD20D</v>
          </cell>
        </row>
        <row r="1467">
          <cell r="A1467" t="str">
            <v>BOM-ELEC ITT500GPM</v>
          </cell>
          <cell r="B1467" t="str">
            <v xml:space="preserve">BOMBA ELECT ITT 500 GPM 75 HP </v>
          </cell>
        </row>
        <row r="1468">
          <cell r="A1468" t="str">
            <v>BOMELECTEFC100</v>
          </cell>
          <cell r="B1468" t="str">
            <v xml:space="preserve">MOTOR ELECTRICO MODELO TEFC 100 HP </v>
          </cell>
        </row>
        <row r="1469">
          <cell r="A1469" t="str">
            <v>BOMELECTEFC125</v>
          </cell>
          <cell r="B1469" t="str">
            <v xml:space="preserve">MOTOR ELECTRICO MODELO TEFC 125 HP </v>
          </cell>
        </row>
        <row r="1470">
          <cell r="A1470" t="str">
            <v>BOMELECTEFC15</v>
          </cell>
          <cell r="B1470" t="str">
            <v xml:space="preserve">MOTOR ELECTRICO MODELO TEFC 15 HP </v>
          </cell>
        </row>
        <row r="1471">
          <cell r="A1471" t="str">
            <v>BOMELECTEFC150</v>
          </cell>
          <cell r="B1471" t="str">
            <v xml:space="preserve">MOTOR ELECTRICO MODELO TEFC 150 HP </v>
          </cell>
        </row>
        <row r="1472">
          <cell r="A1472" t="str">
            <v>BOMELECTEFC20</v>
          </cell>
          <cell r="B1472" t="str">
            <v xml:space="preserve">MOTOR ELECTRICO MODELO TEFC 20 HP </v>
          </cell>
        </row>
        <row r="1473">
          <cell r="A1473" t="str">
            <v>BOMELECTEFC200</v>
          </cell>
          <cell r="B1473" t="str">
            <v xml:space="preserve">MOTOR ELECTRICO MODELO TEFC 200 HP </v>
          </cell>
        </row>
        <row r="1474">
          <cell r="A1474" t="str">
            <v>BOMELECTEFC200-480V</v>
          </cell>
          <cell r="B1474" t="str">
            <v xml:space="preserve">MOTOR ELECTRICO MODELO TEFC 200 HP / 480 VOLT           </v>
          </cell>
        </row>
        <row r="1475">
          <cell r="A1475" t="str">
            <v>BOMELECTEFC25</v>
          </cell>
          <cell r="B1475" t="str">
            <v xml:space="preserve">MOTOR ELECTRICO MODELO TEFC 25 HP </v>
          </cell>
        </row>
        <row r="1476">
          <cell r="A1476" t="str">
            <v>BOMELECTEFC250</v>
          </cell>
          <cell r="B1476" t="str">
            <v xml:space="preserve">MOTOR ELECTRICO MODELO TEFC 250 HP </v>
          </cell>
        </row>
        <row r="1477">
          <cell r="A1477" t="str">
            <v>BOMELECTEFC30</v>
          </cell>
          <cell r="B1477" t="str">
            <v xml:space="preserve">MOTOR ELECTRICO MODELO TEFC 30 HP </v>
          </cell>
        </row>
        <row r="1478">
          <cell r="A1478" t="str">
            <v>BOMELECTEFC40</v>
          </cell>
          <cell r="B1478" t="str">
            <v xml:space="preserve">MOTOR ELECTRICO MODELO TEFC 40 HP </v>
          </cell>
        </row>
        <row r="1479">
          <cell r="A1479" t="str">
            <v>BOMELECTEFC50</v>
          </cell>
          <cell r="B1479" t="str">
            <v xml:space="preserve">MOTOR ELECTRICO MODELO TEFC 50 HP </v>
          </cell>
        </row>
        <row r="1480">
          <cell r="A1480" t="str">
            <v>BOMELECTEFC60</v>
          </cell>
          <cell r="B1480" t="str">
            <v xml:space="preserve">MOTOR ELECTRICO MODELO TEFC 60 HP </v>
          </cell>
        </row>
        <row r="1481">
          <cell r="A1481" t="str">
            <v>BOMELECTEFC75</v>
          </cell>
          <cell r="B1481" t="str">
            <v xml:space="preserve">MOTOR ELECTRICO MODELO TEFC 75 HP </v>
          </cell>
        </row>
        <row r="1482">
          <cell r="A1482" t="str">
            <v>BOMELECTIP65</v>
          </cell>
          <cell r="B1482" t="str">
            <v>MOTOR ELECTRICO WEG 200HP 447/9TS  460V 50Hz IP65</v>
          </cell>
        </row>
        <row r="1483">
          <cell r="A1483" t="str">
            <v>BOMELECTODP100</v>
          </cell>
          <cell r="B1483" t="str">
            <v xml:space="preserve">MOTOR ELECTRICO MODELO ODP 100 HP </v>
          </cell>
        </row>
        <row r="1484">
          <cell r="A1484" t="str">
            <v>BOMELECTODP125</v>
          </cell>
          <cell r="B1484" t="str">
            <v xml:space="preserve">MOTOR ELECTRICO MODELO ODP 125 HP </v>
          </cell>
        </row>
        <row r="1485">
          <cell r="A1485" t="str">
            <v>BOMELECTODP150</v>
          </cell>
          <cell r="B1485" t="str">
            <v xml:space="preserve">MOTOR ELECTRICO MODELO ODP 150 HP </v>
          </cell>
        </row>
        <row r="1486">
          <cell r="A1486" t="str">
            <v>BOMELECTODP200</v>
          </cell>
          <cell r="B1486" t="str">
            <v xml:space="preserve">MOTOR ELECTRICO MODELO ODP 200 HP </v>
          </cell>
        </row>
        <row r="1487">
          <cell r="A1487" t="str">
            <v>BOMELECTODP200-NID</v>
          </cell>
          <cell r="B1487" t="str">
            <v>MOTOR ELECTRICO MODELO ODP 200 HP  NIDEC</v>
          </cell>
        </row>
        <row r="1488">
          <cell r="A1488" t="str">
            <v>BOMELECTODP250</v>
          </cell>
          <cell r="B1488" t="str">
            <v xml:space="preserve">MOTOR ELECTRICO MODELO ODP 250 HP </v>
          </cell>
        </row>
        <row r="1489">
          <cell r="A1489" t="str">
            <v>BOMELECTODP30</v>
          </cell>
          <cell r="B1489" t="str">
            <v xml:space="preserve">MOTOR ELECTRICO MODELO ODP 30 HP </v>
          </cell>
        </row>
        <row r="1490">
          <cell r="A1490" t="str">
            <v>BOMELECTODP300</v>
          </cell>
          <cell r="B1490" t="str">
            <v xml:space="preserve">MOTOR ELECTRICO MODELO ODP 300 HP </v>
          </cell>
        </row>
        <row r="1491">
          <cell r="A1491" t="str">
            <v>BOMELECTODP40</v>
          </cell>
          <cell r="B1491" t="str">
            <v xml:space="preserve">MOTOR ELECTRICO MODELO ODP 40 HP </v>
          </cell>
        </row>
        <row r="1492">
          <cell r="A1492" t="str">
            <v>BOMELECTODP50</v>
          </cell>
          <cell r="B1492" t="str">
            <v xml:space="preserve">MOTOR ELECTRICO MODELO ODP 50 HP </v>
          </cell>
        </row>
        <row r="1493">
          <cell r="A1493" t="str">
            <v>BOMELECTODP60</v>
          </cell>
          <cell r="B1493" t="str">
            <v xml:space="preserve">MOTOR ELECTRICO MODELO ODP 60 HP </v>
          </cell>
        </row>
        <row r="1494">
          <cell r="A1494" t="str">
            <v>BOMELECTODP75</v>
          </cell>
          <cell r="B1494" t="str">
            <v xml:space="preserve">MOTOR ELECTRICO MODELO ODP 75 HP </v>
          </cell>
        </row>
        <row r="1495">
          <cell r="A1495" t="str">
            <v>BOM-ENGRANAJE</v>
          </cell>
          <cell r="B1495" t="str">
            <v>ENGRANAJE DE ANGULO RECTO 1:1 A 1800 RPM.</v>
          </cell>
        </row>
        <row r="1496">
          <cell r="A1496" t="str">
            <v>BOMESTPET070GL2</v>
          </cell>
          <cell r="B1496" t="str">
            <v xml:space="preserve">ESTANQUE PETROLEO 70 GAL.DOBLE </v>
          </cell>
        </row>
        <row r="1497">
          <cell r="A1497" t="str">
            <v>BOMESTPET115GL2</v>
          </cell>
          <cell r="B1497" t="str">
            <v xml:space="preserve">ESTANQUE PETROLEO 115GAL.DOBLE </v>
          </cell>
        </row>
        <row r="1498">
          <cell r="A1498" t="str">
            <v>BOMESTPET140GL2</v>
          </cell>
          <cell r="B1498" t="str">
            <v xml:space="preserve">ESTANQUE PETROLEO 140 GAL.DOBLE </v>
          </cell>
        </row>
        <row r="1499">
          <cell r="A1499" t="str">
            <v>BOMESTPET250GL2</v>
          </cell>
          <cell r="B1499" t="str">
            <v xml:space="preserve">ESTANQUE PETROLEO 250 GAL.DOBLE </v>
          </cell>
        </row>
        <row r="1500">
          <cell r="A1500" t="str">
            <v>BOMESTPET285GL2</v>
          </cell>
          <cell r="B1500" t="str">
            <v xml:space="preserve">ESTANQUE PETROLEO 285 GAL.DOBLE </v>
          </cell>
        </row>
        <row r="1501">
          <cell r="A1501" t="str">
            <v>BOMESTPET350GL2</v>
          </cell>
          <cell r="B1501" t="str">
            <v xml:space="preserve">ESTANQUE PETROLEO 350 GAL.DOBLE </v>
          </cell>
        </row>
        <row r="1502">
          <cell r="A1502" t="str">
            <v>BOMESTPETR070GL</v>
          </cell>
          <cell r="B1502" t="str">
            <v xml:space="preserve">ESTANQUE PETROLEO 70 GAL.SINGLE </v>
          </cell>
        </row>
        <row r="1503">
          <cell r="A1503" t="str">
            <v>BOMESTPETR115GL</v>
          </cell>
          <cell r="B1503" t="str">
            <v xml:space="preserve">ESTANQUE PETROLEO 115 GAL.SINGL </v>
          </cell>
        </row>
        <row r="1504">
          <cell r="A1504" t="str">
            <v>BOMESTPETR140GL</v>
          </cell>
          <cell r="B1504" t="str">
            <v xml:space="preserve">ESTANQUE PETROLEO 140 GAL.SINGL </v>
          </cell>
        </row>
        <row r="1505">
          <cell r="A1505" t="str">
            <v>BOMESTPETR150GL</v>
          </cell>
          <cell r="B1505" t="str">
            <v xml:space="preserve">ESTANQUE PETROLEO 150 GAL.SINGL </v>
          </cell>
        </row>
        <row r="1506">
          <cell r="A1506" t="str">
            <v>BOMESTPETR225DOBLE</v>
          </cell>
          <cell r="B1506" t="str">
            <v>ESTANQUE PETROLEO 225 GAL DOBLE</v>
          </cell>
        </row>
        <row r="1507">
          <cell r="A1507" t="str">
            <v>BOMESTPETR225GL</v>
          </cell>
          <cell r="B1507" t="str">
            <v>ESTANQUE PETROLEO 225 GAL SINGL</v>
          </cell>
        </row>
        <row r="1508">
          <cell r="A1508" t="str">
            <v>BOMESTPETR250GL</v>
          </cell>
          <cell r="B1508" t="str">
            <v xml:space="preserve">ESTANQUE PETROLEO 250 GAL.SINGL </v>
          </cell>
        </row>
        <row r="1509">
          <cell r="A1509" t="str">
            <v>BOMESTPETR285GL</v>
          </cell>
          <cell r="B1509" t="str">
            <v xml:space="preserve">ESTANQUE PETROLEO 285 GAL.SINGL </v>
          </cell>
        </row>
        <row r="1510">
          <cell r="A1510" t="str">
            <v>BOMESTPETR350GL</v>
          </cell>
          <cell r="B1510" t="str">
            <v xml:space="preserve">ESTANQUE PETROLEO 350 GAL.SINGL </v>
          </cell>
        </row>
        <row r="1511">
          <cell r="A1511" t="str">
            <v>BOMESTPETR450GL</v>
          </cell>
          <cell r="B1511" t="str">
            <v>ESTANQUE PETROLEO 450 GAL.SINGL SPP</v>
          </cell>
        </row>
        <row r="1512">
          <cell r="A1512" t="str">
            <v>BOMESTPETR500GL</v>
          </cell>
          <cell r="B1512" t="str">
            <v>ESTANQUE PETROLEO 500 GAL.SINGL SPP</v>
          </cell>
        </row>
        <row r="1513">
          <cell r="A1513" t="str">
            <v>BOMESTPETR500GL2</v>
          </cell>
          <cell r="B1513" t="str">
            <v>ESTANQUE PETROLEO 500 GAL.DOBLE SPP</v>
          </cell>
        </row>
        <row r="1514">
          <cell r="A1514" t="str">
            <v>BOMESTPETR650GL</v>
          </cell>
          <cell r="B1514" t="str">
            <v xml:space="preserve">ESTANQUE PETROLEO 650 GAL.SINGL </v>
          </cell>
        </row>
        <row r="1515">
          <cell r="A1515" t="str">
            <v>BOMESTPETRO1000LTDB</v>
          </cell>
          <cell r="B1515" t="str">
            <v>ESTANQUE PETROLEO 1000 LTS.  DOBLE PARED SEC</v>
          </cell>
        </row>
        <row r="1516">
          <cell r="A1516" t="str">
            <v>BOMESTPETRO1000LTDOB</v>
          </cell>
          <cell r="B1516" t="str">
            <v>ESTANQUE PETROLEO 1000 LTS.  DOBLE PARED</v>
          </cell>
        </row>
        <row r="1517">
          <cell r="A1517" t="str">
            <v>BOMESTPETRO1000LTS</v>
          </cell>
          <cell r="B1517" t="str">
            <v>ESTANQUE PETROLEO 1000 LTS. SEC</v>
          </cell>
        </row>
        <row r="1518">
          <cell r="A1518" t="str">
            <v>BOMESTPETRO1500LPRET</v>
          </cell>
          <cell r="B1518" t="str">
            <v>ESTANQUE PETROLEO 1500 LTS. CON PRETIL ANTIDERRAME SEC</v>
          </cell>
        </row>
        <row r="1519">
          <cell r="A1519" t="str">
            <v>BOMESTPETRO1500LTDB</v>
          </cell>
          <cell r="B1519" t="str">
            <v>ESTANQUE PETROLEO 1500 LTS.  DOBLE PARED SEC</v>
          </cell>
        </row>
        <row r="1520">
          <cell r="A1520" t="str">
            <v>BOMESTPETRO1500LTS</v>
          </cell>
          <cell r="B1520" t="str">
            <v>ESTANQUE PETROLEO 1500 LTS. SEC</v>
          </cell>
        </row>
        <row r="1521">
          <cell r="A1521" t="str">
            <v>BOMESTPETRO2000LTS</v>
          </cell>
          <cell r="B1521" t="str">
            <v>ESTANQUE PETROLEO 2000 LTS.  SEC</v>
          </cell>
        </row>
        <row r="1522">
          <cell r="A1522" t="str">
            <v>BOMESTPETRO3000LTS</v>
          </cell>
          <cell r="B1522" t="str">
            <v>ESTANQUE PETROLEO 3000 LTS.  SEC</v>
          </cell>
        </row>
        <row r="1523">
          <cell r="A1523" t="str">
            <v>BOMESTPETRO500LTS</v>
          </cell>
          <cell r="B1523" t="str">
            <v xml:space="preserve">ESTANQUE PETROLEO 500 LTS. </v>
          </cell>
        </row>
        <row r="1524">
          <cell r="A1524" t="str">
            <v>BOMESTPETRO850LTS</v>
          </cell>
          <cell r="B1524" t="str">
            <v xml:space="preserve">ESTANQUE PETROLEO 850 LTS. </v>
          </cell>
        </row>
        <row r="1525">
          <cell r="A1525" t="str">
            <v>BOM-ESTPET-VENT</v>
          </cell>
          <cell r="B1525" t="str">
            <v xml:space="preserve">FITTING P/ESTANQUE PETROLEO </v>
          </cell>
        </row>
        <row r="1526">
          <cell r="A1526" t="str">
            <v>BOM-FABCASETA-0</v>
          </cell>
          <cell r="B1526" t="str">
            <v xml:space="preserve">FABRICACION CASETA PRV </v>
          </cell>
        </row>
        <row r="1527">
          <cell r="A1527" t="str">
            <v>BOM-FABSKID-000</v>
          </cell>
          <cell r="B1527" t="str">
            <v xml:space="preserve">FABRICACION SKID DE BOMBAS </v>
          </cell>
        </row>
        <row r="1528">
          <cell r="A1528" t="str">
            <v>BOM-FILTRO</v>
          </cell>
          <cell r="B1528" t="str">
            <v xml:space="preserve">FILTROS DE AIRE </v>
          </cell>
        </row>
        <row r="1529">
          <cell r="A1529" t="str">
            <v>BOM-FILTRO-00</v>
          </cell>
          <cell r="B1529" t="str">
            <v>BOMBA FILTRO JU6  C03396</v>
          </cell>
        </row>
        <row r="1530">
          <cell r="A1530" t="str">
            <v>BOM-FILTRO-DP</v>
          </cell>
          <cell r="B1530" t="str">
            <v>BOMBA FILTRO DP  C03749</v>
          </cell>
        </row>
        <row r="1531">
          <cell r="A1531" t="str">
            <v>BOM-FILTRO-JU4</v>
          </cell>
          <cell r="B1531" t="str">
            <v>BOMBA FILTRO JU4  C03249</v>
          </cell>
        </row>
        <row r="1532">
          <cell r="A1532" t="str">
            <v>BOM-FILTRO-JW6</v>
          </cell>
          <cell r="B1532" t="str">
            <v>BOMBA FILTRO JW6  C03244</v>
          </cell>
        </row>
        <row r="1533">
          <cell r="A1533" t="str">
            <v>BOM-FITESTNIV-115GL</v>
          </cell>
          <cell r="B1533" t="str">
            <v>fitting estanque petroleo + nivel 115 GL</v>
          </cell>
        </row>
        <row r="1534">
          <cell r="A1534" t="str">
            <v>BOM-FITESTNIV-250GL</v>
          </cell>
          <cell r="B1534" t="str">
            <v>fitting estanque petroleo + nivel 250 GL</v>
          </cell>
        </row>
        <row r="1535">
          <cell r="A1535" t="str">
            <v>BOM-FITESTNIV-285GDW</v>
          </cell>
          <cell r="B1535" t="str">
            <v>fitting estanque petroleo + nivel 285 GL DW</v>
          </cell>
        </row>
        <row r="1536">
          <cell r="A1536" t="str">
            <v>BOM-FITESTNIV-285GL</v>
          </cell>
          <cell r="B1536" t="str">
            <v>fitting estanque petroleo + nivel 285 GL SW</v>
          </cell>
        </row>
        <row r="1537">
          <cell r="A1537" t="str">
            <v>BOM-FITESTNIV-350GL</v>
          </cell>
          <cell r="B1537" t="str">
            <v>fitting estanque petroleo + nivel 350 GL</v>
          </cell>
        </row>
        <row r="1538">
          <cell r="A1538" t="str">
            <v>BOM-FITESTNIV-500GL</v>
          </cell>
          <cell r="B1538" t="str">
            <v>fitting estanque petroleo + nivel 500 GL</v>
          </cell>
        </row>
        <row r="1539">
          <cell r="A1539" t="str">
            <v>BOMFLANGESLON06</v>
          </cell>
          <cell r="B1539" t="str">
            <v xml:space="preserve">BOMBAS FLANGES LON06 </v>
          </cell>
        </row>
        <row r="1540">
          <cell r="A1540" t="str">
            <v>BOMFLANGESLON08</v>
          </cell>
          <cell r="B1540" t="str">
            <v xml:space="preserve">BOMBAS FLANGES LON08 </v>
          </cell>
        </row>
        <row r="1541">
          <cell r="A1541" t="str">
            <v>BOMFLFLOW-8-2000G</v>
          </cell>
          <cell r="B1541" t="str">
            <v xml:space="preserve">FLOWMETER FLANGE 8-2000-G </v>
          </cell>
        </row>
        <row r="1542">
          <cell r="A1542" t="str">
            <v>BOMFLOTADOR24-0</v>
          </cell>
          <cell r="B1542" t="str">
            <v xml:space="preserve">BOMBAS FLOTADOR 24 </v>
          </cell>
        </row>
        <row r="1543">
          <cell r="A1543" t="str">
            <v>BOMFLOTADOR32-0</v>
          </cell>
          <cell r="B1543" t="str">
            <v xml:space="preserve">BOMBAS FLOTADOR 32 </v>
          </cell>
        </row>
        <row r="1544">
          <cell r="A1544" t="str">
            <v>BOMFLOTADOR36-0</v>
          </cell>
          <cell r="B1544" t="str">
            <v xml:space="preserve">BOMBAS FLOTADOR 36 </v>
          </cell>
        </row>
        <row r="1545">
          <cell r="A1545" t="str">
            <v>BOMGRFLO101500G</v>
          </cell>
          <cell r="B1545" t="str">
            <v xml:space="preserve">FLOWMETER RANURADO 10-1500-G </v>
          </cell>
        </row>
        <row r="1546">
          <cell r="A1546" t="str">
            <v>BOMGRFLO102000G</v>
          </cell>
          <cell r="B1546" t="str">
            <v xml:space="preserve">FLOWMETER RANURADO 10-2000-G </v>
          </cell>
        </row>
        <row r="1547">
          <cell r="A1547" t="str">
            <v>BOMGRFLO102500G</v>
          </cell>
          <cell r="B1547" t="str">
            <v xml:space="preserve">FLOWMETER RANURADO 10-2500-G </v>
          </cell>
        </row>
        <row r="1548">
          <cell r="A1548" t="str">
            <v>BOMGRFLO103000G</v>
          </cell>
          <cell r="B1548" t="str">
            <v xml:space="preserve">FLOWMETER RANURADO 10-3000-G </v>
          </cell>
        </row>
        <row r="1549">
          <cell r="A1549" t="str">
            <v>BOMGRFLO103500G</v>
          </cell>
          <cell r="B1549" t="str">
            <v xml:space="preserve">FLOWMETER RANURADO 10-3500-G </v>
          </cell>
        </row>
        <row r="1550">
          <cell r="A1550" t="str">
            <v>BOMGRFLO104000G</v>
          </cell>
          <cell r="B1550" t="str">
            <v>FLOWMETER RANURADO 10-4000 G.</v>
          </cell>
        </row>
        <row r="1551">
          <cell r="A1551" t="str">
            <v>BOMGRFLO2M-100G</v>
          </cell>
          <cell r="B1551" t="str">
            <v>FLOWMETER RANURADO 2M 100G</v>
          </cell>
        </row>
        <row r="1552">
          <cell r="A1552" t="str">
            <v>BOMGRFLO6250G</v>
          </cell>
          <cell r="B1552" t="str">
            <v xml:space="preserve">FLOWMETER RANURADO 6-250-G </v>
          </cell>
        </row>
        <row r="1553">
          <cell r="A1553" t="str">
            <v>BOMGRFLOW6-500-SS-AD</v>
          </cell>
          <cell r="B1553" t="str">
            <v>FLOWMETER RANURADO 6-500-G-SS316 ADM.</v>
          </cell>
        </row>
        <row r="1554">
          <cell r="A1554" t="str">
            <v>BOMGRVCAUDALI08</v>
          </cell>
          <cell r="B1554" t="str">
            <v xml:space="preserve">BOMBA CAUDAL I08 </v>
          </cell>
        </row>
        <row r="1555">
          <cell r="A1555" t="str">
            <v>BOM-GRVFLO4250G</v>
          </cell>
          <cell r="B1555" t="str">
            <v xml:space="preserve">FLOWMETER RANURADO 4-250-G </v>
          </cell>
        </row>
        <row r="1556">
          <cell r="A1556" t="str">
            <v>BOM-GRVFLO4300G</v>
          </cell>
          <cell r="B1556" t="str">
            <v xml:space="preserve">FLOWMETER RANURADO 4-300-G </v>
          </cell>
        </row>
        <row r="1557">
          <cell r="A1557" t="str">
            <v>BOM-GRVFLO4400G</v>
          </cell>
          <cell r="B1557" t="str">
            <v>FLOWMETER RANURADO 4-400-G GLOBAL VISION</v>
          </cell>
        </row>
        <row r="1558">
          <cell r="A1558" t="str">
            <v>BOMGRVFLO4450G</v>
          </cell>
          <cell r="B1558" t="str">
            <v>FLOWMETER RANURADO 4-450-G GLOBAL VISION</v>
          </cell>
        </row>
        <row r="1559">
          <cell r="A1559" t="str">
            <v>BOMGRVFLO61000G</v>
          </cell>
          <cell r="B1559" t="str">
            <v xml:space="preserve">FLOWMETER RANURADO 6-1000-G </v>
          </cell>
        </row>
        <row r="1560">
          <cell r="A1560" t="str">
            <v>BOMGRVFLO61000G316SS</v>
          </cell>
          <cell r="B1560" t="str">
            <v>FLOWMETER RANURADO 6-1000-G  316SS</v>
          </cell>
        </row>
        <row r="1561">
          <cell r="A1561" t="str">
            <v>BOMGRVFLO61250G</v>
          </cell>
          <cell r="B1561" t="str">
            <v xml:space="preserve">FLOWMETER RANURADO 6-1250-G </v>
          </cell>
        </row>
        <row r="1562">
          <cell r="A1562" t="str">
            <v>BOMGRVFLO81500G</v>
          </cell>
          <cell r="B1562" t="str">
            <v xml:space="preserve">FLOWMETER RANURADO 8-1500-G </v>
          </cell>
        </row>
        <row r="1563">
          <cell r="A1563" t="str">
            <v>BOMGRVFLO82000G</v>
          </cell>
          <cell r="B1563" t="str">
            <v xml:space="preserve">FLOWMETER RANURADO 8-2000-G </v>
          </cell>
        </row>
        <row r="1564">
          <cell r="A1564" t="str">
            <v>BOMGRVFLO82500G</v>
          </cell>
          <cell r="B1564" t="str">
            <v xml:space="preserve">FLOWMETER RANURADO 8-2500-G </v>
          </cell>
        </row>
        <row r="1565">
          <cell r="A1565" t="str">
            <v>BOMGRVFLO83000G</v>
          </cell>
          <cell r="B1565" t="str">
            <v xml:space="preserve">FLOWMETER RANURADO 8-3000-G </v>
          </cell>
        </row>
        <row r="1566">
          <cell r="A1566" t="str">
            <v>BOMGRVFLOW6500G</v>
          </cell>
          <cell r="B1566" t="str">
            <v xml:space="preserve">FLOWMETER RANURADO 6-500-G </v>
          </cell>
        </row>
        <row r="1567">
          <cell r="A1567" t="str">
            <v>BOMGRVFLOW650GSPP</v>
          </cell>
          <cell r="B1567" t="str">
            <v>FLOWMETER RANURADO 6-500-G SPP</v>
          </cell>
        </row>
        <row r="1568">
          <cell r="A1568" t="str">
            <v>BOMGRVFLOW6750G</v>
          </cell>
          <cell r="B1568" t="str">
            <v xml:space="preserve">FLOWMETER RANURADO 6-750-G </v>
          </cell>
        </row>
        <row r="1569">
          <cell r="A1569" t="str">
            <v>BOMGRVFLOWMET06</v>
          </cell>
          <cell r="B1569" t="str">
            <v xml:space="preserve">FLOWMETER RANURADO 6-950-G </v>
          </cell>
        </row>
        <row r="1570">
          <cell r="A1570" t="str">
            <v>BOM-HC12325</v>
          </cell>
          <cell r="B1570" t="str">
            <v>SELECTOR</v>
          </cell>
        </row>
        <row r="1571">
          <cell r="A1571" t="str">
            <v>BOM-HC12441</v>
          </cell>
          <cell r="B1571" t="str">
            <v>LLAVES CONTROLADOR</v>
          </cell>
        </row>
        <row r="1572">
          <cell r="A1572" t="str">
            <v>BOM-HC12811</v>
          </cell>
          <cell r="B1572" t="str">
            <v>KIT TO CABINET</v>
          </cell>
        </row>
        <row r="1573">
          <cell r="A1573" t="str">
            <v>BOM-HC12836-000</v>
          </cell>
          <cell r="B1573" t="str">
            <v>PRESS TRANS, 300 PSIG, GEMS, 3300 SERIES</v>
          </cell>
        </row>
        <row r="1574">
          <cell r="A1574" t="str">
            <v>BOM-HC12838</v>
          </cell>
          <cell r="B1574" t="str">
            <v>TRADUCER CABLE</v>
          </cell>
        </row>
        <row r="1575">
          <cell r="A1575" t="str">
            <v>BOM-HC12839-000</v>
          </cell>
          <cell r="B1575" t="str">
            <v>PRESS TRANS, 300 PSIG, GEMS, 3300 SERIES</v>
          </cell>
        </row>
        <row r="1576">
          <cell r="A1576" t="str">
            <v>BOM-HC12840SS</v>
          </cell>
          <cell r="B1576" t="str">
            <v>PRESS TRANS, 300 PSIG, GEMS, 3300 SERIES</v>
          </cell>
        </row>
        <row r="1577">
          <cell r="A1577" t="str">
            <v>BOM-HC15079</v>
          </cell>
          <cell r="B1577" t="str">
            <v>HJL36150M74 YE CB 150A, 3P H-FRAME MCP</v>
          </cell>
        </row>
        <row r="1578">
          <cell r="A1578" t="str">
            <v>BOM-HC1566-000</v>
          </cell>
          <cell r="B1578" t="str">
            <v>276-1, HEARTREX HEATER STRIP 100W-125VAC</v>
          </cell>
        </row>
        <row r="1579">
          <cell r="A1579" t="str">
            <v>BOM-HC34453ASS-0</v>
          </cell>
          <cell r="B1579" t="str">
            <v>MB FOR FD4</v>
          </cell>
        </row>
        <row r="1580">
          <cell r="A1580" t="str">
            <v>BOM-HC42703851-000</v>
          </cell>
          <cell r="B1580" t="str">
            <v>CCL BATTERY CHGR-SENTINEL SNTL300P-HFP</v>
          </cell>
        </row>
        <row r="1581">
          <cell r="A1581" t="str">
            <v>BOM-HC4923-000</v>
          </cell>
          <cell r="B1581" t="str">
            <v>HONEYWELL THERMOSTAT T498A1810</v>
          </cell>
        </row>
        <row r="1582">
          <cell r="A1582" t="str">
            <v>BOM-HC57529028-0</v>
          </cell>
          <cell r="B1582" t="str">
            <v>TRANSDUCER FOR MP15 JOCKEY</v>
          </cell>
        </row>
        <row r="1583">
          <cell r="A1583" t="str">
            <v>BOM-HC57529029-0</v>
          </cell>
          <cell r="B1583" t="str">
            <v>MANIFOLD</v>
          </cell>
        </row>
        <row r="1584">
          <cell r="A1584" t="str">
            <v>BOM-HC7351</v>
          </cell>
          <cell r="B1584" t="str">
            <v>24 VOLT SOLENOID HC 7351</v>
          </cell>
        </row>
        <row r="1585">
          <cell r="A1585" t="str">
            <v>BOM-HC7435</v>
          </cell>
          <cell r="B1585" t="str">
            <v>CIRCUIT BREAKER HMCP400X5WS42Y15 CH</v>
          </cell>
        </row>
        <row r="1586">
          <cell r="A1586" t="str">
            <v>BOM-HC90065165</v>
          </cell>
          <cell r="B1586" t="str">
            <v xml:space="preserve">SENS NIV. P/EST DIESEL 115 GAL </v>
          </cell>
        </row>
        <row r="1587">
          <cell r="A1587" t="str">
            <v>BOM-HCAM108361</v>
          </cell>
          <cell r="B1587" t="str">
            <v>MAIN CABINET LEVER BREAKER OPERATING HANDLE</v>
          </cell>
        </row>
        <row r="1588">
          <cell r="A1588" t="str">
            <v>BOM-HCCA34209ASS</v>
          </cell>
          <cell r="B1588" t="str">
            <v>Motherboard Metron 430 P/N HCCA34209ASS</v>
          </cell>
        </row>
        <row r="1589">
          <cell r="A1589" t="str">
            <v>BOM-HCCA34295A</v>
          </cell>
          <cell r="B1589" t="str">
            <v>DISPLAY</v>
          </cell>
        </row>
        <row r="1590">
          <cell r="A1590" t="str">
            <v>BOM-HCCA34453ASS</v>
          </cell>
          <cell r="B1590" t="str">
            <v>RBOARD PCBA (CPU), FD4-MB301</v>
          </cell>
        </row>
        <row r="1591">
          <cell r="A1591" t="str">
            <v>BOM-HCCA34454A</v>
          </cell>
          <cell r="B1591" t="str">
            <v>PCB,DAUGHTERBOARD (REPLAY), FD4-DB301</v>
          </cell>
        </row>
        <row r="1592">
          <cell r="A1592" t="str">
            <v>BOM-HCMD0001SS-0</v>
          </cell>
          <cell r="B1592" t="str">
            <v>CHARGERS</v>
          </cell>
        </row>
        <row r="1593">
          <cell r="A1593" t="str">
            <v>BOM-IMPELLER-TE10D</v>
          </cell>
          <cell r="B1593" t="str">
            <v xml:space="preserve">TE10D IMPELLER TRIM TO 14.47 </v>
          </cell>
        </row>
        <row r="1594">
          <cell r="A1594" t="str">
            <v>BOMIMPULSOR-TC12G</v>
          </cell>
          <cell r="B1594" t="str">
            <v>IMPULSOR PARA KIT TC12G</v>
          </cell>
        </row>
        <row r="1595">
          <cell r="A1595" t="str">
            <v>BOMIMPULSOR-TE20D</v>
          </cell>
          <cell r="B1595" t="str">
            <v>IMPULSOR PARA KIT TE20-D</v>
          </cell>
        </row>
        <row r="1596">
          <cell r="A1596" t="str">
            <v>BOM-JOCK-10S10-15</v>
          </cell>
          <cell r="B1596" t="str">
            <v>BOMBA JOCKEY GRUNDFO MOD. 10S10-15 SUBMERSIBLE JOCKEY PUMP W</v>
          </cell>
        </row>
        <row r="1597">
          <cell r="A1597" t="str">
            <v>BOM-JOCK-CR1-02</v>
          </cell>
          <cell r="B1597" t="str">
            <v xml:space="preserve">BOMBA JOCKEY CR1-2 </v>
          </cell>
        </row>
        <row r="1598">
          <cell r="A1598" t="str">
            <v>BOM-JOCKCR10-20</v>
          </cell>
          <cell r="B1598" t="str">
            <v xml:space="preserve">BOMBA JOCKEY CR10-20 </v>
          </cell>
        </row>
        <row r="1599">
          <cell r="A1599" t="str">
            <v>BOM-JOCKCR10-22</v>
          </cell>
          <cell r="B1599" t="str">
            <v xml:space="preserve">BOMBA JOCKEY CR10-22 </v>
          </cell>
        </row>
        <row r="1600">
          <cell r="A1600" t="str">
            <v>BOM-JOCK-CR1-03</v>
          </cell>
          <cell r="B1600" t="str">
            <v xml:space="preserve">BOMBA JOCKEY CR1-3 </v>
          </cell>
        </row>
        <row r="1601">
          <cell r="A1601" t="str">
            <v>BOM-JOCK-CR1-04</v>
          </cell>
          <cell r="B1601" t="str">
            <v xml:space="preserve">BOMBA JOCKEY CR1-4 </v>
          </cell>
        </row>
        <row r="1602">
          <cell r="A1602" t="str">
            <v>BOM-JOCK-CR1-05</v>
          </cell>
          <cell r="B1602" t="str">
            <v xml:space="preserve">BOMBA JOCKEY CR1-5 </v>
          </cell>
        </row>
        <row r="1603">
          <cell r="A1603" t="str">
            <v>BOM-JOCK-CR1-06</v>
          </cell>
          <cell r="B1603" t="str">
            <v xml:space="preserve">BOMBA JOCKEY CR1-6 </v>
          </cell>
        </row>
        <row r="1604">
          <cell r="A1604" t="str">
            <v>BOM-JOCK-CR1-08</v>
          </cell>
          <cell r="B1604" t="str">
            <v xml:space="preserve">BOMBA JOCKEY CR1-8 </v>
          </cell>
        </row>
        <row r="1605">
          <cell r="A1605" t="str">
            <v>BOM-JOCKCR10-9</v>
          </cell>
          <cell r="B1605" t="str">
            <v>BOMBA JOCKEY CR10-9</v>
          </cell>
        </row>
        <row r="1606">
          <cell r="A1606" t="str">
            <v>BOM-JOCK-CR1-10</v>
          </cell>
          <cell r="B1606" t="str">
            <v xml:space="preserve">BOMBA JOCKEY CR1-10 </v>
          </cell>
        </row>
        <row r="1607">
          <cell r="A1607" t="str">
            <v>BOM-JOCK-CR1-12</v>
          </cell>
          <cell r="B1607" t="str">
            <v xml:space="preserve">BOMBA JOCKEY CR1-12 </v>
          </cell>
        </row>
        <row r="1608">
          <cell r="A1608" t="str">
            <v>BOM-JOCK-CR1-13</v>
          </cell>
          <cell r="B1608" t="str">
            <v xml:space="preserve">BOMBA JOCKEY CR1-13 </v>
          </cell>
        </row>
        <row r="1609">
          <cell r="A1609" t="str">
            <v>BOM-JOCK-CR1-15</v>
          </cell>
          <cell r="B1609" t="str">
            <v xml:space="preserve">BOMBA JOCKEY CR1-15 </v>
          </cell>
        </row>
        <row r="1610">
          <cell r="A1610" t="str">
            <v>BOM-JOCK-CR1-17</v>
          </cell>
          <cell r="B1610" t="str">
            <v xml:space="preserve">BOMBA JOCKEY CR1-17 </v>
          </cell>
        </row>
        <row r="1611">
          <cell r="A1611" t="str">
            <v>BOM-JOCK-CR1-19</v>
          </cell>
          <cell r="B1611" t="str">
            <v xml:space="preserve">BOMBA JOCKEY CR1-19 </v>
          </cell>
        </row>
        <row r="1612">
          <cell r="A1612" t="str">
            <v>BOM-JOCK-CR1-21</v>
          </cell>
          <cell r="B1612" t="str">
            <v xml:space="preserve">BOMBA JOCKEY CR1-21 </v>
          </cell>
        </row>
        <row r="1613">
          <cell r="A1613" t="str">
            <v>BOM-JOCK-CR1-23</v>
          </cell>
          <cell r="B1613" t="str">
            <v xml:space="preserve">BOMBA JOCKEY CR1-23 </v>
          </cell>
        </row>
        <row r="1614">
          <cell r="A1614" t="str">
            <v>BOM-JOCK-CR1-25</v>
          </cell>
          <cell r="B1614" t="str">
            <v xml:space="preserve">BOMBA JOCKEY CR1-25 </v>
          </cell>
        </row>
        <row r="1615">
          <cell r="A1615" t="str">
            <v>BOM-JOCK-CR1-27</v>
          </cell>
          <cell r="B1615" t="str">
            <v xml:space="preserve">BOMBA JOCKEY CR1-27 </v>
          </cell>
        </row>
        <row r="1616">
          <cell r="A1616" t="str">
            <v>BOM-JOCK-CR1-30</v>
          </cell>
          <cell r="B1616" t="str">
            <v xml:space="preserve">BOMBA JOCKEY CR1-30 </v>
          </cell>
        </row>
        <row r="1617">
          <cell r="A1617" t="str">
            <v>BOM-JOCK-CR1-33</v>
          </cell>
          <cell r="B1617" t="str">
            <v xml:space="preserve">BOMBA JOCKEY CR1-33 </v>
          </cell>
        </row>
        <row r="1618">
          <cell r="A1618" t="str">
            <v>BOM-JOCK-CR1-36</v>
          </cell>
          <cell r="B1618" t="str">
            <v xml:space="preserve">BOMBA JOCKEY CR1-36 </v>
          </cell>
        </row>
        <row r="1619">
          <cell r="A1619" t="str">
            <v>BOM-JOCK-CR3-03</v>
          </cell>
          <cell r="B1619" t="str">
            <v xml:space="preserve">BOMBA JOCKEY CR3-3 </v>
          </cell>
        </row>
        <row r="1620">
          <cell r="A1620" t="str">
            <v>BOM-JOCK-CR3-04</v>
          </cell>
          <cell r="B1620" t="str">
            <v xml:space="preserve">BOMBA JOCKEY CR3-4 </v>
          </cell>
        </row>
        <row r="1621">
          <cell r="A1621" t="str">
            <v>BOM-JOCK-CR3-05</v>
          </cell>
          <cell r="B1621" t="str">
            <v xml:space="preserve">BOMBA JOCKEY CR3-5 </v>
          </cell>
        </row>
        <row r="1622">
          <cell r="A1622" t="str">
            <v>BOM-JOCK-CR3-06</v>
          </cell>
          <cell r="B1622" t="str">
            <v xml:space="preserve">BOMBA JOCKEY CR3-6 </v>
          </cell>
        </row>
        <row r="1623">
          <cell r="A1623" t="str">
            <v>BOM-JOCK-CR3-07</v>
          </cell>
          <cell r="B1623" t="str">
            <v xml:space="preserve">BOMBA JOCKEY CR3-7 </v>
          </cell>
        </row>
        <row r="1624">
          <cell r="A1624" t="str">
            <v>BOM-JOCK-CR3-08</v>
          </cell>
          <cell r="B1624" t="str">
            <v xml:space="preserve">BOMBA JOCKEY CR3-8 </v>
          </cell>
        </row>
        <row r="1625">
          <cell r="A1625" t="str">
            <v>BOM-JOCKCR-3-09</v>
          </cell>
          <cell r="B1625" t="str">
            <v xml:space="preserve">BOMBA JOCKEY CR3-9 </v>
          </cell>
        </row>
        <row r="1626">
          <cell r="A1626" t="str">
            <v>BOM-JOCK-CR3-11</v>
          </cell>
          <cell r="B1626" t="str">
            <v xml:space="preserve">BOMBA JOCKEY CR3-11 </v>
          </cell>
        </row>
        <row r="1627">
          <cell r="A1627" t="str">
            <v>BOM-JOCK-CR3-13</v>
          </cell>
          <cell r="B1627" t="str">
            <v xml:space="preserve">BOMBA JOCKEY CR3-13 </v>
          </cell>
        </row>
        <row r="1628">
          <cell r="A1628" t="str">
            <v>BOM-JOCK-CR3-15</v>
          </cell>
          <cell r="B1628" t="str">
            <v xml:space="preserve">BOMBA JOCKEY CR3-15 </v>
          </cell>
        </row>
        <row r="1629">
          <cell r="A1629" t="str">
            <v>BOM-JOCK-CR3-17</v>
          </cell>
          <cell r="B1629" t="str">
            <v xml:space="preserve">BOMBA JOCKEY CR3-17 </v>
          </cell>
        </row>
        <row r="1630">
          <cell r="A1630" t="str">
            <v>BOM-JOCK-CR3-19</v>
          </cell>
          <cell r="B1630" t="str">
            <v xml:space="preserve">BOMBA JOCKEY CR3-19 </v>
          </cell>
        </row>
        <row r="1631">
          <cell r="A1631" t="str">
            <v>BOM-JOCK-CR3-21</v>
          </cell>
          <cell r="B1631" t="str">
            <v xml:space="preserve">BOMBA JOCKEY CR3-21 </v>
          </cell>
        </row>
        <row r="1632">
          <cell r="A1632" t="str">
            <v>BOM-JOCK-CR3-23</v>
          </cell>
          <cell r="B1632" t="str">
            <v xml:space="preserve">BOMBA JOCKEY CR3-23 </v>
          </cell>
        </row>
        <row r="1633">
          <cell r="A1633" t="str">
            <v>BOM-JOCK-CR3-23-460V</v>
          </cell>
          <cell r="B1633" t="str">
            <v>BOMBA JOCKEY CR3-23 A-FGJ-A-E-HQQE 3/460V/ 50HZ</v>
          </cell>
        </row>
        <row r="1634">
          <cell r="A1634" t="str">
            <v>BOM-JOCK-CR3-25</v>
          </cell>
          <cell r="B1634" t="str">
            <v>BOMBA JOCKEY CR3-25 GRUNDFOS</v>
          </cell>
        </row>
        <row r="1635">
          <cell r="A1635" t="str">
            <v>BOM-JOCK-CR3-27</v>
          </cell>
          <cell r="B1635" t="str">
            <v xml:space="preserve">BOMBA JOCKEY CR3-27 </v>
          </cell>
        </row>
        <row r="1636">
          <cell r="A1636" t="str">
            <v>BOM-JOCK-CR32-7</v>
          </cell>
          <cell r="B1636" t="str">
            <v>BOMBA JOCKEY CR32-7</v>
          </cell>
        </row>
        <row r="1637">
          <cell r="A1637" t="str">
            <v>BOM-JOCK-CR3-29</v>
          </cell>
          <cell r="B1637" t="str">
            <v xml:space="preserve">BOMBA JOCKEY CR3-29 </v>
          </cell>
        </row>
        <row r="1638">
          <cell r="A1638" t="str">
            <v>BOM-JOCK-CR3-29-VMS</v>
          </cell>
          <cell r="B1638" t="str">
            <v>BOMBA JOCKEY CR3-29  VMS</v>
          </cell>
        </row>
        <row r="1639">
          <cell r="A1639" t="str">
            <v>BOM-JOCK-CR3-31</v>
          </cell>
          <cell r="B1639" t="str">
            <v xml:space="preserve">BOMBA JOCKEY CR3-31 </v>
          </cell>
        </row>
        <row r="1640">
          <cell r="A1640" t="str">
            <v>BOM-JOCK-CR3-33</v>
          </cell>
          <cell r="B1640" t="str">
            <v xml:space="preserve">BOMBA JOCKEY CR3-33 </v>
          </cell>
        </row>
        <row r="1641">
          <cell r="A1641" t="str">
            <v>BOM-JOCK-CR3-36</v>
          </cell>
          <cell r="B1641" t="str">
            <v xml:space="preserve">BOMBA JOCKEY CR3-36 </v>
          </cell>
        </row>
        <row r="1642">
          <cell r="A1642" t="str">
            <v>BOM-JOCK-CR5-03</v>
          </cell>
          <cell r="B1642" t="str">
            <v xml:space="preserve">BOMBA JOCKEY CR5-3 </v>
          </cell>
        </row>
        <row r="1643">
          <cell r="A1643" t="str">
            <v>BOM-JOCK-CR5-04</v>
          </cell>
          <cell r="B1643" t="str">
            <v xml:space="preserve">BOMBA JOCKEY CR5-4 </v>
          </cell>
        </row>
        <row r="1644">
          <cell r="A1644" t="str">
            <v>BOM-JOCK-CR5-05</v>
          </cell>
          <cell r="B1644" t="str">
            <v xml:space="preserve">BOMBA JOCKEY CR5-5 </v>
          </cell>
        </row>
        <row r="1645">
          <cell r="A1645" t="str">
            <v>BOM-JOCK-CR5-06</v>
          </cell>
          <cell r="B1645" t="str">
            <v xml:space="preserve">BOMBA JOCKEY CR5-6 </v>
          </cell>
        </row>
        <row r="1646">
          <cell r="A1646" t="str">
            <v>BOM-JOCK-CR5-07</v>
          </cell>
          <cell r="B1646" t="str">
            <v xml:space="preserve">BOMBA JOCKEY CR5-7 </v>
          </cell>
        </row>
        <row r="1647">
          <cell r="A1647" t="str">
            <v>BOM-JOCK-CR5-08</v>
          </cell>
          <cell r="B1647" t="str">
            <v xml:space="preserve">BOMBA JOCKEY CR5-8 </v>
          </cell>
        </row>
        <row r="1648">
          <cell r="A1648" t="str">
            <v>BOM-JOCK-CR5-09</v>
          </cell>
          <cell r="B1648" t="str">
            <v xml:space="preserve">BOMBA JOCKEY CR5-9 </v>
          </cell>
        </row>
        <row r="1649">
          <cell r="A1649" t="str">
            <v>BOM-JOCK-CR5-10</v>
          </cell>
          <cell r="B1649" t="str">
            <v xml:space="preserve">BOMBA JOCKEY CR5-10 </v>
          </cell>
        </row>
        <row r="1650">
          <cell r="A1650" t="str">
            <v>BOM-JOCK-CR5-11</v>
          </cell>
          <cell r="B1650" t="str">
            <v xml:space="preserve">BOMBA JOCKEY CR5-11 </v>
          </cell>
        </row>
        <row r="1651">
          <cell r="A1651" t="str">
            <v>BOM-JOCK-CR5-12</v>
          </cell>
          <cell r="B1651" t="str">
            <v xml:space="preserve">BOMBA JOCKEY CR5-12 </v>
          </cell>
        </row>
        <row r="1652">
          <cell r="A1652" t="str">
            <v>BOM-JOCK-CR5-14</v>
          </cell>
          <cell r="B1652" t="str">
            <v xml:space="preserve">BOMBA JOCKEY CR5-14 </v>
          </cell>
        </row>
        <row r="1653">
          <cell r="A1653" t="str">
            <v>BOM-JOCK-CR5-16</v>
          </cell>
          <cell r="B1653" t="str">
            <v xml:space="preserve">BOMBA JOCKEY CR5-16 </v>
          </cell>
        </row>
        <row r="1654">
          <cell r="A1654" t="str">
            <v>BOM-JOCK-CR5-18</v>
          </cell>
          <cell r="B1654" t="str">
            <v xml:space="preserve">BOMBA JOCKEY CR5-18 </v>
          </cell>
        </row>
        <row r="1655">
          <cell r="A1655" t="str">
            <v>BOM-JOCK-CR5-20</v>
          </cell>
          <cell r="B1655" t="str">
            <v xml:space="preserve">BOMBA JOCKEY CR5-20 </v>
          </cell>
        </row>
        <row r="1656">
          <cell r="A1656" t="str">
            <v>BOM-JOCK-CR5-22</v>
          </cell>
          <cell r="B1656" t="str">
            <v xml:space="preserve">BOMBA JOCKEY CR5-22 </v>
          </cell>
        </row>
        <row r="1657">
          <cell r="A1657" t="str">
            <v>BOM-JOCK-CR5-24</v>
          </cell>
          <cell r="B1657" t="str">
            <v xml:space="preserve">BOMBA JOCKEY CR5-24 </v>
          </cell>
        </row>
        <row r="1658">
          <cell r="A1658" t="str">
            <v>BOM-JOCK-CR5-26</v>
          </cell>
          <cell r="B1658" t="str">
            <v xml:space="preserve">BOMBA JOCKEY CR5-26 </v>
          </cell>
        </row>
        <row r="1659">
          <cell r="A1659" t="str">
            <v>BOM-JOCK-CR5-29</v>
          </cell>
          <cell r="B1659" t="str">
            <v xml:space="preserve">BOMBA JOCKEY CR5-29 </v>
          </cell>
        </row>
        <row r="1660">
          <cell r="A1660" t="str">
            <v>BOM-JOCKC-R5-32</v>
          </cell>
          <cell r="B1660" t="str">
            <v xml:space="preserve">BOMBA JOCKEY CR5-32 </v>
          </cell>
        </row>
        <row r="1661">
          <cell r="A1661" t="str">
            <v>BOM-JOCK-CR5-36</v>
          </cell>
          <cell r="B1661" t="str">
            <v xml:space="preserve">BOMBA JOCKEY CR5-36 </v>
          </cell>
        </row>
        <row r="1662">
          <cell r="A1662" t="str">
            <v>BOM-JOCK-CRI-1-15</v>
          </cell>
          <cell r="B1662" t="str">
            <v>BOMBA JOCKEY CRI-1-15</v>
          </cell>
        </row>
        <row r="1663">
          <cell r="A1663" t="str">
            <v>BOM-JOCK-CRI-1-19</v>
          </cell>
          <cell r="B1663" t="str">
            <v>BOMBA JOCKEY CRI-1-19</v>
          </cell>
        </row>
        <row r="1664">
          <cell r="A1664" t="str">
            <v>BOM-JOCK-CRI-1-20</v>
          </cell>
          <cell r="B1664" t="str">
            <v>BOMBA JOCKEY CRI-1-20</v>
          </cell>
        </row>
        <row r="1665">
          <cell r="A1665" t="str">
            <v>BOM-JOCK-CRI-1-25</v>
          </cell>
          <cell r="B1665" t="str">
            <v>BOMBA JOCKEY CRI-1-25</v>
          </cell>
        </row>
        <row r="1666">
          <cell r="A1666" t="str">
            <v>BOM-JOCK-CRI-1-27</v>
          </cell>
          <cell r="B1666" t="str">
            <v>BOMBA JOCKEY CRI-1-27</v>
          </cell>
        </row>
        <row r="1667">
          <cell r="A1667" t="str">
            <v>BOM-JOCK-CRI-3-15</v>
          </cell>
          <cell r="B1667" t="str">
            <v>BOMBA JOCKEY CRI-3-15</v>
          </cell>
        </row>
        <row r="1668">
          <cell r="A1668" t="str">
            <v>BOM-JOCK-CRI-3-17</v>
          </cell>
          <cell r="B1668" t="str">
            <v>BOMBA JOCKEY CRI-3-17</v>
          </cell>
        </row>
        <row r="1669">
          <cell r="A1669" t="str">
            <v>BOM-JOCK-CRI-3-19</v>
          </cell>
          <cell r="B1669" t="str">
            <v>BOMBA JOCKEY CRI-3-19</v>
          </cell>
        </row>
        <row r="1670">
          <cell r="A1670" t="str">
            <v>BOM-JOCK-CRI-3-23</v>
          </cell>
          <cell r="B1670" t="str">
            <v xml:space="preserve">BOMBA JOCKEY CRI-3-23  </v>
          </cell>
        </row>
        <row r="1671">
          <cell r="A1671" t="str">
            <v>BOM-JOCK-CRI-3-27</v>
          </cell>
          <cell r="B1671" t="str">
            <v>BOMBA JOCKEY CRI-3-27</v>
          </cell>
        </row>
        <row r="1672">
          <cell r="A1672" t="str">
            <v>BOM-JOCK-CRI-3-36</v>
          </cell>
          <cell r="B1672" t="str">
            <v>BOMBA JOCKEY CRI-3-36</v>
          </cell>
        </row>
        <row r="1673">
          <cell r="A1673" t="str">
            <v>BOM-JOCK-CRI-5-14</v>
          </cell>
          <cell r="B1673" t="str">
            <v>BOMBA JOCKEY CRI-5-14</v>
          </cell>
        </row>
        <row r="1674">
          <cell r="A1674" t="str">
            <v>BOM-JOCK-CRI-5-20</v>
          </cell>
          <cell r="B1674" t="str">
            <v>BOMBA JOCKEY CRI-5-20</v>
          </cell>
        </row>
        <row r="1675">
          <cell r="A1675" t="str">
            <v>BOM-JOCK-CRI-5-22</v>
          </cell>
          <cell r="B1675" t="str">
            <v>BOMBA JOCKEY CRI-5-22</v>
          </cell>
        </row>
        <row r="1676">
          <cell r="A1676" t="str">
            <v>BOM-JOCK-CRI-5-24</v>
          </cell>
          <cell r="B1676" t="str">
            <v>BOMBA JOCKEY CRI-5-24</v>
          </cell>
        </row>
        <row r="1677">
          <cell r="A1677" t="str">
            <v>BOM-JOCK-CRI-5-26</v>
          </cell>
          <cell r="B1677" t="str">
            <v>BOMBA JOCKEY CRI-5-26</v>
          </cell>
        </row>
        <row r="1678">
          <cell r="A1678" t="str">
            <v>BOM-JOCKEY-0000</v>
          </cell>
          <cell r="B1678" t="str">
            <v xml:space="preserve">BOMBA JOCKEY ST </v>
          </cell>
        </row>
        <row r="1679">
          <cell r="A1679" t="str">
            <v>BOM-JOCKEYRELAY-80S</v>
          </cell>
          <cell r="B1679" t="str">
            <v>RELAY TIME DELAY 80 SEC</v>
          </cell>
        </row>
        <row r="1680">
          <cell r="A1680" t="str">
            <v>BOM-JOCKFUSIBLE</v>
          </cell>
          <cell r="B1680" t="str">
            <v xml:space="preserve">FUSIBLE CONTROLADOR B.JOCKEY </v>
          </cell>
        </row>
        <row r="1681">
          <cell r="A1681" t="str">
            <v>BOM-JOCK-ITFL-0</v>
          </cell>
          <cell r="B1681" t="str">
            <v xml:space="preserve">KIT FLANGE BJ 2 </v>
          </cell>
        </row>
        <row r="1682">
          <cell r="A1682" t="str">
            <v>BOMJOCKPRESCONT</v>
          </cell>
          <cell r="B1682" t="str">
            <v xml:space="preserve">PRESOSTATO CONTROLADOR BJOCKEY </v>
          </cell>
        </row>
        <row r="1683">
          <cell r="A1683" t="str">
            <v>BOM-JOCK-SBI 1-03</v>
          </cell>
          <cell r="B1683" t="str">
            <v>BOMBA JOCKEY SBI 1-30 2 HP 380V</v>
          </cell>
        </row>
        <row r="1684">
          <cell r="A1684" t="str">
            <v>BOM-JOCK-SBI 1-23</v>
          </cell>
          <cell r="B1684" t="str">
            <v>BOMBA JOCKEY SBI 1-23 1.5 HP 380V</v>
          </cell>
        </row>
        <row r="1685">
          <cell r="A1685" t="str">
            <v>BOM-JOCK-SBI-10-16</v>
          </cell>
          <cell r="B1685" t="str">
            <v>BOMBA JOCKEY SBI 10-16 7.5 HP 380V</v>
          </cell>
        </row>
        <row r="1686">
          <cell r="A1686" t="str">
            <v>BOM-JOCK-SBI-10-18</v>
          </cell>
          <cell r="B1686" t="str">
            <v>BOMBA JOCKEY SBI-10-18 10 HP 380V</v>
          </cell>
        </row>
        <row r="1687">
          <cell r="A1687" t="str">
            <v>BOM-JOCK-SBI-10-7</v>
          </cell>
          <cell r="B1687" t="str">
            <v>BOMBA JOCKEY SBI-10-7 4 HP 380V</v>
          </cell>
        </row>
        <row r="1688">
          <cell r="A1688" t="str">
            <v>BOM-JOCK-SBI-1-19</v>
          </cell>
          <cell r="B1688" t="str">
            <v>BOMBA JOCKEY SBI 1-19  1.5 HP 380V</v>
          </cell>
        </row>
        <row r="1689">
          <cell r="A1689" t="str">
            <v>BOM-JOCK-SBI-15-8-10</v>
          </cell>
          <cell r="B1689" t="str">
            <v>BOMBA JOCKEY SBI-15-8 10HP 380V</v>
          </cell>
        </row>
        <row r="1690">
          <cell r="A1690" t="str">
            <v>BOM-JOCK-SBI-15-9-10</v>
          </cell>
          <cell r="B1690" t="str">
            <v>BOMBA JOCKEY SBI-15-9 10HP 380V</v>
          </cell>
        </row>
        <row r="1691">
          <cell r="A1691" t="str">
            <v>BOM-JOCK-SBI-2-11</v>
          </cell>
          <cell r="B1691" t="str">
            <v>BOMBA JOCKEY SBI 2-11 1.5HP 380V</v>
          </cell>
        </row>
        <row r="1692">
          <cell r="A1692" t="str">
            <v>BOM-JOCK-SBI-2-13</v>
          </cell>
          <cell r="B1692" t="str">
            <v>BOMBA JOCKEY SBI 2-13 2HP 380V</v>
          </cell>
        </row>
        <row r="1693">
          <cell r="A1693" t="str">
            <v>BOM-JOCK-SBI-2-15</v>
          </cell>
          <cell r="B1693" t="str">
            <v>BOMBA JOCKEY SBI-2-15 2 HP 380V</v>
          </cell>
        </row>
        <row r="1694">
          <cell r="A1694" t="str">
            <v>BOM-JOCK-SBI-2-22</v>
          </cell>
          <cell r="B1694" t="str">
            <v>BOMBA JOCKEY SBI-2-22 3 HP 380V</v>
          </cell>
        </row>
        <row r="1695">
          <cell r="A1695" t="str">
            <v>BOM-JOCK-SBI-2-9</v>
          </cell>
          <cell r="B1695" t="str">
            <v>BOMBA JOCKEY SBI 2-9  1.5HP 380V</v>
          </cell>
        </row>
        <row r="1696">
          <cell r="A1696" t="str">
            <v>BOM-JOCK-SBI-4-10</v>
          </cell>
          <cell r="B1696" t="str">
            <v>BOMBA JOCKEY SBI 4-10 3HP 380V</v>
          </cell>
        </row>
        <row r="1697">
          <cell r="A1697" t="str">
            <v>BOM-JOCK-SBI-4-12</v>
          </cell>
          <cell r="B1697" t="str">
            <v>BOMBA JOCKEY SBI-4-12 3 HP 380V</v>
          </cell>
        </row>
        <row r="1698">
          <cell r="A1698" t="str">
            <v>BOM-JOCK-SBI-4-14</v>
          </cell>
          <cell r="B1698" t="str">
            <v>BOMBA JOCKEY SBI 4-14  4 HP 380V</v>
          </cell>
        </row>
        <row r="1699">
          <cell r="A1699" t="str">
            <v>BOM-JOCK-SBI-4-16</v>
          </cell>
          <cell r="B1699" t="str">
            <v>BOMBA JOCKEY SBI-4-16 4 HP 380V</v>
          </cell>
        </row>
        <row r="1700">
          <cell r="A1700" t="str">
            <v>BOM-JOCK-SBI-4-19</v>
          </cell>
          <cell r="B1700" t="str">
            <v>BOMBA JOCKEY SBI 4-19 5,5HP 380V</v>
          </cell>
        </row>
        <row r="1701">
          <cell r="A1701" t="str">
            <v xml:space="preserve">BOM-JOCK-SBI-4-22 </v>
          </cell>
          <cell r="B1701" t="str">
            <v>BOMBA JOCKEY SBI-4-22 5.5 HP 380V</v>
          </cell>
        </row>
        <row r="1702">
          <cell r="A1702" t="str">
            <v>BOM-JOCK-SBI-4-8</v>
          </cell>
          <cell r="B1702" t="str">
            <v xml:space="preserve">BOMBA JOCKEY SBI 4-8 2HP 380V  </v>
          </cell>
        </row>
        <row r="1703">
          <cell r="A1703" t="str">
            <v>BOM-JOCK-SP1A14</v>
          </cell>
          <cell r="B1703" t="str">
            <v xml:space="preserve">BOMBA JOCKEY SP-1A-14 SUBMERS. </v>
          </cell>
        </row>
        <row r="1704">
          <cell r="A1704" t="str">
            <v>BOM-JOCK-SP3A25</v>
          </cell>
          <cell r="B1704" t="str">
            <v xml:space="preserve">BOMBA JOCKEY SP-3A-25 SUBMERS. </v>
          </cell>
        </row>
        <row r="1705">
          <cell r="A1705" t="str">
            <v>BOM-JOCK-SP5A-25</v>
          </cell>
          <cell r="B1705" t="str">
            <v>BOMBA JOCKEY SP5A-25</v>
          </cell>
        </row>
        <row r="1706">
          <cell r="A1706" t="str">
            <v xml:space="preserve">BOM-JOCK-ST-1818T </v>
          </cell>
          <cell r="B1706" t="str">
            <v>BOMBA JOCKEY SUMERGIBLE  ST-1818T 2HP</v>
          </cell>
        </row>
        <row r="1707">
          <cell r="A1707" t="str">
            <v>BOM-JOCK-ST-3527-4HP</v>
          </cell>
          <cell r="B1707" t="str">
            <v>BOMBA JOCKEY SUMERGIBLE  ST-3527 4 HP</v>
          </cell>
        </row>
        <row r="1708">
          <cell r="A1708" t="str">
            <v>BOM-JU6H</v>
          </cell>
          <cell r="B1708" t="str">
            <v>Complete 12 V Instrument Panel for Diesel Engine JU6H</v>
          </cell>
        </row>
        <row r="1709">
          <cell r="A1709" t="str">
            <v>BOM-KITBAT12VDC</v>
          </cell>
          <cell r="B1709" t="str">
            <v xml:space="preserve">KIT BATERIA 12 VDC </v>
          </cell>
        </row>
        <row r="1710">
          <cell r="A1710" t="str">
            <v>BOM-KIT-CUBRECARDAN</v>
          </cell>
          <cell r="B1710" t="str">
            <v>CUBRE CARDAN</v>
          </cell>
        </row>
        <row r="1711">
          <cell r="A1711" t="str">
            <v>BOM-KITFLJOCKEY</v>
          </cell>
          <cell r="B1711" t="str">
            <v xml:space="preserve">KIT FLANGES BOM. JOCKEY </v>
          </cell>
        </row>
        <row r="1712">
          <cell r="A1712" t="str">
            <v>BOMKITMANOMETRO</v>
          </cell>
          <cell r="B1712" t="str">
            <v>( INACTIVO )</v>
          </cell>
        </row>
        <row r="1713">
          <cell r="A1713" t="str">
            <v>BOMKITPREATC12G</v>
          </cell>
          <cell r="B1713" t="str">
            <v xml:space="preserve">KIT PRENSASTOPA TC12G 8 ANILLO </v>
          </cell>
        </row>
        <row r="1714">
          <cell r="A1714" t="str">
            <v>BOMKITPREATD10E</v>
          </cell>
          <cell r="B1714" t="str">
            <v xml:space="preserve">KIT PRENSASTOPA TD10E 8 ANILLO </v>
          </cell>
        </row>
        <row r="1715">
          <cell r="A1715" t="str">
            <v>BOMKITPREATD12F</v>
          </cell>
          <cell r="B1715" t="str">
            <v xml:space="preserve">KIT PRENSASTOPA TD12F 8 ANILLO </v>
          </cell>
        </row>
        <row r="1716">
          <cell r="A1716" t="str">
            <v>BOMKITPREATD15F</v>
          </cell>
          <cell r="B1716" t="str">
            <v xml:space="preserve">KIT PRENSASTOPA TD15F 8 ANILLO </v>
          </cell>
        </row>
        <row r="1717">
          <cell r="A1717" t="str">
            <v>BOMKITPREATE10D</v>
          </cell>
          <cell r="B1717" t="str">
            <v xml:space="preserve">KIT PRENSASTOPA TE10D 4 ANILLO </v>
          </cell>
        </row>
        <row r="1718">
          <cell r="A1718" t="str">
            <v>BOMKITPREATF15E</v>
          </cell>
          <cell r="B1718" t="str">
            <v xml:space="preserve">KIT PRENSASTOPA TF15E 8 ANILLO </v>
          </cell>
        </row>
        <row r="1719">
          <cell r="A1719" t="str">
            <v>BOM-KITREP</v>
          </cell>
          <cell r="B1719" t="str">
            <v>Kit d reparación 5 años bomba TD20D</v>
          </cell>
        </row>
        <row r="1720">
          <cell r="A1720" t="str">
            <v>BOMKITREPMODICA</v>
          </cell>
          <cell r="B1720" t="str">
            <v xml:space="preserve">KIT REPUESTO MOTOR DISEL CAT </v>
          </cell>
        </row>
        <row r="1721">
          <cell r="A1721" t="str">
            <v>BOMKITREPTC12F</v>
          </cell>
          <cell r="B1721" t="str">
            <v>KIT DE REPUESTOS DE BOMBA TC12F</v>
          </cell>
        </row>
        <row r="1722">
          <cell r="A1722" t="str">
            <v>BOMKITREPTC12G-5</v>
          </cell>
          <cell r="B1722" t="str">
            <v>KIT DE REPUESTOS DE BOMBA TC12G</v>
          </cell>
        </row>
        <row r="1723">
          <cell r="A1723" t="str">
            <v>BOMKITREPTD12F</v>
          </cell>
          <cell r="B1723" t="str">
            <v>KIT DE REPUESTOS DE BOMBA TD12F 3 AÑOS</v>
          </cell>
        </row>
        <row r="1724">
          <cell r="A1724" t="str">
            <v>BOMKITREPTD12F1A</v>
          </cell>
          <cell r="B1724" t="str">
            <v>KIT DE REPUESTOS DE BOMBA TD12F 1 AÑO</v>
          </cell>
        </row>
        <row r="1725">
          <cell r="A1725" t="str">
            <v>BOMKITREPTD15F</v>
          </cell>
          <cell r="B1725" t="str">
            <v>KIT DE REPUESTOS DE BOMBA TD15F</v>
          </cell>
        </row>
        <row r="1726">
          <cell r="A1726" t="str">
            <v>BOMKITREPTD20E</v>
          </cell>
          <cell r="B1726" t="str">
            <v>KIT DE REPUESTOS DE BOMBA TD20E</v>
          </cell>
        </row>
        <row r="1727">
          <cell r="A1727" t="str">
            <v>BOMKITREPTE10D</v>
          </cell>
          <cell r="B1727" t="str">
            <v>KIT DE REPUESTOS DE BOMBA TE10D</v>
          </cell>
        </row>
        <row r="1728">
          <cell r="A1728" t="str">
            <v>BOMKITREPTE12E</v>
          </cell>
          <cell r="B1728" t="str">
            <v>KIT DE REPUESTOS DE BOMBA TE12E</v>
          </cell>
        </row>
        <row r="1729">
          <cell r="A1729" t="str">
            <v>BOMKITREPTE20D-5</v>
          </cell>
          <cell r="B1729" t="str">
            <v>kit de repuestos de bomba TE20D</v>
          </cell>
        </row>
        <row r="1730">
          <cell r="A1730" t="str">
            <v>BOMKITRODTD12F</v>
          </cell>
          <cell r="B1730" t="str">
            <v xml:space="preserve">KIT DE RODAMIENTOS PARA BOMBA TD12F </v>
          </cell>
        </row>
        <row r="1731">
          <cell r="A1731" t="str">
            <v xml:space="preserve">BOMKIT-ROTEX42 </v>
          </cell>
          <cell r="B1731" t="str">
            <v>Rotex 42 Spider UL</v>
          </cell>
        </row>
        <row r="1732">
          <cell r="A1732" t="str">
            <v>BOMKIT-ROTEX55</v>
          </cell>
          <cell r="B1732" t="str">
            <v>Rotex 55 Spider UL</v>
          </cell>
        </row>
        <row r="1733">
          <cell r="A1733" t="str">
            <v>BOMKIT-ROTEX65</v>
          </cell>
          <cell r="B1733" t="str">
            <v>Rotex 65 Spider UL</v>
          </cell>
        </row>
        <row r="1734">
          <cell r="A1734" t="str">
            <v>BOMKIT-ROTEX75</v>
          </cell>
          <cell r="B1734" t="str">
            <v>Rotex 75 Spider UL</v>
          </cell>
        </row>
        <row r="1735">
          <cell r="A1735" t="str">
            <v>BOMKIT-SC41-AD</v>
          </cell>
          <cell r="B1735" t="str">
            <v>Drive Shaft CDS10-SC (SC41-AD)</v>
          </cell>
        </row>
        <row r="1736">
          <cell r="A1736" t="str">
            <v>BOM-KTD-1107-09</v>
          </cell>
          <cell r="B1736" t="str">
            <v xml:space="preserve">KIT, PRESS, XDUCER ASSY BRASS TD-1107 </v>
          </cell>
        </row>
        <row r="1737">
          <cell r="A1737" t="str">
            <v>BOM-MANG-INTERCAM</v>
          </cell>
          <cell r="B1737" t="str">
            <v>MANGUERAS ONTERCAMBIADOR DE CALOR INTER Y OUTLET</v>
          </cell>
        </row>
        <row r="1738">
          <cell r="A1738" t="str">
            <v>BOMMANOME500PSI</v>
          </cell>
          <cell r="B1738" t="str">
            <v xml:space="preserve">MANOMETRO DESCARGA 4 300 PSI </v>
          </cell>
        </row>
        <row r="1739">
          <cell r="A1739" t="str">
            <v>BOM-MANOMET-300</v>
          </cell>
          <cell r="B1739" t="str">
            <v xml:space="preserve">MANOMETRO 300 </v>
          </cell>
        </row>
        <row r="1740">
          <cell r="A1740" t="str">
            <v>BOMMANOMETR300D</v>
          </cell>
          <cell r="B1740" t="str">
            <v xml:space="preserve">KIT MANOMETROS SUC-DES/FITTING </v>
          </cell>
        </row>
        <row r="1741">
          <cell r="A1741" t="str">
            <v>BOM-MANOMETR-O4</v>
          </cell>
          <cell r="B1741" t="str">
            <v xml:space="preserve">MANOMETRO 4 </v>
          </cell>
        </row>
        <row r="1742">
          <cell r="A1742" t="str">
            <v>BOM-MANOMETRO-EXPO</v>
          </cell>
          <cell r="B1742" t="str">
            <v>KIT MANOMETROS SUC-DES/FITTING EXPO</v>
          </cell>
        </row>
        <row r="1743">
          <cell r="A1743" t="str">
            <v>BOM-MARKII-00</v>
          </cell>
          <cell r="B1743" t="str">
            <v>PROCESADOR MARK-II</v>
          </cell>
        </row>
        <row r="1744">
          <cell r="A1744" t="str">
            <v>BOM-ME-2016</v>
          </cell>
          <cell r="B1744" t="str">
            <v>SURGE ARRESTER, 600V MAX, FOR 3-PHASE 4-WIRE SYSTEM VOLTAGES</v>
          </cell>
        </row>
        <row r="1745">
          <cell r="A1745" t="str">
            <v>BOMMODELOAV03N</v>
          </cell>
          <cell r="B1745" t="str">
            <v>BOMBA PRINCIPAL MODELO AV03N</v>
          </cell>
        </row>
        <row r="1746">
          <cell r="A1746" t="str">
            <v>BOMMODELOKP05E</v>
          </cell>
          <cell r="B1746" t="str">
            <v>BOMBA PRINCIPAL MODELO KP05E</v>
          </cell>
        </row>
        <row r="1747">
          <cell r="A1747" t="str">
            <v>BOMMODELOKP06D</v>
          </cell>
          <cell r="B1747" t="str">
            <v>BOMBA PRINCIPAL MODELO KP06D</v>
          </cell>
        </row>
        <row r="1748">
          <cell r="A1748" t="str">
            <v>BOMMODELOKP08E</v>
          </cell>
          <cell r="B1748" t="str">
            <v>BOMBA PRINCIPAL MODELO KP08E</v>
          </cell>
        </row>
        <row r="1749">
          <cell r="A1749" t="str">
            <v>BOMMODELOKP08V</v>
          </cell>
          <cell r="B1749" t="str">
            <v>BOMBA PRINCIPAL MODELO KP08V</v>
          </cell>
        </row>
        <row r="1750">
          <cell r="A1750" t="str">
            <v>BOMMODELOKP15Y</v>
          </cell>
          <cell r="B1750" t="str">
            <v>BOMBA PRINCIPAL MODELO KP15Y</v>
          </cell>
        </row>
        <row r="1751">
          <cell r="A1751" t="str">
            <v>BOMMODELOPC03A</v>
          </cell>
          <cell r="B1751" t="str">
            <v>BOMBA PRINCIPAL MODELO PC03A</v>
          </cell>
        </row>
        <row r="1752">
          <cell r="A1752" t="str">
            <v>BOMMODELOPC03B</v>
          </cell>
          <cell r="B1752" t="str">
            <v>BOMBA PRINCIPAL MODELO PC03B</v>
          </cell>
        </row>
        <row r="1753">
          <cell r="A1753" t="str">
            <v>BOMMODELOPC04A</v>
          </cell>
          <cell r="B1753" t="str">
            <v>BOMBA PRINCIPAL MODELO PC04A</v>
          </cell>
        </row>
        <row r="1754">
          <cell r="A1754" t="str">
            <v>BOMMODELOPC04B</v>
          </cell>
          <cell r="B1754" t="str">
            <v>BOMBA PRINCIPAL MODELO PC04B</v>
          </cell>
        </row>
        <row r="1755">
          <cell r="A1755" t="str">
            <v>BOMMODELOPC04C</v>
          </cell>
          <cell r="B1755" t="str">
            <v>BOMBA PRINCIPAL MODELO PC04C</v>
          </cell>
        </row>
        <row r="1756">
          <cell r="A1756" t="str">
            <v>BOMMODELOPC04D</v>
          </cell>
          <cell r="B1756" t="str">
            <v>BOMBA PRINCIPAL MODELO PC04D</v>
          </cell>
        </row>
        <row r="1757">
          <cell r="A1757" t="str">
            <v>BOMMODELOPC04E</v>
          </cell>
          <cell r="B1757" t="str">
            <v>BOMBA PRINCIPAL MODELO PC04E</v>
          </cell>
        </row>
        <row r="1758">
          <cell r="A1758" t="str">
            <v>BOMMODELOPC05A</v>
          </cell>
          <cell r="B1758" t="str">
            <v>BOMBA PRINCIPAL MODELO PC05A</v>
          </cell>
        </row>
        <row r="1759">
          <cell r="A1759" t="str">
            <v>BOMMODELOPC05C</v>
          </cell>
          <cell r="B1759" t="str">
            <v>BOMBA PRINCIPAL MODELO PC05C</v>
          </cell>
        </row>
        <row r="1760">
          <cell r="A1760" t="str">
            <v>BOMMODELOPC05F</v>
          </cell>
          <cell r="B1760" t="str">
            <v>BOMBA PRINCIPAL MODELO PC05F</v>
          </cell>
        </row>
        <row r="1761">
          <cell r="A1761" t="str">
            <v>BOMMODELOPC05G</v>
          </cell>
          <cell r="B1761" t="str">
            <v>BOMBA PRINCIPAL MODELO PC05G</v>
          </cell>
        </row>
        <row r="1762">
          <cell r="A1762" t="str">
            <v>BOMMODELOPC05H</v>
          </cell>
          <cell r="B1762" t="str">
            <v>BOMBA PRINCIPAL MODELO PC05H</v>
          </cell>
        </row>
        <row r="1763">
          <cell r="A1763" t="str">
            <v>BOMMODELOPC05K</v>
          </cell>
          <cell r="B1763" t="str">
            <v>BOMBA PRINCIPAL MODELO PC05K</v>
          </cell>
        </row>
        <row r="1764">
          <cell r="A1764" t="str">
            <v>BOMMODELOPC06A</v>
          </cell>
          <cell r="B1764" t="str">
            <v>BOMBA PRINCIPAL MODELO PC06A</v>
          </cell>
        </row>
        <row r="1765">
          <cell r="A1765" t="str">
            <v>BOMMODELOPC06C</v>
          </cell>
          <cell r="B1765" t="str">
            <v>BOMBA PRINCIPAL MODELO PC06C</v>
          </cell>
        </row>
        <row r="1766">
          <cell r="A1766" t="str">
            <v>BOMMODELOPC06D</v>
          </cell>
          <cell r="B1766" t="str">
            <v>BOMBA PRINCIPAL MODELO PC06D</v>
          </cell>
        </row>
        <row r="1767">
          <cell r="A1767" t="str">
            <v>BOMMODELOPC06E</v>
          </cell>
          <cell r="B1767" t="str">
            <v>BOMBA PRINCIPAL MODELO PC06E</v>
          </cell>
        </row>
        <row r="1768">
          <cell r="A1768" t="str">
            <v>BOMMODELOPC06F</v>
          </cell>
          <cell r="B1768" t="str">
            <v>BOMBA PRINCIPAL MODELO PC06F</v>
          </cell>
        </row>
        <row r="1769">
          <cell r="A1769" t="str">
            <v>BOMMODELOPC06G</v>
          </cell>
          <cell r="B1769" t="str">
            <v>BOMBA PRINCIPAL MODELO PC06G</v>
          </cell>
        </row>
        <row r="1770">
          <cell r="A1770" t="str">
            <v>BOMMODELOPC06J</v>
          </cell>
          <cell r="B1770" t="str">
            <v>BOMBA PRINCIPAL MODELO PC06J</v>
          </cell>
        </row>
        <row r="1771">
          <cell r="A1771" t="str">
            <v>BOMMODELOPC06L</v>
          </cell>
          <cell r="B1771" t="str">
            <v>BOMBA PRINCIPAL MODELO PC06L</v>
          </cell>
        </row>
        <row r="1772">
          <cell r="A1772" t="str">
            <v>BOMMODELOPC08B</v>
          </cell>
          <cell r="B1772" t="str">
            <v>BOMBA PRINCIPAL MODELO PC08B</v>
          </cell>
        </row>
        <row r="1773">
          <cell r="A1773" t="str">
            <v>BOMMODELOPC08C</v>
          </cell>
          <cell r="B1773" t="str">
            <v>BOMBA PRINCIPAL MODELO PC08C</v>
          </cell>
        </row>
        <row r="1774">
          <cell r="A1774" t="str">
            <v>BOMMODELOPC08E</v>
          </cell>
          <cell r="B1774" t="str">
            <v>BOMBA PRINCIPAL MODELO PC08E</v>
          </cell>
        </row>
        <row r="1775">
          <cell r="A1775" t="str">
            <v>BOMMODELOPC08F</v>
          </cell>
          <cell r="B1775" t="str">
            <v>BOMBA PRINCIPAL MODELO PC08F</v>
          </cell>
        </row>
        <row r="1776">
          <cell r="A1776" t="str">
            <v>BOMMODELOPC08G</v>
          </cell>
          <cell r="B1776" t="str">
            <v>BOMBA PRINCIPAL MODELO PC08G</v>
          </cell>
        </row>
        <row r="1777">
          <cell r="A1777" t="str">
            <v>BOMMODELOPC08H</v>
          </cell>
          <cell r="B1777" t="str">
            <v>BOMBA PRINCIPAL MODELO PC08H</v>
          </cell>
        </row>
        <row r="1778">
          <cell r="A1778" t="str">
            <v>BOMMODELOPC08J</v>
          </cell>
          <cell r="B1778" t="str">
            <v>BOMBA PRINCIPAL MODELO PC08J</v>
          </cell>
        </row>
        <row r="1779">
          <cell r="A1779" t="str">
            <v>BOMMODELOPC08K</v>
          </cell>
          <cell r="B1779" t="str">
            <v>BOMBA PRINCIPAL MODELO PC08K</v>
          </cell>
        </row>
        <row r="1780">
          <cell r="A1780" t="str">
            <v>BOMMODELOPC10D</v>
          </cell>
          <cell r="B1780" t="str">
            <v>BOMBA PRINCIPAL MODELO PC10D</v>
          </cell>
        </row>
        <row r="1781">
          <cell r="A1781" t="str">
            <v>BOMMODELOPC10E</v>
          </cell>
          <cell r="B1781" t="str">
            <v>BOMBA PRINCIPAL MODELO PC10E</v>
          </cell>
        </row>
        <row r="1782">
          <cell r="A1782" t="str">
            <v>BOMMODELOPD04A</v>
          </cell>
          <cell r="B1782" t="str">
            <v>BOMBA PRINCIPAL MODELO PD04A</v>
          </cell>
        </row>
        <row r="1783">
          <cell r="A1783" t="str">
            <v>BOMMODELOPD04K</v>
          </cell>
          <cell r="B1783" t="str">
            <v>BOMBA PRINCIPAL MODELO PD04K</v>
          </cell>
        </row>
        <row r="1784">
          <cell r="A1784" t="str">
            <v>BOMMODELOPD04Y</v>
          </cell>
          <cell r="B1784" t="str">
            <v>BOMBA PRINCIPAL MODELO PD04Y</v>
          </cell>
        </row>
        <row r="1785">
          <cell r="A1785" t="str">
            <v>BOMMODELOPD05A</v>
          </cell>
          <cell r="B1785" t="str">
            <v>BOMBA PRINCIPAL MODELO PD05A</v>
          </cell>
        </row>
        <row r="1786">
          <cell r="A1786" t="str">
            <v>BOMMODELOPD05C</v>
          </cell>
          <cell r="B1786" t="str">
            <v>BOMBA PRINCIPAL MODELO PD05C</v>
          </cell>
        </row>
        <row r="1787">
          <cell r="A1787" t="str">
            <v>BOMMODELOPD05L</v>
          </cell>
          <cell r="B1787" t="str">
            <v>BOMBA PRINCIPAL MODELO PD05L</v>
          </cell>
        </row>
        <row r="1788">
          <cell r="A1788" t="str">
            <v>BOMMODELOPD06A</v>
          </cell>
          <cell r="B1788" t="str">
            <v>BOMBA PRINCIPAL MODELO PD06A</v>
          </cell>
        </row>
        <row r="1789">
          <cell r="A1789" t="str">
            <v>BOMMODELOPD08A</v>
          </cell>
          <cell r="B1789" t="str">
            <v>BOMBA PRINCIPAL MODELO PD08A</v>
          </cell>
        </row>
        <row r="1790">
          <cell r="A1790" t="str">
            <v>BOMMODELOTA12D</v>
          </cell>
          <cell r="B1790" t="str">
            <v>BOMBA PRINCIPAL MOD. TA12D</v>
          </cell>
        </row>
        <row r="1791">
          <cell r="A1791" t="str">
            <v>BOMMODELOTB08D</v>
          </cell>
          <cell r="B1791" t="str">
            <v>BOMBA PRINCIPAL MOD. TB08D</v>
          </cell>
        </row>
        <row r="1792">
          <cell r="A1792" t="str">
            <v>BOMMODELOTB08E</v>
          </cell>
          <cell r="B1792" t="str">
            <v>BOMBA PRINCIPAL MOD. TB08E</v>
          </cell>
        </row>
        <row r="1793">
          <cell r="A1793" t="str">
            <v>BOMMODELOTB08F</v>
          </cell>
          <cell r="B1793" t="str">
            <v>BOMBA PRINCIPAL MOD. TB08F</v>
          </cell>
        </row>
        <row r="1794">
          <cell r="A1794" t="str">
            <v>BOMMODELOTB10D</v>
          </cell>
          <cell r="B1794" t="str">
            <v>BOMBA PRINCIPAL MOD. TB10D</v>
          </cell>
        </row>
        <row r="1795">
          <cell r="A1795" t="str">
            <v>BOMMODELOTB10E</v>
          </cell>
          <cell r="B1795" t="str">
            <v>BOMBA PRINCIPAL MOD. TB10E</v>
          </cell>
        </row>
        <row r="1796">
          <cell r="A1796" t="str">
            <v>BOMMODELOTB10F</v>
          </cell>
          <cell r="B1796" t="str">
            <v>BOMBA PRINCIPAL MOD. TB10F</v>
          </cell>
        </row>
        <row r="1797">
          <cell r="A1797" t="str">
            <v>BOMMODELOTB12D</v>
          </cell>
          <cell r="B1797" t="str">
            <v>BOMBA PRINCIPAL MOD. TB12D</v>
          </cell>
        </row>
        <row r="1798">
          <cell r="A1798" t="str">
            <v>BOMMODELOTB12E</v>
          </cell>
          <cell r="B1798" t="str">
            <v>BOMBA PRINCIPAL MOD. TB12E</v>
          </cell>
        </row>
        <row r="1799">
          <cell r="A1799" t="str">
            <v>BOMMODELOTB12F</v>
          </cell>
          <cell r="B1799" t="str">
            <v>BOMBA PRINCIPAL MOD. TB12F</v>
          </cell>
        </row>
        <row r="1800">
          <cell r="A1800" t="str">
            <v>BOMMODELOTB15E</v>
          </cell>
          <cell r="B1800" t="str">
            <v>BOMBA PRINCIPAL MOD. TB12E</v>
          </cell>
        </row>
        <row r="1801">
          <cell r="A1801" t="str">
            <v>BOMMODELOTB15F</v>
          </cell>
          <cell r="B1801" t="str">
            <v>BOMBA PRINCIPAL MOD. TB15F</v>
          </cell>
        </row>
        <row r="1802">
          <cell r="A1802" t="str">
            <v>BOMMODELOTC12F</v>
          </cell>
          <cell r="B1802" t="str">
            <v>BOMBA PRINCIPAL MOD. TC12F</v>
          </cell>
        </row>
        <row r="1803">
          <cell r="A1803" t="str">
            <v>BOMMODELOTC12G</v>
          </cell>
          <cell r="B1803" t="str">
            <v>BOMBA PRINCIPAL MOD. TC12G</v>
          </cell>
        </row>
        <row r="1804">
          <cell r="A1804" t="str">
            <v>BOMMODELOTD10E</v>
          </cell>
          <cell r="B1804" t="str">
            <v>BOMBA PRINCIPAL MOD. TD10E</v>
          </cell>
        </row>
        <row r="1805">
          <cell r="A1805" t="str">
            <v>BOMMODELOTD10F</v>
          </cell>
          <cell r="B1805" t="str">
            <v>BOMBA PRINCIPAL MOD. TD10F</v>
          </cell>
        </row>
        <row r="1806">
          <cell r="A1806" t="str">
            <v>BOMMODELOTD12F</v>
          </cell>
          <cell r="B1806" t="str">
            <v>BOMBA PRINCIPAL MOD. TD12F</v>
          </cell>
        </row>
        <row r="1807">
          <cell r="A1807" t="str">
            <v>BOMMODELOTD15F</v>
          </cell>
          <cell r="B1807" t="str">
            <v>BOMBA PRINCIPAL MOD. TD15F</v>
          </cell>
        </row>
        <row r="1808">
          <cell r="A1808" t="str">
            <v>BOMMODELOTD20D</v>
          </cell>
          <cell r="B1808" t="str">
            <v>BOMBA PRINCIPAL MOD. TD20D</v>
          </cell>
        </row>
        <row r="1809">
          <cell r="A1809" t="str">
            <v>BOMMODELOTD20E</v>
          </cell>
          <cell r="B1809" t="str">
            <v>BOMBA PRINCIPAL MOD. TD20E</v>
          </cell>
        </row>
        <row r="1810">
          <cell r="A1810" t="str">
            <v>BOMMODELOTD25A</v>
          </cell>
          <cell r="B1810" t="str">
            <v>BOMBA PRINCIPAL MOD. TD25A</v>
          </cell>
        </row>
        <row r="1811">
          <cell r="A1811" t="str">
            <v>BOMMODELOTE08D</v>
          </cell>
          <cell r="B1811" t="str">
            <v>BOMBA PRINCIPAL MOD. TE08D</v>
          </cell>
        </row>
        <row r="1812">
          <cell r="A1812" t="str">
            <v>BOMMODELOTE10D</v>
          </cell>
          <cell r="B1812" t="str">
            <v>BOMBA PRINCIPAL MOD. TE10D</v>
          </cell>
        </row>
        <row r="1813">
          <cell r="A1813" t="str">
            <v>BOMMODELOTE12E</v>
          </cell>
          <cell r="B1813" t="str">
            <v>BOMBA PRINCIPAL MOD. TE12E</v>
          </cell>
        </row>
        <row r="1814">
          <cell r="A1814" t="str">
            <v>BOMMODELOTE15A</v>
          </cell>
          <cell r="B1814" t="str">
            <v>BOMBA PRINCIPAL MOD. TE15A</v>
          </cell>
        </row>
        <row r="1815">
          <cell r="A1815" t="str">
            <v>BOMMODELOTE15D</v>
          </cell>
          <cell r="B1815" t="str">
            <v>BOMBA PRINCIPAL MOD. TE15D</v>
          </cell>
        </row>
        <row r="1816">
          <cell r="A1816" t="str">
            <v>BOMMODELOTE15E</v>
          </cell>
          <cell r="B1816" t="str">
            <v>BOMBA PRINCIPAL MOD. TE15E</v>
          </cell>
        </row>
        <row r="1817">
          <cell r="A1817" t="str">
            <v>BOMMODELOTE15F</v>
          </cell>
          <cell r="B1817" t="str">
            <v>BOMBA PRINCIPAL MOD. TE15F</v>
          </cell>
        </row>
        <row r="1818">
          <cell r="A1818" t="str">
            <v>BOMMODELOTE15G</v>
          </cell>
          <cell r="B1818" t="str">
            <v>BOMBA PRINCIPAL MOD. TE15G</v>
          </cell>
        </row>
        <row r="1819">
          <cell r="A1819" t="str">
            <v>BOMMODELOTE20A</v>
          </cell>
          <cell r="B1819" t="str">
            <v>BOMBA PRINCIPAL MOD. TE20A</v>
          </cell>
        </row>
        <row r="1820">
          <cell r="A1820" t="str">
            <v>BOMMODELOTE20D</v>
          </cell>
          <cell r="B1820" t="str">
            <v>BOMBA PRINCIPAL MOD. TE20D</v>
          </cell>
        </row>
        <row r="1821">
          <cell r="A1821" t="str">
            <v>BOMMODELOTE25A</v>
          </cell>
          <cell r="B1821" t="str">
            <v>BOMBA PRINCIPAL MOD. TE25A</v>
          </cell>
        </row>
        <row r="1822">
          <cell r="A1822" t="str">
            <v>BOMMODELOTF15E</v>
          </cell>
          <cell r="B1822" t="str">
            <v>BOMBA PRINCIPAL MOD. TF15E</v>
          </cell>
        </row>
        <row r="1823">
          <cell r="A1823" t="str">
            <v>BOMMODELOTF15G</v>
          </cell>
          <cell r="B1823" t="str">
            <v>BOMBA PRINCIPAL MOD. TF15G</v>
          </cell>
        </row>
        <row r="1824">
          <cell r="A1824" t="str">
            <v>BOMMODELOTF15H</v>
          </cell>
          <cell r="B1824" t="str">
            <v>BOMBA PRINCIPAL MOD. TF15H</v>
          </cell>
        </row>
        <row r="1825">
          <cell r="A1825" t="str">
            <v>BOMMODELOTF20D</v>
          </cell>
          <cell r="B1825" t="str">
            <v>BOMBA PRINCIPAL MOD. TF20D</v>
          </cell>
        </row>
        <row r="1826">
          <cell r="A1826" t="str">
            <v>BOMMODELOTF20E</v>
          </cell>
          <cell r="B1826" t="str">
            <v>BOMBA PRINCIPAL MOD. TF20E</v>
          </cell>
        </row>
        <row r="1827">
          <cell r="A1827" t="str">
            <v>BOMMODELOTF20F</v>
          </cell>
          <cell r="B1827" t="str">
            <v>BOMBA PRINCIPAL MOD. TF20F</v>
          </cell>
        </row>
        <row r="1828">
          <cell r="A1828" t="str">
            <v>BOMMODELOTF20G</v>
          </cell>
          <cell r="B1828" t="str">
            <v>BOMBA PRINCIPAL MOD. TF20G</v>
          </cell>
        </row>
        <row r="1829">
          <cell r="A1829" t="str">
            <v>BOMMODELOTF20J</v>
          </cell>
          <cell r="B1829" t="str">
            <v>BOMBA PRINCIPAL MOD. TF20J</v>
          </cell>
        </row>
        <row r="1830">
          <cell r="A1830" t="str">
            <v>BOMMODELOTF20K</v>
          </cell>
          <cell r="B1830" t="str">
            <v>BOMBA PRINCIPAL MOD. TF20K</v>
          </cell>
        </row>
        <row r="1831">
          <cell r="A1831" t="str">
            <v>BOMMODELOTQ25B</v>
          </cell>
          <cell r="B1831" t="str">
            <v>BOMBA PRINCIPAL MODELO TQ25B</v>
          </cell>
        </row>
        <row r="1832">
          <cell r="A1832" t="str">
            <v>BOMMODELOTX12D</v>
          </cell>
          <cell r="B1832" t="str">
            <v>BOMBA PRINCIPAL MOD. TX12D</v>
          </cell>
        </row>
        <row r="1833">
          <cell r="A1833" t="str">
            <v>BOMMODELOTX12D-2</v>
          </cell>
          <cell r="B1833" t="str">
            <v>BOMBA PRINCIPAL MOD. TE25A</v>
          </cell>
        </row>
        <row r="1834">
          <cell r="A1834" t="str">
            <v>BOMMODELOTX15E-2</v>
          </cell>
          <cell r="B1834" t="str">
            <v>BOMBA PRINCIPAL MOD. TX15E-2</v>
          </cell>
        </row>
        <row r="1835">
          <cell r="A1835" t="str">
            <v>BOMMODELOTX15F-2</v>
          </cell>
          <cell r="B1835" t="str">
            <v>BOMBA PRINCIPAL MOD. TX15F-2</v>
          </cell>
        </row>
        <row r="1836">
          <cell r="A1836" t="str">
            <v>BOMMODELOTY12D-2</v>
          </cell>
          <cell r="B1836" t="str">
            <v>BOMBA PRINCIPAL MOD. TY12D-2</v>
          </cell>
        </row>
        <row r="1837">
          <cell r="A1837" t="str">
            <v>BOMMODELOTY15E-2</v>
          </cell>
          <cell r="B1837" t="str">
            <v>BOMBA PRINCIPAL MOD. TY15E-2</v>
          </cell>
        </row>
        <row r="1838">
          <cell r="A1838" t="str">
            <v>BOM-MOL-TD10E-EXPO</v>
          </cell>
          <cell r="B1838" t="str">
            <v>BOMBA PRINCIPAL MOD. TD10E EXPO</v>
          </cell>
        </row>
        <row r="1839">
          <cell r="A1839" t="str">
            <v>BOM-NUC-FERLLAV</v>
          </cell>
          <cell r="B1839" t="str">
            <v xml:space="preserve">LLAVE P/NUCLEOFERRITA </v>
          </cell>
        </row>
        <row r="1840">
          <cell r="A1840" t="str">
            <v>BOM-NUC-FERRITA</v>
          </cell>
          <cell r="B1840" t="str">
            <v xml:space="preserve">NUCLEOFERRITA </v>
          </cell>
        </row>
        <row r="1841">
          <cell r="A1841" t="str">
            <v>BOM-PEM-HONORAR</v>
          </cell>
          <cell r="B1841" t="str">
            <v xml:space="preserve">HONORARIOS PEM BOMBA CONTRA IN </v>
          </cell>
        </row>
        <row r="1842">
          <cell r="A1842" t="str">
            <v>BOM-PEM-OTROS01</v>
          </cell>
          <cell r="B1842" t="str">
            <v xml:space="preserve">GASTOS DE VIAJE PEM </v>
          </cell>
        </row>
        <row r="1843">
          <cell r="A1843" t="str">
            <v>BOM-PEM-REFR-4G</v>
          </cell>
          <cell r="B1843" t="str">
            <v xml:space="preserve">LIQUIDO REFRIGERANTE MOR DIESE </v>
          </cell>
        </row>
        <row r="1844">
          <cell r="A1844" t="str">
            <v>BOM-PRES300EL0T</v>
          </cell>
          <cell r="B1844" t="str">
            <v xml:space="preserve">VALV ALIV CLAVALMOD55L.3/4 300 </v>
          </cell>
        </row>
        <row r="1845">
          <cell r="A1845" t="str">
            <v>BOM-PRES500REL2</v>
          </cell>
          <cell r="B1845" t="str">
            <v xml:space="preserve">VALV ALIV CLAVALMOD33A.2500 </v>
          </cell>
        </row>
        <row r="1846">
          <cell r="A1846" t="str">
            <v>BOMPRESCARREL0M</v>
          </cell>
          <cell r="B1846" t="str">
            <v>VALL ALIV CLAVAL  MOD.  55L.1/2 200 PSI</v>
          </cell>
        </row>
        <row r="1847">
          <cell r="A1847" t="str">
            <v>BOMPRESCARREL0T</v>
          </cell>
          <cell r="B1847" t="str">
            <v xml:space="preserve">VALL ALIV CLAVAL  MOD.  55L.  3/4 200 PSI </v>
          </cell>
        </row>
        <row r="1848">
          <cell r="A1848" t="str">
            <v>BOM-RCOC-N04X03</v>
          </cell>
          <cell r="B1848" t="str">
            <v xml:space="preserve">EXPANSIÓN CONCENTRICA 3 X 4 </v>
          </cell>
        </row>
        <row r="1849">
          <cell r="A1849" t="str">
            <v>BOM-RCON-02MX04</v>
          </cell>
          <cell r="B1849" t="str">
            <v xml:space="preserve">EXPAN. CONCENTRICA 2.1/2 X 4 </v>
          </cell>
        </row>
        <row r="1850">
          <cell r="A1850" t="str">
            <v>BOMRCON06X04150</v>
          </cell>
          <cell r="B1850" t="str">
            <v xml:space="preserve">EXPANSIÓN CONCENTRICA 4 X 04150 </v>
          </cell>
        </row>
        <row r="1851">
          <cell r="A1851" t="str">
            <v>BOM-RCONC-02X04</v>
          </cell>
          <cell r="B1851" t="str">
            <v xml:space="preserve">EXPANSIÓN CONCENTRICA 2 X 4 </v>
          </cell>
        </row>
        <row r="1852">
          <cell r="A1852" t="str">
            <v>BOM-RCONC-05X2M</v>
          </cell>
          <cell r="B1852" t="str">
            <v xml:space="preserve">EXPAN CONCENTRICA 5 X 2 1/2 </v>
          </cell>
        </row>
        <row r="1853">
          <cell r="A1853" t="str">
            <v>BOM-RCONC-06X03</v>
          </cell>
          <cell r="B1853" t="str">
            <v xml:space="preserve">EXPANSIÓN CONCENTRICA 3 X 6 </v>
          </cell>
        </row>
        <row r="1854">
          <cell r="A1854" t="str">
            <v>BOM-RCONC-06X04</v>
          </cell>
          <cell r="B1854" t="str">
            <v>EXPANSIÓN CONCENTRICA 4 (300) X 6 (150)</v>
          </cell>
        </row>
        <row r="1855">
          <cell r="A1855" t="str">
            <v>BOM-RCONC-06X05</v>
          </cell>
          <cell r="B1855" t="str">
            <v xml:space="preserve">EXPANSIÓN CONCENTRICA 5 X 6 </v>
          </cell>
        </row>
        <row r="1856">
          <cell r="A1856" t="str">
            <v>BOM-RCONC-08X05</v>
          </cell>
          <cell r="B1856" t="str">
            <v xml:space="preserve">EXPANSIÓN CONCENTRICA 5 X 8 </v>
          </cell>
        </row>
        <row r="1857">
          <cell r="A1857" t="str">
            <v>BOM-RCONC-08X06</v>
          </cell>
          <cell r="B1857" t="str">
            <v xml:space="preserve">EXPANSIÓN CONCENTRICA 6 X 8 </v>
          </cell>
        </row>
        <row r="1858">
          <cell r="A1858" t="str">
            <v>BOM-RCONC-10X06</v>
          </cell>
          <cell r="B1858" t="str">
            <v xml:space="preserve">EXPANSIÓN CONCENTRICA 6 X 10 </v>
          </cell>
        </row>
        <row r="1859">
          <cell r="A1859" t="str">
            <v>BOM-RCONC-10X08</v>
          </cell>
          <cell r="B1859" t="str">
            <v xml:space="preserve">EXPANSIÓN CONCENTRICA 8 X 10 </v>
          </cell>
        </row>
        <row r="1860">
          <cell r="A1860" t="str">
            <v>BOM-RCONC-10x08 IMP</v>
          </cell>
          <cell r="B1860" t="str">
            <v xml:space="preserve">EXPANSIÓN CONCENTRICA 8 X 10 </v>
          </cell>
        </row>
        <row r="1861">
          <cell r="A1861" t="str">
            <v>BOM-RCONC-12X08</v>
          </cell>
          <cell r="B1861" t="str">
            <v xml:space="preserve">EXPANSIÓN CONCENTRICA 8 X 12 </v>
          </cell>
        </row>
        <row r="1862">
          <cell r="A1862" t="str">
            <v>BOMREDCONC06X04</v>
          </cell>
          <cell r="B1862" t="str">
            <v>EXPANSIÓN CONCENTRICA 6 (300) X 4 (150)</v>
          </cell>
        </row>
        <row r="1863">
          <cell r="A1863" t="str">
            <v>BOM-REDEXT-02X04</v>
          </cell>
          <cell r="B1863" t="str">
            <v>REDUCCION EXCENTRICA 2X4</v>
          </cell>
        </row>
        <row r="1864">
          <cell r="A1864" t="str">
            <v>BOMREDEXT04X02M</v>
          </cell>
          <cell r="B1864" t="str">
            <v xml:space="preserve">REDUCCION EXCENT. 4 X 2.1/2 </v>
          </cell>
        </row>
        <row r="1865">
          <cell r="A1865" t="str">
            <v>BOM-REDEXT04X03</v>
          </cell>
          <cell r="B1865" t="str">
            <v>REDUCCION EXCENTRICA 4 X 3</v>
          </cell>
        </row>
        <row r="1866">
          <cell r="A1866" t="str">
            <v>BOM-REDEXT05X04</v>
          </cell>
          <cell r="B1866" t="str">
            <v xml:space="preserve">REDUCCION EXCENTRICA 5 X 4 </v>
          </cell>
        </row>
        <row r="1867">
          <cell r="A1867" t="str">
            <v>BOM-REDEXT06X03</v>
          </cell>
          <cell r="B1867" t="str">
            <v xml:space="preserve">REDUCCION EXCENTRICA 6 X 3 </v>
          </cell>
        </row>
        <row r="1868">
          <cell r="A1868" t="str">
            <v>BOM-REDEXT06X04</v>
          </cell>
          <cell r="B1868" t="str">
            <v xml:space="preserve">REDUCCION EXCENTRICA 6 X 4 </v>
          </cell>
        </row>
        <row r="1869">
          <cell r="A1869" t="str">
            <v>BOM-REDEXT06X05</v>
          </cell>
          <cell r="B1869" t="str">
            <v xml:space="preserve">REDUCCION EXCENTRICA 6  (150) X 5 (300) </v>
          </cell>
        </row>
        <row r="1870">
          <cell r="A1870" t="str">
            <v>BOM-REDEXT-06X05-150</v>
          </cell>
          <cell r="B1870" t="str">
            <v xml:space="preserve">REDUCCION EXCENTRICA 6  (150) X 5 (150) </v>
          </cell>
        </row>
        <row r="1871">
          <cell r="A1871" t="str">
            <v>BOM-REDEXT08X05</v>
          </cell>
          <cell r="B1871" t="str">
            <v xml:space="preserve">REDUCCION EXCENTRICA 8 X 5 </v>
          </cell>
        </row>
        <row r="1872">
          <cell r="A1872" t="str">
            <v>BOM-REDEXT08X06</v>
          </cell>
          <cell r="B1872" t="str">
            <v xml:space="preserve">REDUCCION EXCENTRICA 8 X 6 </v>
          </cell>
        </row>
        <row r="1873">
          <cell r="A1873" t="str">
            <v>BOM-REDEXT10X06</v>
          </cell>
          <cell r="B1873" t="str">
            <v>REDUCCION EXCENTRICA 10 X 6</v>
          </cell>
        </row>
        <row r="1874">
          <cell r="A1874" t="str">
            <v>BOM-REDEXT10X08</v>
          </cell>
          <cell r="B1874" t="str">
            <v xml:space="preserve">REDUCCION EXCENTRICA 10 X 8 </v>
          </cell>
        </row>
        <row r="1875">
          <cell r="A1875" t="str">
            <v>BOM-REDEXT12X10</v>
          </cell>
          <cell r="B1875" t="str">
            <v xml:space="preserve">REDUCCION EXCENTRICA 12 X 10 </v>
          </cell>
        </row>
        <row r="1876">
          <cell r="A1876" t="str">
            <v>BOM-RELOJ-TEMP</v>
          </cell>
          <cell r="B1876" t="str">
            <v>RELOJ TEMP. MOTOR DIESEL CLARKE</v>
          </cell>
        </row>
        <row r="1877">
          <cell r="A1877" t="str">
            <v>BOM-REP-TABLERO</v>
          </cell>
          <cell r="B1877" t="str">
            <v xml:space="preserve">REPARACION DE TABLERO BOMBA </v>
          </cell>
        </row>
        <row r="1878">
          <cell r="A1878" t="str">
            <v>BOMREPUESTOS</v>
          </cell>
          <cell r="B1878" t="str">
            <v>STUFFING BOX / SUPPORT FRAME</v>
          </cell>
        </row>
        <row r="1879">
          <cell r="A1879" t="str">
            <v>BOMREPUESTOTC12F</v>
          </cell>
          <cell r="B1879" t="str">
            <v>TC12F BEARING HOUSING NON DRIVEND</v>
          </cell>
        </row>
        <row r="1880">
          <cell r="A1880" t="str">
            <v>BOM-SENS-GSEFPI0008</v>
          </cell>
          <cell r="B1880" t="str">
            <v>Sensor de nivel de combustible (nivel bajo)</v>
          </cell>
        </row>
        <row r="1881">
          <cell r="A1881" t="str">
            <v>BOM-SENS-HC90065175</v>
          </cell>
          <cell r="B1881" t="str">
            <v>Sensor de nivel de combustible (nivel alto, medio y bajo)</v>
          </cell>
        </row>
        <row r="1882">
          <cell r="A1882" t="str">
            <v>BOM-SILENCIADOR</v>
          </cell>
          <cell r="B1882" t="str">
            <v xml:space="preserve">SILENCIADOR MOTOR DIESEL </v>
          </cell>
        </row>
        <row r="1883">
          <cell r="A1883" t="str">
            <v>BOM-SNLFTA-1100-K1-X</v>
          </cell>
          <cell r="B1883" t="str">
            <v>FTA1100-K1-X HIGTH/LOW FUEL LEVEL SWITCH FOR FUEL TANK 115 G</v>
          </cell>
        </row>
        <row r="1884">
          <cell r="A1884" t="str">
            <v>BOM-SSRNVL-0000</v>
          </cell>
          <cell r="B1884" t="str">
            <v>Sens Niv. p/est DIESEL 250 gal</v>
          </cell>
        </row>
        <row r="1885">
          <cell r="A1885" t="str">
            <v>BOM-SSRNVL115-0</v>
          </cell>
          <cell r="B1885" t="str">
            <v xml:space="preserve">SENS NIV. P/EST DIESEL 115 GAL </v>
          </cell>
        </row>
        <row r="1886">
          <cell r="A1886" t="str">
            <v>BOM-SSRNVL140-0</v>
          </cell>
          <cell r="B1886" t="str">
            <v xml:space="preserve">SENS NIV. P/EST DIESEL 140 GAL </v>
          </cell>
        </row>
        <row r="1887">
          <cell r="A1887" t="str">
            <v>BOM-SSRNVL250-0</v>
          </cell>
          <cell r="B1887" t="str">
            <v>SENS NIV. P/EST DIESEL 250 GAL</v>
          </cell>
        </row>
        <row r="1888">
          <cell r="A1888" t="str">
            <v>BOM-SSRNVL285-0</v>
          </cell>
          <cell r="B1888" t="str">
            <v xml:space="preserve">SENS NIV. P/EST DIESEL 285 GAL </v>
          </cell>
        </row>
        <row r="1889">
          <cell r="A1889" t="str">
            <v>BOM-SSRNVL350-0</v>
          </cell>
          <cell r="B1889" t="str">
            <v xml:space="preserve">SENS NIV. P/EST DIESEL 350 GAL </v>
          </cell>
        </row>
        <row r="1890">
          <cell r="A1890" t="str">
            <v>BOM-SSRNVL450-0</v>
          </cell>
          <cell r="B1890" t="str">
            <v xml:space="preserve">SENS NIV. P/EST DIESEL 450 GAL </v>
          </cell>
        </row>
        <row r="1891">
          <cell r="A1891" t="str">
            <v>BOM-SSRNVL500-0</v>
          </cell>
          <cell r="B1891" t="str">
            <v xml:space="preserve">SENS NIV. P/EST DIESEL 500 GAL </v>
          </cell>
        </row>
        <row r="1892">
          <cell r="A1892" t="str">
            <v>BOM-SSRNVL70-00</v>
          </cell>
          <cell r="B1892" t="str">
            <v xml:space="preserve">SENS NIV. P/EST DIESEL 70 GAL </v>
          </cell>
        </row>
        <row r="1893">
          <cell r="A1893" t="str">
            <v>BOMSUPPRES1FDIE</v>
          </cell>
          <cell r="B1893" t="str">
            <v xml:space="preserve">SUPRESION ALTA TENSION 1F DIES </v>
          </cell>
        </row>
        <row r="1894">
          <cell r="A1894" t="str">
            <v>BOMSUPPRES3FELE</v>
          </cell>
          <cell r="B1894" t="str">
            <v xml:space="preserve">SUPRESION ALTA TENSION 3F ELEC </v>
          </cell>
        </row>
        <row r="1895">
          <cell r="A1895" t="str">
            <v>BOM-SV-0619</v>
          </cell>
          <cell r="B1895" t="str">
            <v>SOLENOID VALVE</v>
          </cell>
        </row>
        <row r="1896">
          <cell r="A1896" t="str">
            <v>BOM-TAB-CONTROL</v>
          </cell>
          <cell r="B1896" t="str">
            <v xml:space="preserve">TABLERO CONTROLADOR P/MOTOR HI </v>
          </cell>
        </row>
        <row r="1897">
          <cell r="A1897" t="str">
            <v>BOM-TARJMADRE-MOTOR</v>
          </cell>
          <cell r="B1897" t="str">
            <v>TARJETA MADRE P/MOTOR JW6H-UFAA60  CC9982</v>
          </cell>
        </row>
        <row r="1898">
          <cell r="A1898" t="str">
            <v>BOM-TD-1107</v>
          </cell>
          <cell r="B1898" t="str">
            <v>TRANSDUCER 0-300 PSI 9-30 VDC INPUT 1-5 VDC OTPUT 1/4 MNPT</v>
          </cell>
        </row>
        <row r="1899">
          <cell r="A1899" t="str">
            <v>BOM-TD-1118</v>
          </cell>
          <cell r="B1899" t="str">
            <v>TRANSDUCER 0-300 PSI 1-5 VDC OUTPUT 1/4 MNPT, 8-30VDC</v>
          </cell>
        </row>
        <row r="1900">
          <cell r="A1900" t="str">
            <v>BOM-TD15F-LANTERN</v>
          </cell>
          <cell r="B1900" t="str">
            <v>TD15F LANTERN RING</v>
          </cell>
        </row>
        <row r="1901">
          <cell r="A1901" t="str">
            <v>BOM-TD15F-OIL</v>
          </cell>
          <cell r="B1901" t="str">
            <v>TD15F OIL SEAL</v>
          </cell>
        </row>
        <row r="1902">
          <cell r="A1902" t="str">
            <v>BOM-TD15F-O-RING</v>
          </cell>
          <cell r="B1902" t="str">
            <v>TD15F O-RING INSERT</v>
          </cell>
        </row>
        <row r="1903">
          <cell r="A1903" t="str">
            <v>BOM-TD15F-SPACER</v>
          </cell>
          <cell r="B1903" t="str">
            <v>TD15F SPACER RING: STUFFING BOX</v>
          </cell>
        </row>
        <row r="1904">
          <cell r="A1904" t="str">
            <v>BOMTRADUPRESION</v>
          </cell>
          <cell r="B1904" t="str">
            <v xml:space="preserve">TRADUCTOR DE PRESION </v>
          </cell>
        </row>
        <row r="1905">
          <cell r="A1905" t="str">
            <v>BOM-TRCHARG-FIRETROL</v>
          </cell>
          <cell r="B1905" t="str">
            <v>CHARGER (TR)  BATTERY FIRETROL</v>
          </cell>
        </row>
        <row r="1906">
          <cell r="A1906" t="str">
            <v>BOM-TTECH-100HP-N4X</v>
          </cell>
          <cell r="B1906" t="str">
            <v>CONT. TORNA TECH GPY 100 HP NEMA 4X</v>
          </cell>
        </row>
        <row r="1907">
          <cell r="A1907" t="str">
            <v>BOMVALIBAIR2</v>
          </cell>
          <cell r="B1907" t="str">
            <v>VALV. VENTEO AIRE 2 PULG. MOD 33A CLA-VAL</v>
          </cell>
        </row>
        <row r="1908">
          <cell r="A1908" t="str">
            <v>BOMVALIBAIRE3/4</v>
          </cell>
          <cell r="B1908" t="str">
            <v>VAL. VENTEO AIRE 3/4 MOD. 34L (3410-AR116) CLAVAL</v>
          </cell>
        </row>
        <row r="1909">
          <cell r="A1909" t="str">
            <v>BOMVALIBAIREE0M</v>
          </cell>
          <cell r="B1909" t="str">
            <v>VAL. VENTEO AIRE 1/2 MOD. 34L (3410-AR116) CLAVAL</v>
          </cell>
        </row>
        <row r="1910">
          <cell r="A1910" t="str">
            <v>BOM-VALIBAIRE-EXPO</v>
          </cell>
          <cell r="B1910" t="str">
            <v>VAL. VENTEO AIRE 1/2 MOD. 34L (3450-AR116) CLAVAL EXPO</v>
          </cell>
        </row>
        <row r="1911">
          <cell r="A1911" t="str">
            <v>BOMVALRECIRCU05</v>
          </cell>
          <cell r="B1911" t="str">
            <v>VALVULA DE RECIRCULACION 1/2</v>
          </cell>
        </row>
        <row r="1912">
          <cell r="A1912" t="str">
            <v>BOM-VERTICAL-GR16C-3</v>
          </cell>
          <cell r="B1912" t="str">
            <v>BOMBA PRINCIPAL VERTICAL GR16C 3 ETAPAS</v>
          </cell>
        </row>
        <row r="1913">
          <cell r="A1913" t="str">
            <v>BOM-VERTICAL-GT12C/5</v>
          </cell>
          <cell r="B1913" t="str">
            <v>BOMBA PRINCIPAL VERTICAL GT12C/5</v>
          </cell>
        </row>
        <row r="1914">
          <cell r="A1914" t="str">
            <v>BOM-VERTICAL-GT12C/8</v>
          </cell>
          <cell r="B1914" t="str">
            <v>BOMBA PRINCIPAL VERTICAL GT12C/8</v>
          </cell>
        </row>
        <row r="1915">
          <cell r="A1915" t="str">
            <v>BOMVISTERYDIAGN</v>
          </cell>
          <cell r="B1915" t="str">
            <v xml:space="preserve">VISITA TERRENO Y DIAGNOSTICO </v>
          </cell>
        </row>
        <row r="1916">
          <cell r="A1916" t="str">
            <v>BOM-WAEMKA4</v>
          </cell>
          <cell r="B1916" t="str">
            <v>KEY TO CABINET</v>
          </cell>
        </row>
        <row r="1917">
          <cell r="A1917" t="str">
            <v>CAA-53SCH400001</v>
          </cell>
          <cell r="B1917" t="str">
            <v xml:space="preserve">CANERIA ASTM A-53  1  SCH40 </v>
          </cell>
        </row>
        <row r="1918">
          <cell r="A1918" t="str">
            <v>CAA-53SCH400002</v>
          </cell>
          <cell r="B1918" t="str">
            <v xml:space="preserve">CANERIA ASTM A-53  2  SCH40 </v>
          </cell>
        </row>
        <row r="1919">
          <cell r="A1919" t="str">
            <v>CAA-53SCH400002.1/2</v>
          </cell>
          <cell r="B1919" t="str">
            <v xml:space="preserve">CANERIA ASTM A-53  2.1/2  SCH40 </v>
          </cell>
        </row>
        <row r="1920">
          <cell r="A1920" t="str">
            <v>CAA-53SCH400003</v>
          </cell>
          <cell r="B1920" t="str">
            <v xml:space="preserve">CANERIA ASTM A-53  3  SCH40 </v>
          </cell>
        </row>
        <row r="1921">
          <cell r="A1921" t="str">
            <v>CAA-53SCH400004</v>
          </cell>
          <cell r="B1921" t="str">
            <v xml:space="preserve">CANERIA ASTM A-53  4  SCH40 </v>
          </cell>
        </row>
        <row r="1922">
          <cell r="A1922" t="str">
            <v>CAA-53SCH400006</v>
          </cell>
          <cell r="B1922" t="str">
            <v xml:space="preserve">CANERIA ASTM A-53  6  SCH40 </v>
          </cell>
        </row>
        <row r="1923">
          <cell r="A1923" t="str">
            <v>CAA-53SCH400008</v>
          </cell>
          <cell r="B1923" t="str">
            <v xml:space="preserve">CANERIA ASTM A-53  8  SCH40 </v>
          </cell>
        </row>
        <row r="1924">
          <cell r="A1924" t="str">
            <v>CAA53SCH4000125</v>
          </cell>
          <cell r="B1924" t="str">
            <v xml:space="preserve">CANERIA ASTM A-53  1.1/4  SCH40 </v>
          </cell>
        </row>
        <row r="1925">
          <cell r="A1925" t="str">
            <v>CAA-53SCH400015</v>
          </cell>
          <cell r="B1925" t="str">
            <v xml:space="preserve">CANERIA ASTM A-53  1.1/2   SCH40 </v>
          </cell>
        </row>
        <row r="1926">
          <cell r="A1926" t="str">
            <v>CAA-79500002-00</v>
          </cell>
          <cell r="B1926" t="str">
            <v>CANERIA ASTM A-795  2  SCH10</v>
          </cell>
        </row>
        <row r="1927">
          <cell r="A1927" t="str">
            <v>CAA-79500003-00</v>
          </cell>
          <cell r="B1927" t="str">
            <v>CANERIA ASTM A-795  3  SCH10</v>
          </cell>
        </row>
        <row r="1928">
          <cell r="A1928" t="str">
            <v>CAA-79500004-00</v>
          </cell>
          <cell r="B1928" t="str">
            <v>CANERIA ASTM A-795  4  SCH10</v>
          </cell>
        </row>
        <row r="1929">
          <cell r="A1929" t="str">
            <v>CAA-79500006-00</v>
          </cell>
          <cell r="B1929" t="str">
            <v>CANERIA ASTM A-795  6  SCH10</v>
          </cell>
        </row>
        <row r="1930">
          <cell r="A1930" t="str">
            <v>CAA-79500008-00</v>
          </cell>
          <cell r="B1930" t="str">
            <v>CANERIA ASTM A-795  8  SCH10</v>
          </cell>
        </row>
        <row r="1931">
          <cell r="A1931" t="str">
            <v>CAA-79500025-00</v>
          </cell>
          <cell r="B1931" t="str">
            <v>CANERIA ASTM A-795  2.1/2  SCH10</v>
          </cell>
        </row>
        <row r="1932">
          <cell r="A1932" t="str">
            <v>CAMBIODIRECCION</v>
          </cell>
          <cell r="B1932" t="str">
            <v xml:space="preserve">CAMBIO DE DIRECCION </v>
          </cell>
        </row>
        <row r="1933">
          <cell r="A1933" t="str">
            <v>CAN SCH10 5.8 02 NEG</v>
          </cell>
          <cell r="B1933" t="str">
            <v>CAÑ SCH10 2 (5.8 mt) Ext. Ran Pint UL/FM Ral 3000</v>
          </cell>
        </row>
        <row r="1934">
          <cell r="A1934" t="str">
            <v>CAN SCH10 5.8 02 NEG</v>
          </cell>
          <cell r="B1934" t="str">
            <v>CAÑ SCH10 2 (5.8 mt) Ext. Ran Pint UL/FM Ral 3000</v>
          </cell>
        </row>
        <row r="1935">
          <cell r="A1935" t="str">
            <v>CAN SCH10 5.8 02 NEG</v>
          </cell>
          <cell r="B1935" t="str">
            <v>CAÑ SCH10 2 (5.8 mt) Ext. Ran Pint UL/FM Ral 3000</v>
          </cell>
        </row>
        <row r="1936">
          <cell r="A1936" t="str">
            <v>CAN SCH10 5.8 02 NEG</v>
          </cell>
          <cell r="B1936" t="str">
            <v>CAÑ SCH10 2 (5.8 mt) Ext. Ran Pint UL/FM Ral 3000</v>
          </cell>
        </row>
        <row r="1937">
          <cell r="A1937" t="str">
            <v>CAN SCH10 5.8 02 PIN</v>
          </cell>
          <cell r="B1937" t="str">
            <v>CAÑ SCH10 2 (5.8 mt) Ext. Ran Pint UL/FM</v>
          </cell>
        </row>
        <row r="1938">
          <cell r="A1938" t="str">
            <v>CAN SCH10 5.8 02 PIN</v>
          </cell>
          <cell r="B1938" t="str">
            <v>CAÑ SCH10 2 (5.8 mt) Ext. Ran Pint UL/FM</v>
          </cell>
        </row>
        <row r="1939">
          <cell r="A1939" t="str">
            <v>CAN SCH10 5.8 03 NEG</v>
          </cell>
          <cell r="B1939" t="str">
            <v>CAÑ SCH10 3 (5.8 mt) Ext. Ran Pint UL/FM Ral 3000</v>
          </cell>
        </row>
        <row r="1940">
          <cell r="A1940" t="str">
            <v>CAN SCH10 5.8 03 NEG</v>
          </cell>
          <cell r="B1940" t="str">
            <v>CAÑ SCH10 3 (5.8 mt) Ext. Ran Pint UL/FM Ral 3000</v>
          </cell>
        </row>
        <row r="1941">
          <cell r="A1941" t="str">
            <v>CAN SCH10 5.8 03 NEG</v>
          </cell>
          <cell r="B1941" t="str">
            <v>CAÑ SCH10 3 (5.8 mt) Ext. Ran Pint UL/FM Ral 3000</v>
          </cell>
        </row>
        <row r="1942">
          <cell r="A1942" t="str">
            <v>CAN SCH10 5.8 03 PIN</v>
          </cell>
          <cell r="B1942" t="str">
            <v>CAÑ SCH10 3 (5.8 mt) Ext. Ran Pint UL/FM</v>
          </cell>
        </row>
        <row r="1943">
          <cell r="A1943" t="str">
            <v>CAN SCH10 5.8 03 PIN</v>
          </cell>
          <cell r="B1943" t="str">
            <v>CAÑ SCH10 3 (5.8 mt) Ext. Ran Pint UL/FM</v>
          </cell>
        </row>
        <row r="1944">
          <cell r="A1944" t="str">
            <v>CAN SCH10 5.8 03 PIN</v>
          </cell>
          <cell r="B1944" t="str">
            <v>CAÑ SCH10 3 (5.8 mt) Ext. Ran Pint UL/FM</v>
          </cell>
        </row>
        <row r="1945">
          <cell r="A1945" t="str">
            <v>CAN SCH10 5.8 04 NEG</v>
          </cell>
          <cell r="B1945" t="str">
            <v>CAÑ SCH10 4 (5.8 mt) Ext. Ran Neg UL/FM RAL3000</v>
          </cell>
        </row>
        <row r="1946">
          <cell r="A1946" t="str">
            <v>CAN SCH10 5.8 04 PIN</v>
          </cell>
          <cell r="B1946" t="str">
            <v>CAÑ SCH10 4 (5.8 mt) Ext. Ran Pint UL/FM</v>
          </cell>
        </row>
        <row r="1947">
          <cell r="A1947" t="str">
            <v>CAN SCH10 5.8 04 PIN</v>
          </cell>
          <cell r="B1947" t="str">
            <v>CAÑ SCH10 4 (5.8 mt) Ext. Ran Pint UL/FM</v>
          </cell>
        </row>
        <row r="1948">
          <cell r="A1948" t="str">
            <v>CAN SCH10 5.8 04 PIN</v>
          </cell>
          <cell r="B1948" t="str">
            <v>CAÑ SCH10 4 (5.8 mt) Ext. Ran Pint UL/FM</v>
          </cell>
        </row>
        <row r="1949">
          <cell r="A1949" t="str">
            <v>CAN SCH10 5.8 06 NEG</v>
          </cell>
          <cell r="B1949" t="str">
            <v>CAÑ SCH10 6 (5.8 mt) Ext. Ran Negr UL/FM</v>
          </cell>
        </row>
        <row r="1950">
          <cell r="A1950" t="str">
            <v>CAN SCH10 5.8 06 PIN</v>
          </cell>
          <cell r="B1950" t="str">
            <v>CAÑ SCH10 6 (5.8 mt) Ext. Ran Pint UL/FM</v>
          </cell>
        </row>
        <row r="1951">
          <cell r="A1951" t="str">
            <v>CAN SCH10 5.8 06 PIN</v>
          </cell>
          <cell r="B1951" t="str">
            <v>CAÑ SCH10 6 (5.8 mt) Ext. Ran Pint UL/FM</v>
          </cell>
        </row>
        <row r="1952">
          <cell r="A1952" t="str">
            <v>CAN SCH10 5.8 06 PIN</v>
          </cell>
          <cell r="B1952" t="str">
            <v>CAÑ SCH10 6 (5.8 mt) Ext. Ran Pint UL/FM</v>
          </cell>
        </row>
        <row r="1953">
          <cell r="A1953" t="str">
            <v>CAN SCH10 5.8 08 NEG</v>
          </cell>
          <cell r="B1953" t="str">
            <v>CAÑ SCH10 8 (5.8 mt) Ext. Ran Negr UL/FM</v>
          </cell>
        </row>
        <row r="1954">
          <cell r="A1954" t="str">
            <v>CAN SCH10 5.8 08 PIN</v>
          </cell>
          <cell r="B1954" t="str">
            <v>CAÑ SCH10 8 (5.8 mt) Ext. Ran Pint UL/FM</v>
          </cell>
        </row>
        <row r="1955">
          <cell r="A1955" t="str">
            <v>CAN SCH10 5.8 08 PIN</v>
          </cell>
          <cell r="B1955" t="str">
            <v>CAÑ SCH10 8 (5.8 mt) Ext. Ran Pint UL/FM</v>
          </cell>
        </row>
        <row r="1956">
          <cell r="A1956" t="str">
            <v>CAN SCH10 5.8 08 PIN</v>
          </cell>
          <cell r="B1956" t="str">
            <v>CAÑ SCH10 8 (5.8 mt) Ext. Ran Pint UL/FM</v>
          </cell>
        </row>
        <row r="1957">
          <cell r="A1957" t="str">
            <v>CAN SCH10 5.8 1C PIN</v>
          </cell>
          <cell r="B1957" t="str">
            <v>CAÑ SCH10 1 1/4 (5.8 mt) Ext. RAN Pint UL/FM</v>
          </cell>
        </row>
        <row r="1958">
          <cell r="A1958" t="str">
            <v>CAN SCH10 5.8 1C PIN</v>
          </cell>
          <cell r="B1958" t="str">
            <v>CAÑ SCH10 1 1/4 (5.8 mt) Ext. RAN Pint UL/FM</v>
          </cell>
        </row>
        <row r="1959">
          <cell r="A1959" t="str">
            <v>CAN SCH10 5.8 1M PIN</v>
          </cell>
          <cell r="B1959" t="str">
            <v>CAÑ SCH10 1 1/2 (5.8 mt) Ext. RAN Pint UL/FM</v>
          </cell>
        </row>
        <row r="1960">
          <cell r="A1960" t="str">
            <v>CAN SCH10 5.8 1M PIN</v>
          </cell>
          <cell r="B1960" t="str">
            <v>CAÑ SCH10 1 1/2 (5.8 mt) Ext. RAN Pint UL/FM</v>
          </cell>
        </row>
        <row r="1961">
          <cell r="A1961" t="str">
            <v>CAN SCH10 5.8 2M NEG</v>
          </cell>
          <cell r="B1961" t="str">
            <v>CAÑ SCH10 2 1/2 (5.8 mt Ext. Ran Neg UL/FM</v>
          </cell>
        </row>
        <row r="1962">
          <cell r="A1962" t="str">
            <v>CAN SCH10 5.8 2M NEG</v>
          </cell>
          <cell r="B1962" t="str">
            <v>CAÑ SCH10 2 1/2 (5.8 mt Ext. Ran Neg UL/FM</v>
          </cell>
        </row>
        <row r="1963">
          <cell r="A1963" t="str">
            <v>CAN SCH10 5.8 2M PIN</v>
          </cell>
          <cell r="B1963" t="str">
            <v>CAÑ SCH10 2 1/2 (5.8 mt) Ext.Ran Pint UL/FM</v>
          </cell>
        </row>
        <row r="1964">
          <cell r="A1964" t="str">
            <v>CAN SCH10 5.8 2M PIN</v>
          </cell>
          <cell r="B1964" t="str">
            <v>CAÑ SCH10 2 1/2 (5.8 mt) Ext.Ran Pint UL/FM</v>
          </cell>
        </row>
        <row r="1965">
          <cell r="A1965" t="str">
            <v>CAN SCH10 5.8 2M PIN</v>
          </cell>
          <cell r="B1965" t="str">
            <v>CAÑ SCH10 2 1/2 (5.8 mt) Ext.Ran Pint UL/FM</v>
          </cell>
        </row>
        <row r="1966">
          <cell r="A1966" t="str">
            <v>CAN SCH40 5.8 01 PIN</v>
          </cell>
          <cell r="B1966" t="str">
            <v>CAÑ SCH40 1 (5.8 mt) Ext. Hilo Pint UL/FM</v>
          </cell>
        </row>
        <row r="1967">
          <cell r="A1967" t="str">
            <v>CAN SCH40 5.8 01 PIN</v>
          </cell>
          <cell r="B1967" t="str">
            <v>CAÑ SCH40 1 (5.8 mt) Ext. Hilo Pint UL/FM</v>
          </cell>
        </row>
        <row r="1968">
          <cell r="A1968" t="str">
            <v>CAN SCH40 5.8 02 PIN</v>
          </cell>
          <cell r="B1968" t="str">
            <v>CAÑ SCH40 2 (5.8 mt) Ext. Lisos Pint UL/FM</v>
          </cell>
        </row>
        <row r="1969">
          <cell r="A1969" t="str">
            <v>CAN SCH40 5.8 02 PIN</v>
          </cell>
          <cell r="B1969" t="str">
            <v>CAÑ SCH40 2 (5.8 mt) Ext. Lisos Pint UL/FM</v>
          </cell>
        </row>
        <row r="1970">
          <cell r="A1970" t="str">
            <v>CAN SCH40 5.8 02 PIN</v>
          </cell>
          <cell r="B1970" t="str">
            <v>CAÑ SCH40 2 (5.8 mt) Ext. Lisos Pint UL/FM</v>
          </cell>
        </row>
        <row r="1971">
          <cell r="A1971" t="str">
            <v>CAN SCH40 5.8 03 PIN</v>
          </cell>
          <cell r="B1971" t="str">
            <v>CAÑ SCH40 3 (5.8 mt) Ext. Ran Pint UL/FM</v>
          </cell>
        </row>
        <row r="1972">
          <cell r="A1972" t="str">
            <v>CAN SCH40 5.8 03 PIN</v>
          </cell>
          <cell r="B1972" t="str">
            <v>CAÑ SCH40 3 (5.8 mt) Ext. Ran Pint UL/FM</v>
          </cell>
        </row>
        <row r="1973">
          <cell r="A1973" t="str">
            <v>CAN SCH40 5.8 03 PIN</v>
          </cell>
          <cell r="B1973" t="str">
            <v>CAÑ SCH40 3 (5.8 mt) Ext. Ran Pint UL/FM</v>
          </cell>
        </row>
        <row r="1974">
          <cell r="A1974" t="str">
            <v>CAN SCH40 5.8 04 PIN</v>
          </cell>
          <cell r="B1974" t="str">
            <v>CAÑ SCH40 4 (5.8 mt) Ext. Ran Pint UL/FM</v>
          </cell>
        </row>
        <row r="1975">
          <cell r="A1975" t="str">
            <v>CAN SCH40 5.8 04 PIN</v>
          </cell>
          <cell r="B1975" t="str">
            <v>CAÑ SCH40 4 (5.8 mt) Ext. Ran Pint UL/FM</v>
          </cell>
        </row>
        <row r="1976">
          <cell r="A1976" t="str">
            <v>CAN SCH40 5.8 06 PIN</v>
          </cell>
          <cell r="B1976" t="str">
            <v>CAÑ SCH40 6 (5.8 mt) Ext. Ran Pint UL/FM</v>
          </cell>
        </row>
        <row r="1977">
          <cell r="A1977" t="str">
            <v>CAN SCH40 5.8 06 PIN</v>
          </cell>
          <cell r="B1977" t="str">
            <v>CAÑ SCH40 6 (5.8 mt) Ext. Ran Pint UL/FM</v>
          </cell>
        </row>
        <row r="1978">
          <cell r="A1978" t="str">
            <v>CAN SCH40 5.8 08 PIN</v>
          </cell>
          <cell r="B1978" t="str">
            <v>CAÑ SCH40 8 (5.8 mt) Ext. Ran Pint UL/FM</v>
          </cell>
        </row>
        <row r="1979">
          <cell r="A1979" t="str">
            <v>CAN SCH40 5.8 08 PIN</v>
          </cell>
          <cell r="B1979" t="str">
            <v>CAÑ SCH40 8 (5.8 mt) Ext. Ran Pint UL/FM</v>
          </cell>
        </row>
        <row r="1980">
          <cell r="A1980" t="str">
            <v>CAN SCH40 5.8 08 PIN</v>
          </cell>
          <cell r="B1980" t="str">
            <v>CAÑ SCH40 8 (5.8 mt) Ext. Ran Pint UL/FM</v>
          </cell>
        </row>
        <row r="1981">
          <cell r="A1981" t="str">
            <v>CAN SCH40 5.8 1C PIN</v>
          </cell>
          <cell r="B1981" t="str">
            <v>CAÑ SCH40 1 1/4 (5.8 mt) Ext. Hilo Pint UL/FM</v>
          </cell>
        </row>
        <row r="1982">
          <cell r="A1982" t="str">
            <v>CAN SCH40 5.8 1C PIN</v>
          </cell>
          <cell r="B1982" t="str">
            <v>CAÑ SCH40 1 1/4 (5.8 mt) Ext. Hilo Pint UL/FM</v>
          </cell>
        </row>
        <row r="1983">
          <cell r="A1983" t="str">
            <v>CAN SCH40 5.8 1M PIN</v>
          </cell>
          <cell r="B1983" t="str">
            <v>CAÑ SCH40 1 1/2 (5.8 mt) Ext. Hilo Pint UL/FM</v>
          </cell>
        </row>
        <row r="1984">
          <cell r="A1984" t="str">
            <v>CAN SCH40 5.8 1M PIN</v>
          </cell>
          <cell r="B1984" t="str">
            <v>CAÑ SCH40 1 1/2 (5.8 mt) Ext. Hilo Pint UL/FM</v>
          </cell>
        </row>
        <row r="1985">
          <cell r="A1985" t="str">
            <v>CAN SCH40 5.8 2M PIN</v>
          </cell>
          <cell r="B1985" t="str">
            <v>CAÑ SCH40 2 1/2 (5.8 mt) Ext. Ran Pint UL/FM</v>
          </cell>
        </row>
        <row r="1986">
          <cell r="A1986" t="str">
            <v>CAN SCH40 5.8 2M PIN</v>
          </cell>
          <cell r="B1986" t="str">
            <v>CAÑ SCH40 2 1/2 (5.8 mt) Ext. Ran Pint UL/FM</v>
          </cell>
        </row>
        <row r="1987">
          <cell r="A1987" t="str">
            <v>CAN/PA-53-0001-00</v>
          </cell>
          <cell r="B1987" t="str">
            <v>CAÑERIAS A-53 SCH 40 1 (6.0 MTS) HILADA</v>
          </cell>
        </row>
        <row r="1988">
          <cell r="A1988" t="str">
            <v>CAN/PA-53-0002-00</v>
          </cell>
          <cell r="B1988" t="str">
            <v>CAÑERIAS A-53 SCH 40 2 (6 MTS) EXT. LISOS</v>
          </cell>
        </row>
        <row r="1989">
          <cell r="A1989" t="str">
            <v>CAN/PA-53-0003-00</v>
          </cell>
          <cell r="B1989" t="str">
            <v>CAÑERIAS A-53 SCH 40 3 (6 MTS) EXT. RANURADA</v>
          </cell>
        </row>
        <row r="1990">
          <cell r="A1990" t="str">
            <v>CAN/PA-53-0004-00</v>
          </cell>
          <cell r="B1990" t="str">
            <v>CAÑERIAS A-53 SCH 40 4 (6 MTS) EXT. RANURADA</v>
          </cell>
        </row>
        <row r="1991">
          <cell r="A1991" t="str">
            <v>CAN/PA-53-0006-00</v>
          </cell>
          <cell r="B1991" t="str">
            <v>CAÑERIAS A-53 SCH 40 6 (6 MTS) EXT.RANURADOS</v>
          </cell>
        </row>
        <row r="1992">
          <cell r="A1992" t="str">
            <v>CAN/PA-53-0008-00</v>
          </cell>
          <cell r="B1992" t="str">
            <v>CAÑERIAS A-53 SCH 40 8 (6 MTS) EXT.RANURADOS</v>
          </cell>
        </row>
        <row r="1993">
          <cell r="A1993" t="str">
            <v>CAN/PA-53-0008-00</v>
          </cell>
          <cell r="B1993" t="str">
            <v>CAÑERIAS A-53 SCH 40 8 (6 MTS) EXT.RANURADOS</v>
          </cell>
        </row>
        <row r="1994">
          <cell r="A1994" t="str">
            <v>CAN/PA-53-001.25-00</v>
          </cell>
          <cell r="B1994" t="str">
            <v>CAÑERIAS A-53 SCH 40 1 1/4 (6 MTS) HILADA</v>
          </cell>
        </row>
        <row r="1995">
          <cell r="A1995" t="str">
            <v>CAN/PA-53-001.5-00</v>
          </cell>
          <cell r="B1995" t="str">
            <v>CAÑERIAS A-53 SCH 40 1 1/2 (6 MTS) HILADA</v>
          </cell>
        </row>
        <row r="1996">
          <cell r="A1996" t="str">
            <v>CAN/PA-53-002.5-00</v>
          </cell>
          <cell r="B1996" t="str">
            <v>CAÑERIAS A-53 SCH 40 2 1/2 (6 MTS)</v>
          </cell>
        </row>
        <row r="1997">
          <cell r="A1997" t="str">
            <v>CAN/PA-53-01/2-00</v>
          </cell>
          <cell r="B1997" t="str">
            <v>CAÑERIAS A-53 SCH 40 1/2 (6 MTS)</v>
          </cell>
        </row>
        <row r="1998">
          <cell r="A1998" t="str">
            <v>CAN/PA-53-03/4-00</v>
          </cell>
          <cell r="B1998" t="str">
            <v>CAÑERIAS A-53 SCH 40 3/4 (6 MTS)</v>
          </cell>
        </row>
        <row r="1999">
          <cell r="A1999" t="str">
            <v>CAN/P-A53-5.8-001-00</v>
          </cell>
          <cell r="B1999" t="str">
            <v>CAÑERIAS A-53 SCH 40 1 (5.8 MTS) Ext. Hilados</v>
          </cell>
        </row>
        <row r="2000">
          <cell r="A2000" t="str">
            <v>CAN/P-A53-5.8-002-00</v>
          </cell>
          <cell r="B2000" t="str">
            <v>CAÑERIAS A-53 SCH 40 2 (5.8 MTS)</v>
          </cell>
        </row>
        <row r="2001">
          <cell r="A2001" t="str">
            <v>CAN/P-A53-5.8-003-00</v>
          </cell>
          <cell r="B2001" t="str">
            <v>CAÑERIAS A-53 SCH 40 3 (5.8 MTS)</v>
          </cell>
        </row>
        <row r="2002">
          <cell r="A2002" t="str">
            <v>CAN/P-A53-5.8-004-00</v>
          </cell>
          <cell r="B2002" t="str">
            <v>CAÑERIAS A-53 SCH 40 4 (5.8 MTS)</v>
          </cell>
        </row>
        <row r="2003">
          <cell r="A2003" t="str">
            <v>CAN/P-A53-5.8-006-00</v>
          </cell>
          <cell r="B2003" t="str">
            <v>CAÑERIAS A-53 SCH 40 6 (5.8 MTS) Ext. Lisos</v>
          </cell>
        </row>
        <row r="2004">
          <cell r="A2004" t="str">
            <v>CAN/P-A53-5.8-008-00</v>
          </cell>
          <cell r="B2004" t="str">
            <v>CAÑERIAS A-53 SCH 40 8 (5.8 MTS) Ext. Lisos</v>
          </cell>
        </row>
        <row r="2005">
          <cell r="A2005" t="str">
            <v>CAN/P-A53-5.8-008-00</v>
          </cell>
          <cell r="B2005" t="str">
            <v>CAÑERIAS A-53 SCH 40 8 (5.8 MTS) Ext. Lisos</v>
          </cell>
        </row>
        <row r="2006">
          <cell r="A2006" t="str">
            <v>CAN/P-A53-5.8-008-00</v>
          </cell>
          <cell r="B2006" t="str">
            <v>CAÑERIAS A-53 SCH 40 8 (5.8 MTS) Ext. Lisos</v>
          </cell>
        </row>
        <row r="2007">
          <cell r="A2007" t="str">
            <v>CAN/P-A53-5.8-010-00</v>
          </cell>
          <cell r="B2007" t="str">
            <v>CAÑERIAS A-53 SCH 40 10 (6.0 MTS) Ext. Lisos</v>
          </cell>
        </row>
        <row r="2008">
          <cell r="A2008" t="str">
            <v>CAN/P-A53-5.8-010-00</v>
          </cell>
          <cell r="B2008" t="str">
            <v>CAÑERIAS A-53 SCH 40 10 (6.0 MTS) Ext. Lisos</v>
          </cell>
        </row>
        <row r="2009">
          <cell r="A2009" t="str">
            <v>CAN/P-A53-5.8-1.25-0</v>
          </cell>
          <cell r="B2009" t="str">
            <v>CAÑERIAS A-53 SCH 40 1 1/4 (5.8 MTS) Ext. Hilados</v>
          </cell>
        </row>
        <row r="2010">
          <cell r="A2010" t="str">
            <v>CAN/P-A53-5.8-1.5-00</v>
          </cell>
          <cell r="B2010" t="str">
            <v>CAÑERIAS A-53 SCH 40 1 1/2 (5.8 MTS) Ext. Hilados</v>
          </cell>
        </row>
        <row r="2011">
          <cell r="A2011" t="str">
            <v>CAN/P-A53-5.8-2.5-00</v>
          </cell>
          <cell r="B2011" t="str">
            <v>CAÑERIAS A-53 SCH 40 2 1/2 (5.8 MTS) Ext. Lisos</v>
          </cell>
        </row>
        <row r="2012">
          <cell r="A2012" t="str">
            <v>CAN/PA-795-0002-00</v>
          </cell>
          <cell r="B2012" t="str">
            <v>CAÑERIA A-795 SCH10 2 (5,8 MTS) Ext. Ranurados</v>
          </cell>
        </row>
        <row r="2013">
          <cell r="A2013" t="str">
            <v>CAN/PA-795-00025-00</v>
          </cell>
          <cell r="B2013" t="str">
            <v>CAÑERIA A-795 SCH10 2 1/2 (5,8 MTS) Ext. Ranurados</v>
          </cell>
        </row>
        <row r="2014">
          <cell r="A2014" t="str">
            <v>CAN/PA-795-0003-00</v>
          </cell>
          <cell r="B2014" t="str">
            <v>CAÑERIA A-795 SCH10 3  (5,8 MTS) Ext. Ranurados</v>
          </cell>
        </row>
        <row r="2015">
          <cell r="A2015" t="str">
            <v>CAN/PA-795-0003-00</v>
          </cell>
          <cell r="B2015" t="str">
            <v>CAÑERIA A-795 SCH10 3  (5,8 MTS) Ext. Ranurados</v>
          </cell>
        </row>
        <row r="2016">
          <cell r="A2016" t="str">
            <v>CAN/PA-795-0004-00</v>
          </cell>
          <cell r="B2016" t="str">
            <v>CAÑERIA A-795 SCH10 4 (5,8 MTS) Ext. Ranurados</v>
          </cell>
        </row>
        <row r="2017">
          <cell r="A2017" t="str">
            <v>CAN/PA-795-0006-00</v>
          </cell>
          <cell r="B2017" t="str">
            <v>CAÑERIA A-795 SCH10 6 (5,8 MTS) EXT. RANURADO</v>
          </cell>
        </row>
        <row r="2018">
          <cell r="A2018" t="str">
            <v>CAN/PA-795-0006-00</v>
          </cell>
          <cell r="B2018" t="str">
            <v>CAÑERIA A-795 SCH10 6 (5,8 MTS) EXT. RANURADO</v>
          </cell>
        </row>
        <row r="2019">
          <cell r="A2019" t="str">
            <v>CAN/PA-795-0008-00</v>
          </cell>
          <cell r="B2019" t="str">
            <v>CAÑERIA A-795 SCH10 8 (5,8 MTS) Ext. Ranurados</v>
          </cell>
        </row>
        <row r="2020">
          <cell r="A2020" t="str">
            <v>CAN/PA-795-01.25-00</v>
          </cell>
          <cell r="B2020" t="str">
            <v>CAÑERIA A-795 SCH10 1 1/4 (5,8 MTS) Ext. Ranurados</v>
          </cell>
        </row>
        <row r="2021">
          <cell r="A2021" t="str">
            <v>CAN/PA-795-01.50-00</v>
          </cell>
          <cell r="B2021" t="str">
            <v>CAÑERIA A-795 SCH10 1 1/2 (5,8 MTS) Pint Ext. Ran Ral 3000</v>
          </cell>
        </row>
        <row r="2022">
          <cell r="A2022" t="str">
            <v>CAN/PA-795-01.50-00</v>
          </cell>
          <cell r="B2022" t="str">
            <v>CAÑERIA A-795 SCH10 1 1/2 (5,8 MTS) Pint Ext. Ran Ral 3000</v>
          </cell>
        </row>
        <row r="2023">
          <cell r="A2023" t="str">
            <v>CANGALV-SCH40-01-PIN</v>
          </cell>
          <cell r="B2023" t="str">
            <v>CAÑ GALV SCH40 1 (6 mt) Ext. Hilados Pint UL/FM</v>
          </cell>
        </row>
        <row r="2024">
          <cell r="A2024" t="str">
            <v>CANGALV-SCH40-01-PIN</v>
          </cell>
          <cell r="B2024" t="str">
            <v>CAÑ GALV SCH40 1 (6 mt) Ext. Hilados Pint UL/FM</v>
          </cell>
        </row>
        <row r="2025">
          <cell r="A2025" t="str">
            <v>CANGALV-SCH40-02-PIN</v>
          </cell>
          <cell r="B2025" t="str">
            <v>CAÑ GALV SCH40 2 (6 mt) Ext. Ran Pint UL/FM</v>
          </cell>
        </row>
        <row r="2026">
          <cell r="A2026" t="str">
            <v>CANGALV-SCH40-02-PIN</v>
          </cell>
          <cell r="B2026" t="str">
            <v>CAÑ GALV SCH40 2 (6 mt) Ext. Ran Pint UL/FM</v>
          </cell>
        </row>
        <row r="2027">
          <cell r="A2027" t="str">
            <v>CANGALV-SCH40-03-PIN</v>
          </cell>
          <cell r="B2027" t="str">
            <v>CAÑ GALV SCH40 3 (6 mt) Ext. Ran Pint UL/FM</v>
          </cell>
        </row>
        <row r="2028">
          <cell r="A2028" t="str">
            <v>CANGALV-SCH40-03-PIN</v>
          </cell>
          <cell r="B2028" t="str">
            <v>CAÑ GALV SCH40 3 (6 mt) Ext. Ran Pint UL/FM</v>
          </cell>
        </row>
        <row r="2029">
          <cell r="A2029" t="str">
            <v>CANGALV-SCH40-04-PIN</v>
          </cell>
          <cell r="B2029" t="str">
            <v>CAÑ GALV SCH40 4 (6 mt) Ext. Ran Pint UL/FM</v>
          </cell>
        </row>
        <row r="2030">
          <cell r="A2030" t="str">
            <v>CANGALV-SCH40-04-PIN</v>
          </cell>
          <cell r="B2030" t="str">
            <v>CAÑ GALV SCH40 4 (6 mt) Ext. Ran Pint UL/FM</v>
          </cell>
        </row>
        <row r="2031">
          <cell r="A2031" t="str">
            <v>CANGALV-SCH40-06-PIN</v>
          </cell>
          <cell r="B2031" t="str">
            <v>CAÑ GALV SCH40 6 (6 mt) Ext. Ran Pint UL/FM</v>
          </cell>
        </row>
        <row r="2032">
          <cell r="A2032" t="str">
            <v>CANGALV-SCH40-06-PIN</v>
          </cell>
          <cell r="B2032" t="str">
            <v>CAÑ GALV SCH40 6 (6 mt) Ext. Ran Pint UL/FM</v>
          </cell>
        </row>
        <row r="2033">
          <cell r="A2033" t="str">
            <v>CANGALV-SCH40-1M-PIN</v>
          </cell>
          <cell r="B2033" t="str">
            <v>CAÑ GALV SCH40 11/2 (6 mt) Ext. Lisos Pint UL/FM</v>
          </cell>
        </row>
        <row r="2034">
          <cell r="A2034" t="str">
            <v>CANGALV-SCH40-1M-PIN</v>
          </cell>
          <cell r="B2034" t="str">
            <v>CAÑ GALV SCH40 11/2 (6 mt) Ext. Lisos Pint UL/FM</v>
          </cell>
        </row>
        <row r="2035">
          <cell r="A2035" t="str">
            <v>CAÑ-A795-0002-6.0</v>
          </cell>
          <cell r="B2035" t="str">
            <v>CAÑERIA A-795 SCH10 2 (6.0 MTS) Ext. Ranurados</v>
          </cell>
        </row>
        <row r="2036">
          <cell r="A2036" t="str">
            <v>CAÑ-A795-002.5-6.0</v>
          </cell>
          <cell r="B2036" t="str">
            <v>CAÑERIA A-795 SCH10 2 1/2 (6.0 MTS) Ext. Ranurados</v>
          </cell>
        </row>
        <row r="2037">
          <cell r="A2037" t="str">
            <v>CAÑ-A795-003-6.0</v>
          </cell>
          <cell r="B2037" t="str">
            <v>CAÑERIA A-795 SCH10 3 (6.0 MTS) Ext. Ranurados</v>
          </cell>
        </row>
        <row r="2038">
          <cell r="A2038" t="str">
            <v>CAÑ-A795-004-6.0</v>
          </cell>
          <cell r="B2038" t="str">
            <v>CAÑERIA A-795 SCH10 4 (6.0 MTS) Ext. Ranurados</v>
          </cell>
        </row>
        <row r="2039">
          <cell r="A2039" t="str">
            <v>CAÑ-A795-006-6.0</v>
          </cell>
          <cell r="B2039" t="str">
            <v>CAÑERIA A-795 SCH10 6 (6.0 MTS) Ext. Ranurados</v>
          </cell>
        </row>
        <row r="2040">
          <cell r="A2040" t="str">
            <v>CAÑ-A795-008-6.0</v>
          </cell>
          <cell r="B2040" t="str">
            <v>CAÑERIA A-795 SCH10 8 (6.0 MTS) Ext. Ranurados</v>
          </cell>
        </row>
        <row r="2041">
          <cell r="A2041" t="str">
            <v>CAÑ-A795-010-6.0</v>
          </cell>
          <cell r="B2041" t="str">
            <v>CAÑERIA A-795 SCH10 10 (6.0 MTS) Ext. Lisos</v>
          </cell>
        </row>
        <row r="2042">
          <cell r="A2042" t="str">
            <v>CAPACITACION-00</v>
          </cell>
          <cell r="B2042" t="str">
            <v xml:space="preserve">CAPACITACION </v>
          </cell>
        </row>
        <row r="2043">
          <cell r="A2043" t="str">
            <v>CAPINTA-53SCH400001</v>
          </cell>
          <cell r="B2043" t="str">
            <v>CAÑERIA PINTADA A-53 1 SCH 40 (6 MTS)</v>
          </cell>
        </row>
        <row r="2044">
          <cell r="A2044" t="str">
            <v>CAPINTA-53SCH400002</v>
          </cell>
          <cell r="B2044" t="str">
            <v>CAÑERIA PINTADA A-53 2 SCH40 (6 MTS)</v>
          </cell>
        </row>
        <row r="2045">
          <cell r="A2045" t="str">
            <v>CAPINTA53SCH400004</v>
          </cell>
          <cell r="B2045" t="str">
            <v>CAÑERIA PINTADA A-53 4 SCH40 (6 MTS)</v>
          </cell>
        </row>
        <row r="2046">
          <cell r="A2046" t="str">
            <v>CAPINTA53SCH400006</v>
          </cell>
          <cell r="B2046" t="str">
            <v>CAÑERIA PINTADA A-53 6 SCH40 (6 MTS)</v>
          </cell>
        </row>
        <row r="2047">
          <cell r="A2047" t="str">
            <v>CAPINTA53SCH400008</v>
          </cell>
          <cell r="B2047" t="str">
            <v>CAÑERIA PINTADA A-53 8 SCH40 (6 MTS)</v>
          </cell>
        </row>
        <row r="2048">
          <cell r="A2048" t="str">
            <v>CAPINTA-53SCH4000125</v>
          </cell>
          <cell r="B2048" t="str">
            <v>CAÑERIA PINTADA A-53 11/4 SCH40 (6 MTS)</v>
          </cell>
        </row>
        <row r="2049">
          <cell r="A2049" t="str">
            <v>CAPINTA-53SCH400015</v>
          </cell>
          <cell r="B2049" t="str">
            <v>CAÑERIA PINTADA A-53 11/2 SCH40 (6 MTS)</v>
          </cell>
        </row>
        <row r="2050">
          <cell r="A2050" t="str">
            <v>CAPINTA-53SCH40021/2</v>
          </cell>
          <cell r="B2050" t="str">
            <v>CAÑERIA PINTADA A-53 21/2 SCH40 (6 MTS)</v>
          </cell>
        </row>
        <row r="2051">
          <cell r="A2051" t="str">
            <v>CAPINTA79500002</v>
          </cell>
          <cell r="B2051" t="str">
            <v>CAÑERIA PINTADA A-795 2 SCH10 (5,8 MTS)</v>
          </cell>
        </row>
        <row r="2052">
          <cell r="A2052" t="str">
            <v>CAPINTA79500003</v>
          </cell>
          <cell r="B2052" t="str">
            <v>CAÑERIA PINTADA A-795 3 SCH10 (5,8 MTS)</v>
          </cell>
        </row>
        <row r="2053">
          <cell r="A2053" t="str">
            <v>CAPINTA79500004</v>
          </cell>
          <cell r="B2053" t="str">
            <v>CAÑERIA PINTADA A-795 4 SCH10 (5,8 MTS)</v>
          </cell>
        </row>
        <row r="2054">
          <cell r="A2054" t="str">
            <v>CAPINTA79500006</v>
          </cell>
          <cell r="B2054" t="str">
            <v>CAÑERIA PINTADA A-795 6 SCH10 (5,8 MTS)</v>
          </cell>
        </row>
        <row r="2055">
          <cell r="A2055" t="str">
            <v>CAPINTA79500008</v>
          </cell>
          <cell r="B2055" t="str">
            <v>CAÑERIA PINTADA A-795  8 SCH10 (5,8 MTS)</v>
          </cell>
        </row>
        <row r="2056">
          <cell r="A2056" t="str">
            <v>CAPINTA79500021/2</v>
          </cell>
          <cell r="B2056" t="str">
            <v>CAÑERIA PINTADA A-795 21/2 SCH10 (5,8 MTS)</v>
          </cell>
        </row>
        <row r="2057">
          <cell r="A2057" t="str">
            <v>CAPINTADA53SCH400003</v>
          </cell>
          <cell r="B2057" t="str">
            <v>CAÑERIA PINTADA A-53 3 SCH40 (6 MTS)</v>
          </cell>
        </row>
        <row r="2058">
          <cell r="A2058" t="str">
            <v>CERCAP-DET</v>
          </cell>
          <cell r="B2058" t="str">
            <v>CERTIFICACIÓN 4700 - KIT DEMO.</v>
          </cell>
        </row>
        <row r="2059">
          <cell r="A2059" t="str">
            <v>CHEM-20480487</v>
          </cell>
          <cell r="B2059" t="str">
            <v>REPAIR KIT GAMMA SERIES VALVE</v>
          </cell>
        </row>
        <row r="2060">
          <cell r="A2060" t="str">
            <v>CHEM-20610263</v>
          </cell>
          <cell r="B2060" t="str">
            <v>SEAT ASSEMBLY</v>
          </cell>
        </row>
        <row r="2061">
          <cell r="A2061" t="str">
            <v>CHEM-40610315</v>
          </cell>
          <cell r="B2061" t="str">
            <v>REPAIR KIT BETA SERIES</v>
          </cell>
        </row>
        <row r="2062">
          <cell r="A2062" t="str">
            <v>CHEM-40610318</v>
          </cell>
          <cell r="B2062" t="str">
            <v>REPAIR KIT FM 200 ALPHA SERIE</v>
          </cell>
        </row>
        <row r="2063">
          <cell r="A2063" t="str">
            <v>CHEM-50230458</v>
          </cell>
          <cell r="B2063" t="str">
            <v>O-RING SEAL 227</v>
          </cell>
        </row>
        <row r="2064">
          <cell r="A2064" t="str">
            <v>CHEM-50610784</v>
          </cell>
          <cell r="B2064" t="str">
            <v>WASHER</v>
          </cell>
        </row>
        <row r="2065">
          <cell r="A2065" t="str">
            <v>CHEM-70230233</v>
          </cell>
          <cell r="B2065" t="str">
            <v>O-RING</v>
          </cell>
        </row>
        <row r="2066">
          <cell r="A2066" t="str">
            <v>CHEM-70230678</v>
          </cell>
          <cell r="B2066" t="str">
            <v>O-RING</v>
          </cell>
        </row>
        <row r="2067">
          <cell r="A2067" t="str">
            <v>CHEM-70230694</v>
          </cell>
          <cell r="B2067" t="str">
            <v>O-RING</v>
          </cell>
        </row>
        <row r="2068">
          <cell r="A2068" t="str">
            <v>CHEM-70230695</v>
          </cell>
          <cell r="B2068" t="str">
            <v>O-RING</v>
          </cell>
        </row>
        <row r="2069">
          <cell r="A2069" t="str">
            <v>CHEM-70230703</v>
          </cell>
          <cell r="B2069" t="str">
            <v>O-RING</v>
          </cell>
        </row>
        <row r="2070">
          <cell r="A2070" t="str">
            <v>CHEM-70610565</v>
          </cell>
          <cell r="B2070" t="str">
            <v>BURST DISK</v>
          </cell>
        </row>
        <row r="2071">
          <cell r="A2071" t="str">
            <v>CILINDROCO2-000</v>
          </cell>
          <cell r="B2071" t="str">
            <v xml:space="preserve">CILINDRO CO2 </v>
          </cell>
        </row>
        <row r="2072">
          <cell r="A2072" t="str">
            <v>CO2-10173</v>
          </cell>
          <cell r="B2072" t="str">
            <v>VENT CHECK C02JANUS</v>
          </cell>
        </row>
        <row r="2073">
          <cell r="A2073" t="str">
            <v>CO2-18508-000</v>
          </cell>
          <cell r="B2073" t="str">
            <v>NOZZLE 360º 1/2 -  BRASS JANUS</v>
          </cell>
        </row>
        <row r="2074">
          <cell r="A2074" t="str">
            <v>CO2-18508-01285</v>
          </cell>
          <cell r="B2074" t="str">
            <v>NOZZLE 360º 1/2 - 0,1285 BRASS JANUS</v>
          </cell>
        </row>
        <row r="2075">
          <cell r="A2075" t="str">
            <v>CO2-18508-029-0</v>
          </cell>
          <cell r="B2075" t="str">
            <v>NOZZLE 360º 1/2 - 0,1360 BRASS JANUS</v>
          </cell>
        </row>
        <row r="2076">
          <cell r="A2076" t="str">
            <v>CO2-18508-034-0</v>
          </cell>
          <cell r="B2076" t="str">
            <v>NOZZLE 360º 1/2 - 0,1495 BRASS JANUS</v>
          </cell>
        </row>
        <row r="2077">
          <cell r="A2077" t="str">
            <v>CO2-18508-040-0</v>
          </cell>
          <cell r="B2077" t="str">
            <v>NOZZLE 360º 1/2 - 0,1610 BRASS JANUS</v>
          </cell>
        </row>
        <row r="2078">
          <cell r="A2078" t="str">
            <v>CO2-18508-041-0</v>
          </cell>
          <cell r="B2078" t="str">
            <v>NOZZLE 360º 1/2 - 0,1660 BRASS JANUS</v>
          </cell>
        </row>
        <row r="2079">
          <cell r="A2079" t="str">
            <v>CO2-18508-043-0</v>
          </cell>
          <cell r="B2079" t="str">
            <v>NOZZLE 360º 1/2 - 0,1719 BRASS JANUS</v>
          </cell>
        </row>
        <row r="2080">
          <cell r="A2080" t="str">
            <v>CO2-18508-044-0</v>
          </cell>
          <cell r="B2080" t="str">
            <v>NOZZLE 360º 1/2 - 0,1730 BRASS JANUS</v>
          </cell>
        </row>
        <row r="2081">
          <cell r="A2081" t="str">
            <v>CO2-18513-000</v>
          </cell>
          <cell r="B2081" t="str">
            <v>NOZZLE 360º 2  - BRASS JANUS</v>
          </cell>
        </row>
        <row r="2082">
          <cell r="A2082" t="str">
            <v>CO2-18773-00000</v>
          </cell>
          <cell r="B2082" t="str">
            <v>SWITCH DISCHARGE PRESSURE JANUS</v>
          </cell>
        </row>
        <row r="2083">
          <cell r="A2083" t="str">
            <v>CO2-19171-00000</v>
          </cell>
          <cell r="B2083" t="str">
            <v>GAUGE, PRESSURE, 1/4JANUS</v>
          </cell>
        </row>
        <row r="2084">
          <cell r="A2084" t="str">
            <v>CO2-19224-00000</v>
          </cell>
          <cell r="B2084" t="str">
            <v>SIREN, CO2, 3/8JANUS</v>
          </cell>
        </row>
        <row r="2085">
          <cell r="A2085" t="str">
            <v>CO2-19225-00000</v>
          </cell>
          <cell r="B2085" t="str">
            <v>BRACKET, T, CO2 SIREN JANUS</v>
          </cell>
        </row>
        <row r="2086">
          <cell r="A2086" t="str">
            <v>CO2-19316-00000</v>
          </cell>
          <cell r="B2086" t="str">
            <v>VALVE RELIEF 1/2JANUS</v>
          </cell>
        </row>
        <row r="2087">
          <cell r="A2087" t="str">
            <v>CO2-19318-00000</v>
          </cell>
          <cell r="B2087" t="str">
            <v>ADAPTER PIPE-AWAY 1/2JANUS</v>
          </cell>
        </row>
        <row r="2088">
          <cell r="A2088" t="str">
            <v>CO2-19465-CLO</v>
          </cell>
          <cell r="B2088" t="str">
            <v>(INACTIVO)</v>
          </cell>
        </row>
        <row r="2089">
          <cell r="A2089" t="str">
            <v>CO2-19465-CLO-00</v>
          </cell>
          <cell r="B2089" t="str">
            <v>VALVE BALL 1/2  MANUAL W/LSJANUS</v>
          </cell>
        </row>
        <row r="2090">
          <cell r="A2090" t="str">
            <v>CO2-19467-CLO-0</v>
          </cell>
          <cell r="B2090" t="str">
            <v>VALVE BALL 1MANUAL W/LS JANUS</v>
          </cell>
        </row>
        <row r="2091">
          <cell r="A2091" t="str">
            <v>CO2-19485-C00-0</v>
          </cell>
          <cell r="B2091" t="str">
            <v>VALVE BALL PNEUMATIC 1JANUS</v>
          </cell>
        </row>
        <row r="2092">
          <cell r="A2092" t="str">
            <v>CO2-19502-00000</v>
          </cell>
          <cell r="B2092" t="str">
            <v>VALVE CHECK 3/4BRASS U3 JANUS</v>
          </cell>
        </row>
        <row r="2093">
          <cell r="A2093" t="str">
            <v>CO2-19559-00000</v>
          </cell>
          <cell r="B2093" t="str">
            <v>CYLIND. ASSEMBLY 100 LB. HPCO2 JANUS</v>
          </cell>
        </row>
        <row r="2094">
          <cell r="A2094" t="str">
            <v>CO2-19560-00000</v>
          </cell>
          <cell r="B2094" t="str">
            <v>CYLIND. ASSEMBLY 75 LB. HPCO2 JANUS</v>
          </cell>
        </row>
        <row r="2095">
          <cell r="A2095" t="str">
            <v>CO2-19585-00000</v>
          </cell>
          <cell r="B2095" t="str">
            <v>VALVE KIT SOLENOID 24 VDC 1/8JANUS</v>
          </cell>
        </row>
        <row r="2096">
          <cell r="A2096" t="str">
            <v>CO2-19589-00000</v>
          </cell>
          <cell r="B2096" t="str">
            <v>ACTUATOR MANUAL HPCO2 JANUS</v>
          </cell>
        </row>
        <row r="2097">
          <cell r="A2097" t="str">
            <v>CO2-19598-00000</v>
          </cell>
          <cell r="B2097" t="str">
            <v>DEVICE HEADER SAFETY 1/2JANUS</v>
          </cell>
        </row>
        <row r="2098">
          <cell r="A2098" t="str">
            <v>CO2-19599-00000</v>
          </cell>
          <cell r="B2098" t="str">
            <v>REGULATOR HIGH PRESSURE 1/2JANUS</v>
          </cell>
        </row>
        <row r="2099">
          <cell r="A2099" t="str">
            <v>CO2-20006020</v>
          </cell>
          <cell r="B2099" t="str">
            <v>ANTIRRETORNO 1/4   MACHO - HEMBRA</v>
          </cell>
        </row>
        <row r="2100">
          <cell r="A2100" t="str">
            <v>CO2-20006054</v>
          </cell>
          <cell r="B2100" t="str">
            <v xml:space="preserve"> VALVULA RETENCION CO2 1/2   STANDARD</v>
          </cell>
        </row>
        <row r="2101">
          <cell r="A2101" t="str">
            <v>CO2-20010013</v>
          </cell>
          <cell r="B2101" t="str">
            <v>PALANCA CIERRE DIRECCIONAL</v>
          </cell>
        </row>
        <row r="2102">
          <cell r="A2102" t="str">
            <v>CO2-200CD190</v>
          </cell>
          <cell r="B2102" t="str">
            <v>MEMBRANA SEG. ESCAPE COND 190/CO2</v>
          </cell>
        </row>
        <row r="2103">
          <cell r="A2103" t="str">
            <v>CO2-30009200</v>
          </cell>
          <cell r="B2103" t="str">
            <v>ASIENTO COLECTOR (DF PARA 40/67/75/80/140L.)</v>
          </cell>
        </row>
        <row r="2104">
          <cell r="A2104" t="str">
            <v>CO2-30027301</v>
          </cell>
          <cell r="B2104" t="str">
            <v>TORNILLO DESCOMPRESION CORTO VALVULA</v>
          </cell>
        </row>
        <row r="2105">
          <cell r="A2105" t="str">
            <v>CO2-30100106</v>
          </cell>
          <cell r="B2105" t="str">
            <v>CABEZAL NEUMATICO 3 VIAS Ø 1/4  + TAPÓN CIEGO</v>
          </cell>
        </row>
        <row r="2106">
          <cell r="A2106" t="str">
            <v>CO2-30330010</v>
          </cell>
          <cell r="B2106" t="str">
            <v>CONTACTOR PASO C/ENCLAV. 1/2 (FM 501-S)</v>
          </cell>
        </row>
        <row r="2107">
          <cell r="A2107" t="str">
            <v>CO2-30460012</v>
          </cell>
          <cell r="B2107" t="str">
            <v>DIFUSOR CO2 1/2   CONO PARA CALI. S/G CALCU.</v>
          </cell>
        </row>
        <row r="2108">
          <cell r="A2108" t="str">
            <v>CO2-30460034</v>
          </cell>
          <cell r="B2108" t="str">
            <v>DIFUSOR CO2 3/4   CONO PARA CALI. S/G CALCU.</v>
          </cell>
        </row>
        <row r="2109">
          <cell r="A2109" t="str">
            <v>CO2-30500041</v>
          </cell>
          <cell r="B2109" t="str">
            <v>LAT.TF 1/4  x 350 mm (MG 1/4  BSP / MG 1/4  BSP)</v>
          </cell>
        </row>
        <row r="2110">
          <cell r="A2110" t="str">
            <v>CO2-30600060</v>
          </cell>
          <cell r="B2110" t="str">
            <v xml:space="preserve">ABARCON SOPORTE TUBO 1 </v>
          </cell>
        </row>
        <row r="2111">
          <cell r="A2111" t="str">
            <v>CO2-30600080</v>
          </cell>
          <cell r="B2111" t="str">
            <v xml:space="preserve">ABARCON SOPORTE TUBO 11/2 </v>
          </cell>
        </row>
        <row r="2112">
          <cell r="A2112" t="str">
            <v>CO2-30626711</v>
          </cell>
          <cell r="B2112" t="str">
            <v>HERRAJE HEXAGONAL CIL. 67/75/80 LITROS</v>
          </cell>
        </row>
        <row r="2113">
          <cell r="A2113" t="str">
            <v>CO2-30650013</v>
          </cell>
          <cell r="B2113" t="str">
            <v>SOPORTE 3 SOLENOIDES/DIRECC.</v>
          </cell>
        </row>
        <row r="2114">
          <cell r="A2114" t="str">
            <v>CO2-30650022</v>
          </cell>
          <cell r="B2114" t="str">
            <v>SOPORTE 2 SOLENOIDES/DIRECC.</v>
          </cell>
        </row>
        <row r="2115">
          <cell r="A2115" t="str">
            <v xml:space="preserve">CO2-30804068 </v>
          </cell>
          <cell r="B2115" t="str">
            <v>TUBO DE COBRE DE 4 X 6</v>
          </cell>
        </row>
        <row r="2116">
          <cell r="A2116" t="str">
            <v>CO2-30880007</v>
          </cell>
          <cell r="B2116" t="str">
            <v>RACOR M 1/4  A CU Ø 6    1050613</v>
          </cell>
        </row>
        <row r="2117">
          <cell r="A2117" t="str">
            <v>CO2-30880015</v>
          </cell>
          <cell r="B2117" t="str">
            <v>TE 6X6X6 CU IGUAL      1040600</v>
          </cell>
        </row>
        <row r="2118">
          <cell r="A2118" t="str">
            <v>CO2-30888002</v>
          </cell>
          <cell r="B2118" t="str">
            <v>ENLACE ZINCADO BLANCO 1  NPT A105/300</v>
          </cell>
        </row>
        <row r="2119">
          <cell r="A2119" t="str">
            <v>CO2-30888004</v>
          </cell>
          <cell r="B2119" t="str">
            <v>ENLACE ZINCADO BLANCO 1 1/2  NPT A105/300</v>
          </cell>
        </row>
        <row r="2120">
          <cell r="A2120" t="str">
            <v>CO2-36116004</v>
          </cell>
          <cell r="B2120" t="str">
            <v>LATERAL TELESCOPICO 67/75/80 LTS</v>
          </cell>
        </row>
        <row r="2121">
          <cell r="A2121" t="str">
            <v>CO2-36116005</v>
          </cell>
          <cell r="B2121" t="str">
            <v>CONJ.ACCESORIOS LATERALES TELESCOPICOS</v>
          </cell>
        </row>
        <row r="2122">
          <cell r="A2122" t="str">
            <v>CO2-36116019</v>
          </cell>
          <cell r="B2122" t="str">
            <v>PIE TELESCOPICO 67/75/80 LTS</v>
          </cell>
        </row>
        <row r="2123">
          <cell r="A2123" t="str">
            <v>CO2-36116020</v>
          </cell>
          <cell r="B2123" t="str">
            <v>CONJ.ACCESORIOS PIES TELESCOPICOS</v>
          </cell>
        </row>
        <row r="2124">
          <cell r="A2124" t="str">
            <v>CO2-36116317</v>
          </cell>
          <cell r="B2124" t="str">
            <v>TRAVESERO ZUNCHO 6 CILINDROS (67/75/80 LTS.)</v>
          </cell>
        </row>
        <row r="2125">
          <cell r="A2125" t="str">
            <v>CO2-36244000</v>
          </cell>
          <cell r="B2125" t="str">
            <v>COL. Ø 1 1/2 SCH80 200BAR PREPARADO</v>
          </cell>
        </row>
        <row r="2126">
          <cell r="A2126" t="str">
            <v>CO2-36322200</v>
          </cell>
          <cell r="B2126" t="str">
            <v>COL.Ø 1  SCH80 200BAR PREPARADO</v>
          </cell>
        </row>
        <row r="2127">
          <cell r="A2127" t="str">
            <v>CO2-38021062</v>
          </cell>
          <cell r="B2127" t="str">
            <v>COLECTOR 6 CIL 40/67 LT SF Ø 1  CO2</v>
          </cell>
        </row>
        <row r="2128">
          <cell r="A2128" t="str">
            <v>CO2-39021124</v>
          </cell>
          <cell r="B2128" t="str">
            <v>COLECTOR 11/12 CIL 40/67 LT DF Ø 11/2   CO2</v>
          </cell>
        </row>
        <row r="2129">
          <cell r="A2129" t="str">
            <v>CO2-40094</v>
          </cell>
          <cell r="B2129" t="str">
            <v xml:space="preserve">1/2 HEADER SAFETY ASM </v>
          </cell>
        </row>
        <row r="2130">
          <cell r="A2130" t="str">
            <v>CO2-40309</v>
          </cell>
          <cell r="B2130" t="str">
            <v>VENT PLUG ASM</v>
          </cell>
        </row>
        <row r="2131">
          <cell r="A2131" t="str">
            <v>CO2-41470</v>
          </cell>
          <cell r="B2131" t="str">
            <v>1  CHECK VALVE ASM</v>
          </cell>
        </row>
        <row r="2132">
          <cell r="A2132" t="str">
            <v>CO2-41470º</v>
          </cell>
          <cell r="B2132" t="str">
            <v xml:space="preserve">NAMEPLATE  RESERVE </v>
          </cell>
        </row>
        <row r="2133">
          <cell r="A2133" t="str">
            <v>CO2-415250-000</v>
          </cell>
          <cell r="B2133" t="str">
            <v>CV90 RECONDITIONING KIT - ANSUL</v>
          </cell>
        </row>
        <row r="2134">
          <cell r="A2134" t="str">
            <v>CO2-415250-00000</v>
          </cell>
          <cell r="B2134" t="str">
            <v>CV90 RECONDITIONING KIT - ANSUL</v>
          </cell>
        </row>
        <row r="2135">
          <cell r="A2135" t="str">
            <v>CO2-418502</v>
          </cell>
          <cell r="B2135" t="str">
            <v>CARRG BOLT W/NUT&amp;LOCKWASH BRACKET</v>
          </cell>
        </row>
        <row r="2136">
          <cell r="A2136" t="str">
            <v>CO2-41905</v>
          </cell>
          <cell r="B2136" t="str">
            <v>WARNING PLATE NAMEPLATE OUTSIDE ROOM WITH ALARM</v>
          </cell>
        </row>
        <row r="2137">
          <cell r="A2137" t="str">
            <v>CO2-41942</v>
          </cell>
          <cell r="B2137" t="str">
            <v>NAMEPLATE MAIN</v>
          </cell>
        </row>
        <row r="2138">
          <cell r="A2138" t="str">
            <v>CO2-41943</v>
          </cell>
          <cell r="B2138" t="str">
            <v xml:space="preserve">NAMEPLATE  RESERVE </v>
          </cell>
        </row>
        <row r="2139">
          <cell r="A2139" t="str">
            <v>CO2-42278</v>
          </cell>
          <cell r="B2139" t="str">
            <v>Odouriser Assembly</v>
          </cell>
        </row>
        <row r="2140">
          <cell r="A2140" t="str">
            <v>CO2-42284</v>
          </cell>
          <cell r="B2140" t="str">
            <v>REPLACEMENT AMPOULE W/BURST DISC ASSM</v>
          </cell>
        </row>
        <row r="2141">
          <cell r="A2141" t="str">
            <v>CO2-423423</v>
          </cell>
          <cell r="B2141" t="str">
            <v>N10R PKG TRANS CANADA Cartridge, nitrogen LT-10-R</v>
          </cell>
        </row>
        <row r="2142">
          <cell r="A2142" t="str">
            <v>CO2-42514</v>
          </cell>
          <cell r="B2142" t="str">
            <v>CONNECTING LINK</v>
          </cell>
        </row>
        <row r="2143">
          <cell r="A2143" t="str">
            <v>CO2-425309</v>
          </cell>
          <cell r="B2143" t="str">
            <v>SIGN, WARN, LEAVE AREA WARNING SIGN</v>
          </cell>
        </row>
        <row r="2144">
          <cell r="A2144" t="str">
            <v>CO2-425310</v>
          </cell>
          <cell r="B2144" t="str">
            <v>SIGN, WARN, DON´T ENTER WARNING SIGN</v>
          </cell>
        </row>
        <row r="2145">
          <cell r="A2145" t="str">
            <v>CO2-425311</v>
          </cell>
          <cell r="B2145" t="str">
            <v>SIGN, WARN, CO2 DIS WARNING SIGN NEARBY AREA</v>
          </cell>
        </row>
        <row r="2146">
          <cell r="A2146" t="str">
            <v>CO2-425312</v>
          </cell>
          <cell r="B2146" t="str">
            <v>SIGN, WARN, ACT/DEVICE WARNING SIGN ACTIVATION</v>
          </cell>
        </row>
        <row r="2147">
          <cell r="A2147" t="str">
            <v>CO2-426113</v>
          </cell>
          <cell r="B2147" t="str">
            <v xml:space="preserve">CO2 16.0 - 16.5 Nozzle regular 3/4  RL8-RL18              </v>
          </cell>
        </row>
        <row r="2148">
          <cell r="A2148" t="str">
            <v>CO2-426119</v>
          </cell>
          <cell r="B2148" t="str">
            <v>BAFFLE NOZ W/SCREEN</v>
          </cell>
        </row>
        <row r="2149">
          <cell r="A2149" t="str">
            <v>CO2-426120</v>
          </cell>
          <cell r="B2149" t="str">
            <v>MALE BAFFL TYPE DIFF NOZ</v>
          </cell>
        </row>
        <row r="2150">
          <cell r="A2150" t="str">
            <v>CO2-426592</v>
          </cell>
          <cell r="B2150" t="str">
            <v>UPRIGH (85)</v>
          </cell>
        </row>
        <row r="2151">
          <cell r="A2151" t="str">
            <v>CO2-427082</v>
          </cell>
          <cell r="B2151" t="str">
            <v>200 BAR FLEX BEND</v>
          </cell>
        </row>
        <row r="2152">
          <cell r="A2152" t="str">
            <v>CO2-428155</v>
          </cell>
          <cell r="B2152" t="str">
            <v>1 STOP VALVE</v>
          </cell>
        </row>
        <row r="2153">
          <cell r="A2153" t="str">
            <v>CO2-428949</v>
          </cell>
          <cell r="B2153" t="str">
            <v>BOOSTER ACTUATOR SHIP ASM</v>
          </cell>
        </row>
        <row r="2154">
          <cell r="A2154" t="str">
            <v>CO2-428974</v>
          </cell>
          <cell r="B2154" t="str">
            <v>NAMEPLATE LOCKOUT VLV CO2</v>
          </cell>
        </row>
        <row r="2155">
          <cell r="A2155" t="str">
            <v>CO2-429847</v>
          </cell>
          <cell r="B2155" t="str">
            <v>RESET TOOL BOOSTER ACT</v>
          </cell>
        </row>
        <row r="2156">
          <cell r="A2156" t="str">
            <v>CO2-431554-00</v>
          </cell>
          <cell r="B2156" t="str">
            <v>EXTINTOR CO2 4.6 KG MODEL CD10A-UL ANSUL</v>
          </cell>
        </row>
        <row r="2157">
          <cell r="A2157" t="str">
            <v>CO2-431572</v>
          </cell>
          <cell r="B2157" t="str">
            <v xml:space="preserve">Extinguisher, Carbon Dioxide, CD20-1 (Steel) UL 20 lb </v>
          </cell>
        </row>
        <row r="2158">
          <cell r="A2158" t="str">
            <v>CO2-433625</v>
          </cell>
          <cell r="B2158" t="str">
            <v>WARNING SIGN LOCK-OUT</v>
          </cell>
        </row>
        <row r="2159">
          <cell r="A2159" t="str">
            <v>CO2-433626</v>
          </cell>
          <cell r="B2159" t="str">
            <v>WARNING SIGN CO2 GAS</v>
          </cell>
        </row>
        <row r="2160">
          <cell r="A2160" t="str">
            <v>CO2-437616</v>
          </cell>
          <cell r="B2160" t="str">
            <v>SIREN ASSMB PRES OPERATED</v>
          </cell>
        </row>
        <row r="2161">
          <cell r="A2161" t="str">
            <v>CO2-437716</v>
          </cell>
          <cell r="B2161" t="str">
            <v>30 SEC TIME DELAY</v>
          </cell>
        </row>
        <row r="2162">
          <cell r="A2162" t="str">
            <v>CO2-437900</v>
          </cell>
          <cell r="B2162" t="str">
            <v>PRESSURE SWITCH ASM</v>
          </cell>
        </row>
        <row r="2163">
          <cell r="A2163" t="str">
            <v>CO2-441499</v>
          </cell>
          <cell r="B2163" t="str">
            <v xml:space="preserve"> Direccionales Selector valve, 3/4   w/solenoid valve and ma</v>
          </cell>
        </row>
        <row r="2164">
          <cell r="A2164" t="str">
            <v>CO2-441509</v>
          </cell>
          <cell r="B2164" t="str">
            <v xml:space="preserve"> Direccionales Selector valve, 1 1/2   w/solenoid valve and </v>
          </cell>
        </row>
        <row r="2165">
          <cell r="A2165" t="str">
            <v>CO2-441669</v>
          </cell>
          <cell r="B2165" t="str">
            <v>CO2 CYL SHIP ASSY 120 LB, CR UNISO</v>
          </cell>
        </row>
        <row r="2166">
          <cell r="A2166" t="str">
            <v>CO2-441671</v>
          </cell>
          <cell r="B2166" t="str">
            <v>Container, HPCO2, Epoxy, 100 lb. (45.4 kg) UN</v>
          </cell>
        </row>
        <row r="2167">
          <cell r="A2167" t="str">
            <v>CO2-442411</v>
          </cell>
          <cell r="B2167" t="str">
            <v>Extinguisher, Carbon Dioxide, CD15-2 (Steel)UL 15/pallet</v>
          </cell>
        </row>
        <row r="2168">
          <cell r="A2168" t="str">
            <v>CO2-45389-000</v>
          </cell>
          <cell r="B2168" t="str">
            <v>VALVE RECHARGE ADP. CV90 - ANSUL</v>
          </cell>
        </row>
        <row r="2169">
          <cell r="A2169" t="str">
            <v>CO2-45389-00000</v>
          </cell>
          <cell r="B2169" t="str">
            <v>VALVE RECHARGE ADP. CV90 - ANSUL</v>
          </cell>
        </row>
        <row r="2170">
          <cell r="A2170" t="str">
            <v>CO2-53051</v>
          </cell>
          <cell r="B2170" t="str">
            <v>1/4  CHECK VALVE ASM</v>
          </cell>
        </row>
        <row r="2171">
          <cell r="A2171" t="str">
            <v>CO2-62114001</v>
          </cell>
          <cell r="B2171" t="str">
            <v>VALVULA DE AISLAMIENTO CUT-OFF VDS 6 CU</v>
          </cell>
        </row>
        <row r="2172">
          <cell r="A2172" t="str">
            <v>CO2-69877</v>
          </cell>
          <cell r="B2172" t="str">
            <v>LIFT YOKE ASSY WEIGHT LIFTING YOKE</v>
          </cell>
        </row>
        <row r="2173">
          <cell r="A2173" t="str">
            <v>CO2-70100120</v>
          </cell>
          <cell r="B2173" t="str">
            <v xml:space="preserve"> Pneumatic Time Delay &amp; Siren Incluye botellin piloto </v>
          </cell>
        </row>
        <row r="2174">
          <cell r="A2174" t="str">
            <v>CO2-70846</v>
          </cell>
          <cell r="B2174" t="str">
            <v xml:space="preserve">LVR ACT HDL/PIN ACTUATOR LEVEL FOR HF </v>
          </cell>
        </row>
        <row r="2175">
          <cell r="A2175" t="str">
            <v>CO2-71104007</v>
          </cell>
          <cell r="B2175" t="str">
            <v xml:space="preserve"> Batería de 12 cilindros de 67lts con 540kg CO2 CILINDRO MOD</v>
          </cell>
        </row>
        <row r="2176">
          <cell r="A2176" t="str">
            <v>CO2-71683</v>
          </cell>
          <cell r="B2176" t="str">
            <v xml:space="preserve">TOP RAIL SUPPORT BRACKET UPRIGHT WEIGH RAIL </v>
          </cell>
        </row>
        <row r="2177">
          <cell r="A2177" t="str">
            <v>CO2-73092</v>
          </cell>
          <cell r="B2177" t="str">
            <v>CLAMP 3 CYL BRACKET CYLINDER CLAMP</v>
          </cell>
        </row>
        <row r="2178">
          <cell r="A2178" t="str">
            <v>CO2-73270</v>
          </cell>
          <cell r="B2178" t="str">
            <v>WEIGH RAIL 6 CYL BRACKET UPRIGHT WEIGH RAIL</v>
          </cell>
        </row>
        <row r="2179">
          <cell r="A2179" t="str">
            <v>CO2-73327</v>
          </cell>
          <cell r="B2179" t="str">
            <v>HF ELECTRIC ACT SHP ASM ELECTRIC ACTUATOR HF ASSEMBLY</v>
          </cell>
        </row>
        <row r="2180">
          <cell r="A2180" t="str">
            <v>CO2-73553</v>
          </cell>
          <cell r="B2180" t="str">
            <v>SINGLE CYL BRACKET FT LS LEF BRACKET FOOT-SINGLE</v>
          </cell>
        </row>
        <row r="2181">
          <cell r="A2181" t="str">
            <v>CO2-73554</v>
          </cell>
          <cell r="B2181" t="str">
            <v>SINGLE CYL BRACKET FT RS RIGHT BRACKET FOOT-SINGLE</v>
          </cell>
        </row>
        <row r="2182">
          <cell r="A2182" t="str">
            <v>CO2-74241</v>
          </cell>
          <cell r="B2182" t="str">
            <v xml:space="preserve">WEIGH SCALE 6 CYL </v>
          </cell>
        </row>
        <row r="2183">
          <cell r="A2183" t="str">
            <v>CO2-75433</v>
          </cell>
          <cell r="B2183" t="str">
            <v>HF-ARMING TOOL ASSY ARMING TOOL</v>
          </cell>
        </row>
        <row r="2184">
          <cell r="A2184" t="str">
            <v>CO2-79456-00000</v>
          </cell>
          <cell r="B2184" t="str">
            <v>BRACKET, CO2, CD10, CD15, CD10A, CD15A</v>
          </cell>
        </row>
        <row r="2185">
          <cell r="A2185" t="str">
            <v>CO2-79642</v>
          </cell>
          <cell r="B2185" t="str">
            <v>BACK FRAME ASY 6 CYL BRACKET</v>
          </cell>
        </row>
        <row r="2186">
          <cell r="A2186" t="str">
            <v>CO2-91116048</v>
          </cell>
          <cell r="B2186" t="str">
            <v>LAT.R1 SUPERCOMPACTA 1/2  x 500mm CON MF</v>
          </cell>
        </row>
        <row r="2187">
          <cell r="A2187" t="str">
            <v>CO2-94116000</v>
          </cell>
          <cell r="B2187" t="str">
            <v>ASIENTO COLECTOR PARA INERTES Y CO2 DF/SP</v>
          </cell>
        </row>
        <row r="2188">
          <cell r="A2188" t="str">
            <v>CO2-94116001</v>
          </cell>
          <cell r="B2188" t="str">
            <v>ASIENTO COLECTOR PARA INERTES Y CO2 DF/SP</v>
          </cell>
        </row>
        <row r="2189">
          <cell r="A2189" t="str">
            <v>CO2-98831</v>
          </cell>
          <cell r="B2189" t="str">
            <v>Sign, Warning, Exit, CO2, Spanish</v>
          </cell>
        </row>
        <row r="2190">
          <cell r="A2190" t="str">
            <v>CO2-98832</v>
          </cell>
          <cell r="B2190" t="str">
            <v>Sign, Warning, Entrance, CO2, Spanish</v>
          </cell>
        </row>
        <row r="2191">
          <cell r="A2191" t="str">
            <v>CO2-98834</v>
          </cell>
          <cell r="B2191" t="str">
            <v>Sign, Warning, Manual Actuation, CO2, Spanish</v>
          </cell>
        </row>
        <row r="2192">
          <cell r="A2192" t="str">
            <v>CO2-98835</v>
          </cell>
          <cell r="B2192" t="str">
            <v>Sign, Warning, Nearby, CO2, Spanish</v>
          </cell>
        </row>
        <row r="2193">
          <cell r="A2193" t="str">
            <v>CO2-98836</v>
          </cell>
          <cell r="B2193" t="str">
            <v>98836 Sign, Warning, Storage, CO2, Spanish</v>
          </cell>
        </row>
        <row r="2194">
          <cell r="A2194" t="str">
            <v>CO2-99468-00000</v>
          </cell>
          <cell r="B2194" t="str">
            <v>CABINET PILOT HPCO2 NEMA4 JANUS</v>
          </cell>
        </row>
        <row r="2195">
          <cell r="A2195" t="str">
            <v>CO2-99584-00</v>
          </cell>
          <cell r="B2195" t="str">
            <v xml:space="preserve">RACK KIT STRAP (99757-18604-99681-99710) </v>
          </cell>
        </row>
        <row r="2196">
          <cell r="A2196" t="str">
            <v>CO2-99703-00000</v>
          </cell>
          <cell r="B2196" t="str">
            <v>ODORIZER ASSEMBLY JANUS</v>
          </cell>
        </row>
        <row r="2197">
          <cell r="A2197" t="str">
            <v>CO2-99706-00000</v>
          </cell>
          <cell r="B2197" t="str">
            <v>HOSE FLEX DISCHARGE JANUS</v>
          </cell>
        </row>
        <row r="2198">
          <cell r="A2198" t="str">
            <v>CO2-99707-00</v>
          </cell>
          <cell r="B2198" t="str">
            <v>HOSE, FLEX, DISCHARGE, W/DISCHARGE ADAPTER SINGLE</v>
          </cell>
        </row>
        <row r="2199">
          <cell r="A2199" t="str">
            <v>CO2-99761-00000</v>
          </cell>
          <cell r="B2199" t="str">
            <v>RACK KIT,WALL-MOUNT,DOUBLE ROW JANUS</v>
          </cell>
        </row>
        <row r="2200">
          <cell r="A2200" t="str">
            <v>CO2-99932-00000</v>
          </cell>
          <cell r="B2200" t="str">
            <v>SIGN,WARNING, CO2 STORAGE AREA JANUS</v>
          </cell>
        </row>
        <row r="2201">
          <cell r="A2201" t="str">
            <v>CO2-99933-00000</v>
          </cell>
          <cell r="B2201" t="str">
            <v>SIGN,WARNING,CO2 NEARBY SPACES JANUS</v>
          </cell>
        </row>
        <row r="2202">
          <cell r="A2202" t="str">
            <v>CO2-99934-00000</v>
          </cell>
          <cell r="B2202" t="str">
            <v>SIGN,WARNING,CO2 MANUAL JANUS</v>
          </cell>
        </row>
        <row r="2203">
          <cell r="A2203" t="str">
            <v>CO2-99936-00000</v>
          </cell>
          <cell r="B2203" t="str">
            <v>SIGN,WARNING,CO2 ENTRANCE JANUS</v>
          </cell>
        </row>
        <row r="2204">
          <cell r="A2204" t="str">
            <v>CO2-99937-00000</v>
          </cell>
          <cell r="B2204" t="str">
            <v>SIGN,WARNING,CO2 EXIT JANUS</v>
          </cell>
        </row>
        <row r="2205">
          <cell r="A2205" t="str">
            <v>CO2-ADAP-DIN-477</v>
          </cell>
          <cell r="B2205" t="str">
            <v>ADAPTER FOR CO2 DIN-477 ( ROTAREX )</v>
          </cell>
        </row>
        <row r="2206">
          <cell r="A2206" t="str">
            <v>CO2-CIL-LPG</v>
          </cell>
          <cell r="B2206" t="str">
            <v xml:space="preserve">CILINDRO 100 Lb LPG </v>
          </cell>
        </row>
        <row r="2207">
          <cell r="A2207" t="str">
            <v>COCI-407050E</v>
          </cell>
          <cell r="B2207" t="str">
            <v>G-PRESS FIGURE 407 COUPLING 1/2</v>
          </cell>
        </row>
        <row r="2208">
          <cell r="A2208" t="str">
            <v>COCI-442050E</v>
          </cell>
          <cell r="B2208" t="str">
            <v>G-PRESS FIGURE 442 TEE 1/2</v>
          </cell>
        </row>
        <row r="2209">
          <cell r="A2209" t="str">
            <v>COCI-468050E</v>
          </cell>
          <cell r="B2209" t="str">
            <v>G-PRESS FIGURE 468 90° ELBOW 1/2</v>
          </cell>
        </row>
        <row r="2210">
          <cell r="A2210" t="str">
            <v>COCI-4760505E</v>
          </cell>
          <cell r="B2210" t="str">
            <v>G-PRESS FIGURE 476 ADAPTER  1/2  HE</v>
          </cell>
        </row>
        <row r="2211">
          <cell r="A2211" t="str">
            <v>COCI-4780505E</v>
          </cell>
          <cell r="B2211" t="str">
            <v>G-PRESS FIGURE 478 TEE ADAPTER  1/2 HI</v>
          </cell>
        </row>
        <row r="2212">
          <cell r="A2212" t="str">
            <v>COCI-4780505E HE</v>
          </cell>
          <cell r="B2212" t="str">
            <v>G-PRESS FIGURE 478 TEE ADAPTER  1/2 HE</v>
          </cell>
        </row>
        <row r="2213">
          <cell r="A2213" t="str">
            <v>COCI-4790505E</v>
          </cell>
          <cell r="B2213" t="str">
            <v>G-PRESS FIGURE 479 ADAPTER  1/2 HI</v>
          </cell>
        </row>
        <row r="2214">
          <cell r="A2214" t="str">
            <v>CONI-002</v>
          </cell>
          <cell r="B2214" t="str">
            <v>MANGUERAS Y ART. AFINES</v>
          </cell>
        </row>
        <row r="2215">
          <cell r="A2215" t="str">
            <v>CONI-003</v>
          </cell>
          <cell r="B2215" t="str">
            <v>PITON NEBLINERO REGULABLE DE BRONCE CHORRO DIRECTO</v>
          </cell>
        </row>
        <row r="2216">
          <cell r="A2216" t="str">
            <v>coni-017</v>
          </cell>
          <cell r="B2216" t="str">
            <v>PASAJES AEREOS</v>
          </cell>
        </row>
        <row r="2217">
          <cell r="A2217" t="str">
            <v>CONI-037</v>
          </cell>
          <cell r="B2217" t="str">
            <v>VALORES NO AFECTOS IVA</v>
          </cell>
        </row>
        <row r="2218">
          <cell r="A2218" t="str">
            <v>CONI-040</v>
          </cell>
        </row>
        <row r="2219">
          <cell r="A2219" t="str">
            <v>CONI-048</v>
          </cell>
          <cell r="B2219" t="str">
            <v>HERRAMIENTAS</v>
          </cell>
        </row>
        <row r="2220">
          <cell r="A2220" t="str">
            <v>CONI-40</v>
          </cell>
          <cell r="B2220" t="str">
            <v>ACTIVO FIJO</v>
          </cell>
        </row>
        <row r="2221">
          <cell r="A2221" t="str">
            <v>CST-SUMINISTROS</v>
          </cell>
          <cell r="B2221" t="str">
            <v xml:space="preserve">SUMINISTRO MONTAJE PARA ESTANQUE DE AGUA </v>
          </cell>
        </row>
        <row r="2222">
          <cell r="A2222" t="str">
            <v>DCTO-VTA</v>
          </cell>
          <cell r="B2222" t="str">
            <v>DESCUENTO POR VENTAS</v>
          </cell>
        </row>
        <row r="2223">
          <cell r="A2223" t="str">
            <v>DIFERENCIABOMBA</v>
          </cell>
          <cell r="B2223" t="str">
            <v xml:space="preserve">DIFERENCIA T/C BOMBAS </v>
          </cell>
        </row>
        <row r="2224">
          <cell r="A2224" t="str">
            <v>DIFERENCIA-PREC</v>
          </cell>
          <cell r="B2224" t="str">
            <v xml:space="preserve">DIFERENCIA DE PRECIO </v>
          </cell>
        </row>
        <row r="2225">
          <cell r="A2225" t="str">
            <v>DOORFANTEST-00</v>
          </cell>
          <cell r="B2225" t="str">
            <v>SERVICIO TECNICO</v>
          </cell>
        </row>
        <row r="2226">
          <cell r="A2226" t="str">
            <v>DTPRES100-00000</v>
          </cell>
          <cell r="B2226" t="str">
            <v>DETECTOR PRESION UL/FM EPS10-2</v>
          </cell>
        </row>
        <row r="2227">
          <cell r="A2227" t="str">
            <v>DTPRES100-1A-00</v>
          </cell>
          <cell r="B2227" t="str">
            <v>DETECTOR PRESION UL/FM EPS10-1 SS EPS10-1EPS10-1</v>
          </cell>
        </row>
        <row r="2228">
          <cell r="A2228" t="str">
            <v>DTPRES1002-0000</v>
          </cell>
          <cell r="B2228" t="str">
            <v>DETECTOR PRESION UL/FM EPS40 SS EPS40-2</v>
          </cell>
        </row>
        <row r="2229">
          <cell r="A2229" t="str">
            <v>DTPRES1002-WF</v>
          </cell>
          <cell r="B2229" t="str">
            <v>DETECTOR PRESION UL/FM EPS40  WEFLO</v>
          </cell>
        </row>
        <row r="2230">
          <cell r="A2230" t="str">
            <v>DTPRES100-WF</v>
          </cell>
          <cell r="B2230" t="str">
            <v>DETECTOR PRESION UL/FM EPS10-2 WEFLO</v>
          </cell>
        </row>
        <row r="2231">
          <cell r="A2231" t="str">
            <v>DTPRES2002-0000</v>
          </cell>
          <cell r="B2231" t="str">
            <v>DETECTOR PRESION UL/FM 200-2 SS EPS120-2</v>
          </cell>
        </row>
        <row r="2232">
          <cell r="A2232" t="str">
            <v>DTPRESWP60304</v>
          </cell>
          <cell r="B2232" t="str">
            <v>PRESSURE SWITCH  SWP60304 GENERAL</v>
          </cell>
        </row>
        <row r="2233">
          <cell r="A2233" t="str">
            <v>DTSWFDEXP2-0000</v>
          </cell>
          <cell r="B2233" t="str">
            <v xml:space="preserve">DETECT. FLUJO EXPLOS. PROOF 2SS WFD20EXP </v>
          </cell>
        </row>
        <row r="2234">
          <cell r="A2234" t="str">
            <v>DTSWFDEXP3-0000</v>
          </cell>
          <cell r="B2234" t="str">
            <v>DETECT. FLUJO EXPLOS. PROOF 3SS WFD30-2EXP</v>
          </cell>
        </row>
        <row r="2235">
          <cell r="A2235" t="str">
            <v>DTSWFLUJO001-00</v>
          </cell>
          <cell r="B2235" t="str">
            <v xml:space="preserve">DETECTOR DE FLUJO UL/FM 1ROS </v>
          </cell>
        </row>
        <row r="2236">
          <cell r="A2236" t="str">
            <v>DTSWFLUJO002-00</v>
          </cell>
          <cell r="B2236" t="str">
            <v>DETECTOR DE FLUJO UL/FM 2SS WFD20</v>
          </cell>
        </row>
        <row r="2237">
          <cell r="A2237" t="str">
            <v>DTSWFLUJO003-00</v>
          </cell>
          <cell r="B2237" t="str">
            <v>DETECTOR DE FLUJO UL/FM 3SS WFD30-2</v>
          </cell>
        </row>
        <row r="2238">
          <cell r="A2238" t="str">
            <v>DTSWFLUJO004-00</v>
          </cell>
          <cell r="B2238" t="str">
            <v>DETECTOR DE FLUJO UL/FM 4SS WFD40</v>
          </cell>
        </row>
        <row r="2239">
          <cell r="A2239" t="str">
            <v>DTSWFLUJO006-00</v>
          </cell>
          <cell r="B2239" t="str">
            <v>DETECTOR DE FLUJO UL/FM 6SS WFD60</v>
          </cell>
        </row>
        <row r="2240">
          <cell r="A2240" t="str">
            <v>DTSWFLUJO008-00</v>
          </cell>
          <cell r="B2240" t="str">
            <v>DETECTOR DE FLUJO UL/FM 8SS WFD80</v>
          </cell>
        </row>
        <row r="2241">
          <cell r="A2241" t="str">
            <v>DTSWFLUJO010-00</v>
          </cell>
          <cell r="B2241" t="str">
            <v>DETECTOR DE FLUJO UL/FM 10</v>
          </cell>
        </row>
        <row r="2242">
          <cell r="A2242" t="str">
            <v>DTSWFLUJO012-00</v>
          </cell>
          <cell r="B2242" t="str">
            <v>DETECTOR DE FLUJO UL/FM 12</v>
          </cell>
        </row>
        <row r="2243">
          <cell r="A2243" t="str">
            <v>DTSWFLUJO02M-00</v>
          </cell>
          <cell r="B2243" t="str">
            <v>DETECTOR DE FLUJO UL/FM 21/2SS WFD25</v>
          </cell>
        </row>
        <row r="2244">
          <cell r="A2244" t="str">
            <v>DTSWFLUJO02-WF</v>
          </cell>
          <cell r="B2244" t="str">
            <v>DETECTOR DE FLUJO UL/FM 2  WFD20 WEFLO</v>
          </cell>
        </row>
        <row r="2245">
          <cell r="A2245" t="str">
            <v>DTSWFLUJO03-WF</v>
          </cell>
          <cell r="B2245" t="str">
            <v>DETECTOR DE FLUJO UL/FM 3  WFD30 WEFLO</v>
          </cell>
        </row>
        <row r="2246">
          <cell r="A2246" t="str">
            <v>DTSWFLUJO04-WF</v>
          </cell>
          <cell r="B2246" t="str">
            <v>DETECTOR DE FLUJO UL/FM 4  WFD40 WEFLO</v>
          </cell>
        </row>
        <row r="2247">
          <cell r="A2247" t="str">
            <v>DTSWFLUJO06-WF</v>
          </cell>
          <cell r="B2247" t="str">
            <v>DETECTOR DE FLUJO UL/FM 6  WFD60 WEFLO</v>
          </cell>
        </row>
        <row r="2248">
          <cell r="A2248" t="str">
            <v>DTSWFLUJO08-WF</v>
          </cell>
          <cell r="B2248" t="str">
            <v>DETECTOR DE FLUJO UL/FM 8  WFD80 WEFLO</v>
          </cell>
        </row>
        <row r="2249">
          <cell r="A2249" t="str">
            <v>DTSWFLUJO2M-WF</v>
          </cell>
          <cell r="B2249" t="str">
            <v>DETECTOR DE FLUJO UL/FM 21/2  WFD25 WEFLO</v>
          </cell>
        </row>
        <row r="2250">
          <cell r="A2250" t="str">
            <v>DTSWFLUJOTTAP-0</v>
          </cell>
          <cell r="B2250" t="str">
            <v>DETECTOR DE FLUJO TTAP UL/FM SS WFDTAWFDTA</v>
          </cell>
        </row>
        <row r="2251">
          <cell r="A2251" t="str">
            <v>DTSWSUPOSY-0000</v>
          </cell>
          <cell r="B2251" t="str">
            <v>SWICHT SUPERV.OS&amp;Y UL/FM ( OSY-2 )</v>
          </cell>
        </row>
        <row r="2252">
          <cell r="A2252" t="str">
            <v>DTSWSUPOSY-WF</v>
          </cell>
          <cell r="B2252" t="str">
            <v>SWICHT SUPERV.OS&amp;Y UL/FM ( OSY-2 )  WEFLO</v>
          </cell>
        </row>
        <row r="2253">
          <cell r="A2253" t="str">
            <v>DTSWSUPPIBV-000</v>
          </cell>
          <cell r="B2253" t="str">
            <v xml:space="preserve">SWICHT SUPERV. PI/BV UL/FM </v>
          </cell>
        </row>
        <row r="2254">
          <cell r="A2254" t="str">
            <v>EK-750J</v>
          </cell>
          <cell r="B2254" t="str">
            <v>PHONE JACK</v>
          </cell>
        </row>
        <row r="2255">
          <cell r="A2255" t="str">
            <v>EMT-C-75</v>
          </cell>
          <cell r="B2255" t="str">
            <v>CONDUIT C THREADED 3/4 EMT</v>
          </cell>
        </row>
        <row r="2256">
          <cell r="A2256" t="str">
            <v>EMT-CCI-50S</v>
          </cell>
          <cell r="B2256" t="str">
            <v>COMPRESION CONECTORS</v>
          </cell>
        </row>
        <row r="2257">
          <cell r="A2257" t="str">
            <v>EMT-CK-50S1</v>
          </cell>
          <cell r="B2257" t="str">
            <v>COMPRESION COUPLING</v>
          </cell>
        </row>
        <row r="2258">
          <cell r="A2258" t="str">
            <v>EMT-LL-75</v>
          </cell>
          <cell r="B2258" t="str">
            <v>CONDUIT LL THREADED 3/4 EMT</v>
          </cell>
        </row>
        <row r="2259">
          <cell r="A2259" t="str">
            <v>EMT-LN-75S</v>
          </cell>
          <cell r="B2259" t="str">
            <v>RIGID CONDUIT AND IMC STEEL LOCKNUTS 3/4 EMT</v>
          </cell>
        </row>
        <row r="2260">
          <cell r="A2260" t="str">
            <v>EMT-LR-75</v>
          </cell>
          <cell r="B2260" t="str">
            <v>CONDUIT LR THREADED 3/4 EMT</v>
          </cell>
        </row>
        <row r="2261">
          <cell r="A2261" t="str">
            <v>EMT-LT-50</v>
          </cell>
          <cell r="B2261" t="str">
            <v>Liquid Tight Straight Connectors 1/2 EMT</v>
          </cell>
        </row>
        <row r="2262">
          <cell r="A2262" t="str">
            <v>EMT-LT-75</v>
          </cell>
          <cell r="B2262" t="str">
            <v>Liquid Tight Straight Connectors 3/4 EMT</v>
          </cell>
        </row>
        <row r="2263">
          <cell r="A2263" t="str">
            <v>EMT-LT90-50</v>
          </cell>
          <cell r="B2263" t="str">
            <v>Liquid Tight 90° Connectors 1/2 EMT</v>
          </cell>
        </row>
        <row r="2264">
          <cell r="A2264" t="str">
            <v>EMT-LT90-75</v>
          </cell>
          <cell r="B2264" t="str">
            <v>Liquid Tight 90° Connectors 3/4 EMT</v>
          </cell>
        </row>
        <row r="2265">
          <cell r="A2265" t="str">
            <v>EMT-PH-50N</v>
          </cell>
          <cell r="B2265" t="str">
            <v>CONDUIT HANGERS WITH BOLT 1/2 EMT</v>
          </cell>
        </row>
        <row r="2266">
          <cell r="A2266" t="str">
            <v>EMT-PH-75N</v>
          </cell>
          <cell r="B2266" t="str">
            <v>CONDUIT HANGERS WITH BOLT 3/4 EMT</v>
          </cell>
        </row>
        <row r="2267">
          <cell r="A2267" t="str">
            <v>EMT-SC-75C</v>
          </cell>
          <cell r="B2267" t="str">
            <v>STAMPED ALUMINUM COVERS 3/4 EMT</v>
          </cell>
        </row>
        <row r="2268">
          <cell r="A2268" t="str">
            <v>EMT-T-75</v>
          </cell>
          <cell r="B2268" t="str">
            <v>CONDUIT T THREADED 3/4 EMT</v>
          </cell>
        </row>
        <row r="2269">
          <cell r="A2269" t="str">
            <v>ESPHIGAL-01-000</v>
          </cell>
          <cell r="B2269" t="str">
            <v xml:space="preserve">ESPARRAGO HILADO GALVANIZADO 1 </v>
          </cell>
        </row>
        <row r="2270">
          <cell r="A2270" t="str">
            <v>ESPHIGAL-02-000</v>
          </cell>
          <cell r="B2270" t="str">
            <v xml:space="preserve">ESPARRAGO HILADO GALVANIZADO 2 </v>
          </cell>
        </row>
        <row r="2271">
          <cell r="A2271" t="str">
            <v>ESPHIGAL-03-000</v>
          </cell>
          <cell r="B2271" t="str">
            <v xml:space="preserve">ESPARRAGO HILADO GALVANIZADO 3 </v>
          </cell>
        </row>
        <row r="2272">
          <cell r="A2272" t="str">
            <v>ESPHIGAL-04-000</v>
          </cell>
          <cell r="B2272" t="str">
            <v xml:space="preserve">ESPARRAGO HILADO GALVANIZADO 4 </v>
          </cell>
        </row>
        <row r="2273">
          <cell r="A2273" t="str">
            <v>ESPHIGAL-06-000</v>
          </cell>
          <cell r="B2273" t="str">
            <v xml:space="preserve">ESPARRAGO HILADO GALVANIZADO 6 </v>
          </cell>
        </row>
        <row r="2274">
          <cell r="A2274" t="str">
            <v>ESPHIGAL-08-000</v>
          </cell>
          <cell r="B2274" t="str">
            <v xml:space="preserve">ESPARRAGO HILADO GALVANIZADO 8 </v>
          </cell>
        </row>
        <row r="2275">
          <cell r="A2275" t="str">
            <v>ESPHIGAL-0T-000</v>
          </cell>
          <cell r="B2275" t="str">
            <v xml:space="preserve">ESPARRAGO HILADO GALVANIZADO 3/4 </v>
          </cell>
        </row>
        <row r="2276">
          <cell r="A2276" t="str">
            <v>ESPHIGAL-10-000</v>
          </cell>
          <cell r="B2276" t="str">
            <v xml:space="preserve">ESPARRAGO HILADO GALVANIZADO 10 </v>
          </cell>
        </row>
        <row r="2277">
          <cell r="A2277" t="str">
            <v>ESPHIGAL-12-000</v>
          </cell>
          <cell r="B2277" t="str">
            <v xml:space="preserve">ESPARRAGO HILADO GALVANIZADO 12 </v>
          </cell>
        </row>
        <row r="2278">
          <cell r="A2278" t="str">
            <v>ESPHIGAL-1C-000</v>
          </cell>
          <cell r="B2278" t="str">
            <v xml:space="preserve">ESPARRAGO HILADO GALVANIZADO 1 1/4 </v>
          </cell>
        </row>
        <row r="2279">
          <cell r="A2279" t="str">
            <v>ESPHIGAL-1M-000</v>
          </cell>
          <cell r="B2279" t="str">
            <v xml:space="preserve">ESPARRAGO HILADO GALVANIZADO 1 1/2 </v>
          </cell>
        </row>
        <row r="2280">
          <cell r="A2280" t="str">
            <v>ESPHIGAL-2M-000</v>
          </cell>
          <cell r="B2280" t="str">
            <v xml:space="preserve">ESPARRAGO HILADO GALVANIZADO 2 1/2 </v>
          </cell>
        </row>
        <row r="2281">
          <cell r="A2281" t="str">
            <v>ESPHIGAL-3M-000</v>
          </cell>
          <cell r="B2281" t="str">
            <v xml:space="preserve">ESPARRAGO HILADO GALVANIZADO 3 1/2 </v>
          </cell>
        </row>
        <row r="2282">
          <cell r="A2282" t="str">
            <v>ESPHIGAL-TO-000</v>
          </cell>
          <cell r="B2282" t="str">
            <v>ESPARRAGO HILADO GALVANIZADO 3/8</v>
          </cell>
        </row>
        <row r="2283">
          <cell r="A2283" t="str">
            <v>ESTANQ-AG-790Z04000</v>
          </cell>
          <cell r="B2283" t="str">
            <v>WASHER - 1/2 NEOPRENE BACKED GALV. STEEL</v>
          </cell>
        </row>
        <row r="2284">
          <cell r="A2284" t="str">
            <v>ESTANQ-AGUA-120-M3</v>
          </cell>
          <cell r="B2284" t="str">
            <v>ESTANQUE DE AGUA 120 M3</v>
          </cell>
        </row>
        <row r="2285">
          <cell r="A2285" t="str">
            <v>ESTANQ-AGUA-132-M3</v>
          </cell>
          <cell r="B2285" t="str">
            <v>ESTANQUE DE AGUA 132 M3</v>
          </cell>
        </row>
        <row r="2286">
          <cell r="A2286" t="str">
            <v>ESTANQ-AGUA-137-M3</v>
          </cell>
          <cell r="B2286" t="str">
            <v>ESTANQUE DE AGUA 137 M3</v>
          </cell>
        </row>
        <row r="2287">
          <cell r="A2287" t="str">
            <v>ESTANQ-AGUA-140-M3</v>
          </cell>
          <cell r="B2287" t="str">
            <v>ESTANQUE DE AGUA 140 M3</v>
          </cell>
        </row>
        <row r="2288">
          <cell r="A2288" t="str">
            <v>ESTANQ-AGUA-166-M3</v>
          </cell>
          <cell r="B2288" t="str">
            <v>ESTANQUE DE AGUA 166 M3</v>
          </cell>
        </row>
        <row r="2289">
          <cell r="A2289" t="str">
            <v>ESTANQ-AGUA-206-M3</v>
          </cell>
          <cell r="B2289" t="str">
            <v>ESTANQUE DE AGUA 206 M3</v>
          </cell>
        </row>
        <row r="2290">
          <cell r="A2290" t="str">
            <v>ESTANQ-AGUA-230-M3</v>
          </cell>
          <cell r="B2290" t="str">
            <v>ESTANQUE DE AGUA 230 M3</v>
          </cell>
        </row>
        <row r="2291">
          <cell r="A2291" t="str">
            <v>ESTANQ-AGUA-237-M3</v>
          </cell>
          <cell r="B2291" t="str">
            <v>ESTANQUE DE AGUA 237 M3</v>
          </cell>
        </row>
        <row r="2292">
          <cell r="A2292" t="str">
            <v>ESTANQ-AGUA-270-M3</v>
          </cell>
          <cell r="B2292" t="str">
            <v>ESTANQUE DE AGUA 270 M3</v>
          </cell>
        </row>
        <row r="2293">
          <cell r="A2293" t="str">
            <v>ESTANQ-AGUA-300-M3</v>
          </cell>
          <cell r="B2293" t="str">
            <v>ESTANQUE DE AGUA 300 M3</v>
          </cell>
        </row>
        <row r="2294">
          <cell r="A2294" t="str">
            <v>ESTANQ-AGUA-314-M3</v>
          </cell>
          <cell r="B2294" t="str">
            <v>ESTANQUE DE AGUA 314 M3</v>
          </cell>
        </row>
        <row r="2295">
          <cell r="A2295" t="str">
            <v>ESTANQ-AGUA-520-M3</v>
          </cell>
          <cell r="B2295" t="str">
            <v>ESTANQUE DE AGUA 520 M3</v>
          </cell>
        </row>
        <row r="2296">
          <cell r="A2296" t="str">
            <v>ESTANQ-AGUA-551-M3</v>
          </cell>
          <cell r="B2296" t="str">
            <v>ESTANQUE DE AGUA 551 M3</v>
          </cell>
        </row>
        <row r="2297">
          <cell r="A2297" t="str">
            <v>ESTANQ-AGUA-565-M3</v>
          </cell>
          <cell r="B2297" t="str">
            <v>ESTANQUE DE AGUA 565 M3</v>
          </cell>
        </row>
        <row r="2298">
          <cell r="A2298" t="str">
            <v>ESTANQ-AGUA-60-M3</v>
          </cell>
          <cell r="B2298" t="str">
            <v>ESTANQUE DE AGUA 60 M3</v>
          </cell>
        </row>
        <row r="2299">
          <cell r="A2299" t="str">
            <v>ESTANQ-AGUA-61-M3</v>
          </cell>
          <cell r="B2299" t="str">
            <v>ESTANQUE DE AGUA 61 M3</v>
          </cell>
        </row>
        <row r="2300">
          <cell r="A2300" t="str">
            <v>ESTANQ-PL-A667200227</v>
          </cell>
          <cell r="B2300" t="str">
            <v>PLACA 10 GA x 60 (Pulg) SP STV x 1/2 (Pulg)</v>
          </cell>
        </row>
        <row r="2301">
          <cell r="A2301" t="str">
            <v>ESTANQ-PL-A667200228</v>
          </cell>
          <cell r="B2301" t="str">
            <v>PLACA 12 GA x 60 (Pulg) SP STV x 1/2 (Pulg)</v>
          </cell>
        </row>
        <row r="2302">
          <cell r="A2302" t="str">
            <v>EXT-1230</v>
          </cell>
          <cell r="B2302" t="str">
            <v>EMPAQUETADURA DE BOQUILLA - 1230</v>
          </cell>
        </row>
        <row r="2303">
          <cell r="A2303" t="str">
            <v>EXT-14091</v>
          </cell>
          <cell r="B2303" t="str">
            <v>SOPORTE TRABAJO LIVIANO EXT 20-G - 14091</v>
          </cell>
        </row>
        <row r="2304">
          <cell r="A2304" t="str">
            <v>EXT-16470</v>
          </cell>
          <cell r="B2304" t="str">
            <v>BOTON  ROJO DE ACTUADOR MANUAL - 16470</v>
          </cell>
        </row>
        <row r="2305">
          <cell r="A2305" t="str">
            <v>EXT-16635</v>
          </cell>
          <cell r="B2305" t="str">
            <v>CODO DE ACTUADOR MURAL - 16635</v>
          </cell>
        </row>
        <row r="2306">
          <cell r="A2306" t="str">
            <v>EXT-17633</v>
          </cell>
          <cell r="B2306" t="str">
            <v>TAPA LEXANO - 17633</v>
          </cell>
        </row>
        <row r="2307">
          <cell r="A2307" t="str">
            <v>EXT-24899</v>
          </cell>
          <cell r="B2307" t="str">
            <v>O-RING ACTUADOR NEUMATICO - 24899</v>
          </cell>
        </row>
        <row r="2308">
          <cell r="A2308" t="str">
            <v>EXT-31500</v>
          </cell>
          <cell r="B2308" t="str">
            <v>EXTINTOR ANSUL MOD. CR-I-K-150-C - 31500</v>
          </cell>
        </row>
        <row r="2309">
          <cell r="A2309" t="str">
            <v>EXT-3461</v>
          </cell>
          <cell r="B2309" t="str">
            <v>EMPAQUET TAPA LLENADO EXT.150/35 - 3461</v>
          </cell>
        </row>
        <row r="2310">
          <cell r="A2310" t="str">
            <v>EXT-3621</v>
          </cell>
          <cell r="B2310" t="str">
            <v>PASADOR REMACHE DE BOQUILLA - 3621</v>
          </cell>
        </row>
        <row r="2311">
          <cell r="A2311" t="str">
            <v>EXT-4108</v>
          </cell>
          <cell r="B2311" t="str">
            <v>PASADOR EXPANSION GRANDE - 4108</v>
          </cell>
        </row>
        <row r="2312">
          <cell r="A2312" t="str">
            <v>EXT4111</v>
          </cell>
          <cell r="B2312" t="str">
            <v>TARJETA ALUMINIO INSP/SERV 6 4X8 3 -4111</v>
          </cell>
        </row>
        <row r="2313">
          <cell r="A2313" t="str">
            <v>EXT-415660</v>
          </cell>
          <cell r="B2313" t="str">
            <v>SELLO INSPECCION MANGUERA #20 - 415660</v>
          </cell>
        </row>
        <row r="2314">
          <cell r="A2314" t="str">
            <v>EXT-415661</v>
          </cell>
          <cell r="B2314" t="str">
            <v>SELLO INSPECCION MANGUERA #30 - 415661</v>
          </cell>
        </row>
        <row r="2315">
          <cell r="A2315" t="str">
            <v>EXT-416309</v>
          </cell>
          <cell r="B2315" t="str">
            <v>EXTINTOR ANSUL MODELO I-K-20-G - 416309</v>
          </cell>
        </row>
        <row r="2316">
          <cell r="A2316" t="str">
            <v>EXT-416346</v>
          </cell>
          <cell r="B2316" t="str">
            <v>CUBRE CARTUCHO EXT. 20-G - 416346</v>
          </cell>
        </row>
        <row r="2317">
          <cell r="A2317" t="str">
            <v>EXT-428327</v>
          </cell>
          <cell r="B2317" t="str">
            <v>ANILLO ORING P/VALVULA A10H/AA20 -428327</v>
          </cell>
        </row>
        <row r="2318">
          <cell r="A2318" t="str">
            <v>EXT-429598</v>
          </cell>
          <cell r="B2318" t="str">
            <v>Extintor Cleanguard Ansul, modelo FE09 (4,3 kg)</v>
          </cell>
        </row>
        <row r="2319">
          <cell r="A2319" t="str">
            <v>EXT-434211</v>
          </cell>
          <cell r="B2319" t="str">
            <v>PASADOR DE ANILLO - 434211</v>
          </cell>
        </row>
        <row r="2320">
          <cell r="A2320" t="str">
            <v>EXT-435109</v>
          </cell>
          <cell r="B2320" t="str">
            <v>EXTINTOR ANSUL MOD. I-A-20-G-1 - 435109</v>
          </cell>
        </row>
        <row r="2321">
          <cell r="A2321" t="str">
            <v>EXT-435113</v>
          </cell>
          <cell r="B2321" t="str">
            <v>EXTINTOR ANSUL CR-I-A-20-G-1 - 435113</v>
          </cell>
        </row>
        <row r="2322">
          <cell r="A2322" t="str">
            <v>EXT-435151</v>
          </cell>
          <cell r="B2322" t="str">
            <v>EXTINTOR ANSUL MOD. I-A-30-G-1 - 435151</v>
          </cell>
        </row>
        <row r="2323">
          <cell r="A2323" t="str">
            <v>EXT-442411</v>
          </cell>
          <cell r="B2323" t="str">
            <v>EXTINTOR ANSUL MODELO CD15-2 - 442411</v>
          </cell>
        </row>
        <row r="2324">
          <cell r="A2324" t="str">
            <v>EXT-56124</v>
          </cell>
          <cell r="B2324" t="str">
            <v>O-RING PUNZON ACT MANUAL - 56124</v>
          </cell>
        </row>
        <row r="2325">
          <cell r="A2325" t="str">
            <v>EXT-56759</v>
          </cell>
          <cell r="B2325" t="str">
            <v>CUBRE PUNZON ACTUADOR MANUAL - 56759</v>
          </cell>
        </row>
        <row r="2326">
          <cell r="A2326" t="str">
            <v>EXT-56776</v>
          </cell>
          <cell r="B2326" t="str">
            <v>MANOMETRO Q.S. EN ESPAÑOL 195 LB - 56776</v>
          </cell>
        </row>
        <row r="2327">
          <cell r="A2327" t="str">
            <v>EXT-6169</v>
          </cell>
          <cell r="B2327" t="str">
            <v>MANILLA ACARREO EXTINTOR RED LINE - 6169</v>
          </cell>
        </row>
        <row r="2328">
          <cell r="A2328" t="str">
            <v>EXT-6323</v>
          </cell>
          <cell r="B2328" t="str">
            <v>O-RING MANGUERA 20 LB - 6323</v>
          </cell>
        </row>
        <row r="2329">
          <cell r="A2329" t="str">
            <v>EXT-6324</v>
          </cell>
          <cell r="B2329" t="str">
            <v>O-RING MANGUERA 30 LB - 6324</v>
          </cell>
        </row>
        <row r="2330">
          <cell r="A2330" t="str">
            <v>EXT-670</v>
          </cell>
          <cell r="B2330" t="str">
            <v>EMPAQUETADURA COPLA MANGUERA - 670</v>
          </cell>
        </row>
        <row r="2331">
          <cell r="A2331" t="str">
            <v>EXT-7091</v>
          </cell>
          <cell r="B2331" t="str">
            <v>MANGUERA DESCARGA EXT 20 LB MOD E/G-7091</v>
          </cell>
        </row>
        <row r="2332">
          <cell r="A2332" t="str">
            <v>EXT-7095</v>
          </cell>
          <cell r="B2332" t="str">
            <v>PASADOR DE ANILLO C/CADENA - 7095</v>
          </cell>
        </row>
        <row r="2333">
          <cell r="A2333" t="str">
            <v>EXT-74637</v>
          </cell>
          <cell r="B2333" t="str">
            <v>PUNZON ACTUADOR MANUAL SIN ORING - 74637</v>
          </cell>
        </row>
        <row r="2334">
          <cell r="A2334" t="str">
            <v>EXTCO2-50KG</v>
          </cell>
          <cell r="B2334" t="str">
            <v xml:space="preserve">EXTINTOR CO2 BC, 50 KG           </v>
          </cell>
        </row>
        <row r="2335">
          <cell r="A2335" t="str">
            <v>EXTCO2BC5KG</v>
          </cell>
          <cell r="B2335" t="str">
            <v xml:space="preserve">EXTINTOR CO2 BC, 5 KG           </v>
          </cell>
        </row>
        <row r="2336">
          <cell r="A2336" t="str">
            <v>EXTPQSABC6KG</v>
          </cell>
          <cell r="B2336" t="str">
            <v>EXTINTOR PQS ABC, 6 KG</v>
          </cell>
        </row>
        <row r="2337">
          <cell r="A2337" t="str">
            <v>EXTWO2-1-430847</v>
          </cell>
          <cell r="B2337" t="str">
            <v>EXTINTOR AGUA PRES. 2,5 GAL 9,5 LT ANSUL</v>
          </cell>
        </row>
        <row r="2338">
          <cell r="A2338" t="str">
            <v>FL150CI-01-0000</v>
          </cell>
          <cell r="B2338" t="str">
            <v xml:space="preserve">FLANG ASTM 150 ANSI RF CIEGO 1 </v>
          </cell>
        </row>
        <row r="2339">
          <cell r="A2339" t="str">
            <v>FL150CI-02-0000</v>
          </cell>
          <cell r="B2339" t="str">
            <v xml:space="preserve">FLANG ASTM 150 ANSI RF CIEGO 2 </v>
          </cell>
        </row>
        <row r="2340">
          <cell r="A2340" t="str">
            <v>FL150CI-03-0000</v>
          </cell>
          <cell r="B2340" t="str">
            <v xml:space="preserve">FLANG ASTM 150 ANSI RF CIEGO 3 </v>
          </cell>
        </row>
        <row r="2341">
          <cell r="A2341" t="str">
            <v>FL150CI-04-0000</v>
          </cell>
          <cell r="B2341" t="str">
            <v xml:space="preserve">FLANG ASTM 150 ANSI RF CIEGO 4 </v>
          </cell>
        </row>
        <row r="2342">
          <cell r="A2342" t="str">
            <v>FL150CI-05-0000</v>
          </cell>
          <cell r="B2342" t="str">
            <v xml:space="preserve">FLANG ASTM 150 ANSI RF CIEGO 5 </v>
          </cell>
        </row>
        <row r="2343">
          <cell r="A2343" t="str">
            <v>FL150CI-06-0000</v>
          </cell>
          <cell r="B2343" t="str">
            <v xml:space="preserve">FLANG ASTM 150 ANSI RF CIEGO 6 </v>
          </cell>
        </row>
        <row r="2344">
          <cell r="A2344" t="str">
            <v>FL150CI-08-0000</v>
          </cell>
          <cell r="B2344" t="str">
            <v xml:space="preserve">FLANG ASTM 150 ANSI RF CIEGO 8 </v>
          </cell>
        </row>
        <row r="2345">
          <cell r="A2345" t="str">
            <v>FL150CI-0M-0000</v>
          </cell>
          <cell r="B2345" t="str">
            <v xml:space="preserve">FLANG ASTM 150 ANSI RF CIEGO 1/2 </v>
          </cell>
        </row>
        <row r="2346">
          <cell r="A2346" t="str">
            <v>FL150CI-0T-0000</v>
          </cell>
          <cell r="B2346" t="str">
            <v xml:space="preserve">FLANG ASTM 150 ANSI RF CIEGO 3/4 </v>
          </cell>
        </row>
        <row r="2347">
          <cell r="A2347" t="str">
            <v>FL150CI-10-0000</v>
          </cell>
          <cell r="B2347" t="str">
            <v xml:space="preserve">FLANG ASTM 150 ANSI RF CIEGO 10 </v>
          </cell>
        </row>
        <row r="2348">
          <cell r="A2348" t="str">
            <v>FL150CI-12-0000</v>
          </cell>
          <cell r="B2348" t="str">
            <v xml:space="preserve">FLANG ASTM 150 ANSI RF CIEGO 12 </v>
          </cell>
        </row>
        <row r="2349">
          <cell r="A2349" t="str">
            <v>FL150CI-14-0000</v>
          </cell>
          <cell r="B2349" t="str">
            <v xml:space="preserve">FLANG ASTM 150 ANSI RF CIEGO 14 </v>
          </cell>
        </row>
        <row r="2350">
          <cell r="A2350" t="str">
            <v>FL150CI-16-0000</v>
          </cell>
          <cell r="B2350" t="str">
            <v xml:space="preserve">FLANG ASTM 150 ANSI RF CIEGO 16 </v>
          </cell>
        </row>
        <row r="2351">
          <cell r="A2351" t="str">
            <v>FL150CI-18-0000</v>
          </cell>
          <cell r="B2351" t="str">
            <v xml:space="preserve">FLANG ASTM 150 ANSI RF CIEGO 18 </v>
          </cell>
        </row>
        <row r="2352">
          <cell r="A2352" t="str">
            <v>FL150CI-1C-0000</v>
          </cell>
          <cell r="B2352" t="str">
            <v xml:space="preserve">FLANG ASTM 150 ANSI RF CIEGO 1 1/4 </v>
          </cell>
        </row>
        <row r="2353">
          <cell r="A2353" t="str">
            <v>FL150CI-1M-0000</v>
          </cell>
          <cell r="B2353" t="str">
            <v xml:space="preserve">FLANG ASTM 150 ANSI RF CIEGO 1 1/2 </v>
          </cell>
        </row>
        <row r="2354">
          <cell r="A2354" t="str">
            <v>FL150CI-20-0000</v>
          </cell>
          <cell r="B2354" t="str">
            <v xml:space="preserve">FLANG ASTM 150 ANSI RF CIEGO 20 </v>
          </cell>
        </row>
        <row r="2355">
          <cell r="A2355" t="str">
            <v>FL150CI-24-0000</v>
          </cell>
          <cell r="B2355" t="str">
            <v xml:space="preserve">FLANG ASTM 150 ANSI RF CIEGO 24 </v>
          </cell>
        </row>
        <row r="2356">
          <cell r="A2356" t="str">
            <v>FL150CI-2M-0000</v>
          </cell>
          <cell r="B2356" t="str">
            <v xml:space="preserve">FLANG ASTM 150 ANSI RF CIEGO 2 1/2 </v>
          </cell>
        </row>
        <row r="2357">
          <cell r="A2357" t="str">
            <v>FL150SP-01-0000</v>
          </cell>
          <cell r="B2357" t="str">
            <v xml:space="preserve">FLANG ASTM 150 ANSI RF SLIP-ON 1 </v>
          </cell>
        </row>
        <row r="2358">
          <cell r="A2358" t="str">
            <v>FL150SP-02-0000</v>
          </cell>
          <cell r="B2358" t="str">
            <v xml:space="preserve">FLANG ASTM 150 ANSI RF SLIP-ON 2 </v>
          </cell>
        </row>
        <row r="2359">
          <cell r="A2359" t="str">
            <v>FL150SP-03-0000</v>
          </cell>
          <cell r="B2359" t="str">
            <v xml:space="preserve">FLANG ASTM 150 ANSI RF SLIP-ON 3 </v>
          </cell>
        </row>
        <row r="2360">
          <cell r="A2360" t="str">
            <v>FL150SP-04-0000</v>
          </cell>
          <cell r="B2360" t="str">
            <v xml:space="preserve">FLANG ASTM 150 ANSI RF SLIP-ON 4 </v>
          </cell>
        </row>
        <row r="2361">
          <cell r="A2361" t="str">
            <v>FL150SP-05-0000</v>
          </cell>
          <cell r="B2361" t="str">
            <v xml:space="preserve">FLANG ASTM 150 ANSI RF SLIP-ON 5 </v>
          </cell>
        </row>
        <row r="2362">
          <cell r="A2362" t="str">
            <v>FL150SP-06-0000</v>
          </cell>
          <cell r="B2362" t="str">
            <v xml:space="preserve">FLANG ASTM 150 ANSI RF SLIP-ON 6 </v>
          </cell>
        </row>
        <row r="2363">
          <cell r="A2363" t="str">
            <v>FL150SP-08-0000</v>
          </cell>
          <cell r="B2363" t="str">
            <v xml:space="preserve">FLANG ASTM 150 ANSI RF SLIP-ON 8 </v>
          </cell>
        </row>
        <row r="2364">
          <cell r="A2364" t="str">
            <v>FL150SP-0M-0000</v>
          </cell>
          <cell r="B2364" t="str">
            <v xml:space="preserve">FLANG ASTM 150 ANSI RF SLIP-ON 1/2 </v>
          </cell>
        </row>
        <row r="2365">
          <cell r="A2365" t="str">
            <v>FL150SP-0T-0000</v>
          </cell>
          <cell r="B2365" t="str">
            <v xml:space="preserve">FLANG ASTM 150 ANSI RF SLIP-ON 3/4 </v>
          </cell>
        </row>
        <row r="2366">
          <cell r="A2366" t="str">
            <v>FL150SP-10-0000</v>
          </cell>
          <cell r="B2366" t="str">
            <v xml:space="preserve">FLANG ASTM 150 ANSI RF SLIP-ON 10 </v>
          </cell>
        </row>
        <row r="2367">
          <cell r="A2367" t="str">
            <v>FL150SP-12-0000</v>
          </cell>
          <cell r="B2367" t="str">
            <v xml:space="preserve">FLANG ASTM 150 ANSI RF SLIP-ON 12 </v>
          </cell>
        </row>
        <row r="2368">
          <cell r="A2368" t="str">
            <v>FL150SP-14-0000</v>
          </cell>
          <cell r="B2368" t="str">
            <v xml:space="preserve">FLANG ASTM 150 ANSI RF SLIP-ON 14 </v>
          </cell>
        </row>
        <row r="2369">
          <cell r="A2369" t="str">
            <v>FL150SP-16-0000</v>
          </cell>
          <cell r="B2369" t="str">
            <v xml:space="preserve">FLANG ASTM 150 ANSI RF SLIP-ON 16 </v>
          </cell>
        </row>
        <row r="2370">
          <cell r="A2370" t="str">
            <v>FL150SP-18-0000</v>
          </cell>
          <cell r="B2370" t="str">
            <v xml:space="preserve">FLANG ASTM 150 ANSI RF SLIP-ON 18 </v>
          </cell>
        </row>
        <row r="2371">
          <cell r="A2371" t="str">
            <v>FL150SP-1C-0000</v>
          </cell>
          <cell r="B2371" t="str">
            <v xml:space="preserve">FLANG ASTM 150 ANSI RF SLIP-ON 1 1/4 </v>
          </cell>
        </row>
        <row r="2372">
          <cell r="A2372" t="str">
            <v>FL150SP-1M-0000</v>
          </cell>
          <cell r="B2372" t="str">
            <v xml:space="preserve">FLANG ASTM 150 ANSI RF SLIP-ON 1 1/2 </v>
          </cell>
        </row>
        <row r="2373">
          <cell r="A2373" t="str">
            <v>FL150SP-20-0000</v>
          </cell>
          <cell r="B2373" t="str">
            <v xml:space="preserve">FLANG ASTM 150 ANSI RF SLIP-ON 20 </v>
          </cell>
        </row>
        <row r="2374">
          <cell r="A2374" t="str">
            <v>FL150SP-24-0000</v>
          </cell>
          <cell r="B2374" t="str">
            <v xml:space="preserve">FLANG ASTM 150 ANSI RF SLIP-ON 24 </v>
          </cell>
        </row>
        <row r="2375">
          <cell r="A2375" t="str">
            <v>FL150SP-2M-0000</v>
          </cell>
          <cell r="B2375" t="str">
            <v xml:space="preserve">FLANG ASTM 150 ANSI RF SLIP-ON 2 1/2 </v>
          </cell>
        </row>
        <row r="2376">
          <cell r="A2376" t="str">
            <v>FL150SP-3M-0000</v>
          </cell>
          <cell r="B2376" t="str">
            <v xml:space="preserve">FLANG ASTM 150 ANSI RF SLIP-ON 3 1/2 </v>
          </cell>
        </row>
        <row r="2377">
          <cell r="A2377" t="str">
            <v>FL150SP-TO-0000</v>
          </cell>
          <cell r="B2377" t="str">
            <v>FLANG ASTM 150 ANSI RF SLIP-ON 3/8</v>
          </cell>
        </row>
        <row r="2378">
          <cell r="A2378" t="str">
            <v>FL150WL-01-0000</v>
          </cell>
          <cell r="B2378" t="str">
            <v xml:space="preserve">FLANG ASTM 150 ANSI RF WELSING 1 </v>
          </cell>
        </row>
        <row r="2379">
          <cell r="A2379" t="str">
            <v>FL150WL-02-0000</v>
          </cell>
          <cell r="B2379" t="str">
            <v xml:space="preserve">FLANG ASTM 150 ANSI RF WELSING 2 </v>
          </cell>
        </row>
        <row r="2380">
          <cell r="A2380" t="str">
            <v>FL150WL-03-0000</v>
          </cell>
          <cell r="B2380" t="str">
            <v xml:space="preserve">FLANG ASTM 150 ANSI RF WELSING 3 </v>
          </cell>
        </row>
        <row r="2381">
          <cell r="A2381" t="str">
            <v>FL150WL-04-0000</v>
          </cell>
          <cell r="B2381" t="str">
            <v xml:space="preserve">FLANG ASTM 150 ANSI RF WELSING 4 </v>
          </cell>
        </row>
        <row r="2382">
          <cell r="A2382" t="str">
            <v>FL150WL-05-0000</v>
          </cell>
          <cell r="B2382" t="str">
            <v xml:space="preserve">FLANG ASTM 150 ANSI RF WELSING 5 </v>
          </cell>
        </row>
        <row r="2383">
          <cell r="A2383" t="str">
            <v>FL150WL-06-0000</v>
          </cell>
          <cell r="B2383" t="str">
            <v xml:space="preserve">FLANG ASTM 150 ANSI RF WELSING 6 </v>
          </cell>
        </row>
        <row r="2384">
          <cell r="A2384" t="str">
            <v>FL150WL-08-0000</v>
          </cell>
          <cell r="B2384" t="str">
            <v xml:space="preserve">FLANG ASTM 150 ANSI RF WELSING 8 </v>
          </cell>
        </row>
        <row r="2385">
          <cell r="A2385" t="str">
            <v>FL150WL-0M-0000</v>
          </cell>
          <cell r="B2385" t="str">
            <v xml:space="preserve">FLANG ASTM 150 ANSI RF WELSING 1/2 </v>
          </cell>
        </row>
        <row r="2386">
          <cell r="A2386" t="str">
            <v>FL150WL-0T-0000</v>
          </cell>
          <cell r="B2386" t="str">
            <v xml:space="preserve">FLANG ASTM 150 ANSI RF WELSING 3/4 </v>
          </cell>
        </row>
        <row r="2387">
          <cell r="A2387" t="str">
            <v>FL150WL-10-0000</v>
          </cell>
          <cell r="B2387" t="str">
            <v xml:space="preserve">FLANG ASTM 150 ANSI RF WELSING 10 </v>
          </cell>
        </row>
        <row r="2388">
          <cell r="A2388" t="str">
            <v>FL150WL-12-0000</v>
          </cell>
          <cell r="B2388" t="str">
            <v xml:space="preserve">FLANG ASTM 150 ANSI RF WELSING 12 </v>
          </cell>
        </row>
        <row r="2389">
          <cell r="A2389" t="str">
            <v>FL150WL-14-0000</v>
          </cell>
          <cell r="B2389" t="str">
            <v xml:space="preserve">FLANG ASTM 150 ANSI RF WELSING 14 </v>
          </cell>
        </row>
        <row r="2390">
          <cell r="A2390" t="str">
            <v>FL150WL-16-0000</v>
          </cell>
          <cell r="B2390" t="str">
            <v xml:space="preserve">FLANG ASTM 150 ANSI RF WELSING 16 </v>
          </cell>
        </row>
        <row r="2391">
          <cell r="A2391" t="str">
            <v>FL150WL-18-0000</v>
          </cell>
          <cell r="B2391" t="str">
            <v xml:space="preserve">FLANG ASTM 150 ANSI RF WELSING 18 </v>
          </cell>
        </row>
        <row r="2392">
          <cell r="A2392" t="str">
            <v>FL150WL-1C-0000</v>
          </cell>
          <cell r="B2392" t="str">
            <v xml:space="preserve">FLANG ASTM 150 ANSI RF WELSING 1 1/4 </v>
          </cell>
        </row>
        <row r="2393">
          <cell r="A2393" t="str">
            <v>FL150WL-1M-0000</v>
          </cell>
          <cell r="B2393" t="str">
            <v xml:space="preserve">FLANG ASTM 150 ANSI RF WELSING 1 1/2 </v>
          </cell>
        </row>
        <row r="2394">
          <cell r="A2394" t="str">
            <v>FL150WL-20-0000</v>
          </cell>
          <cell r="B2394" t="str">
            <v xml:space="preserve">FLANG ASTM 150 ANSI RF WELSING 20 </v>
          </cell>
        </row>
        <row r="2395">
          <cell r="A2395" t="str">
            <v>FL150WL-24-0000</v>
          </cell>
          <cell r="B2395" t="str">
            <v xml:space="preserve">FLANG ASTM 150 ANSI RF WELSING 24 </v>
          </cell>
        </row>
        <row r="2396">
          <cell r="A2396" t="str">
            <v>FL150WL-2M-0000</v>
          </cell>
          <cell r="B2396" t="str">
            <v xml:space="preserve">FLANG ASTM 150 ANSI RF WELSING 2 1/2 </v>
          </cell>
        </row>
        <row r="2397">
          <cell r="A2397" t="str">
            <v>FL300SP-05-0000</v>
          </cell>
          <cell r="B2397" t="str">
            <v xml:space="preserve">FLANG ASTM 300 ANSI RF SLIP-ON 5 </v>
          </cell>
        </row>
        <row r="2398">
          <cell r="A2398" t="str">
            <v>FL300WL-04-0000</v>
          </cell>
          <cell r="B2398" t="str">
            <v xml:space="preserve">FLANG ASTM 300 ANSI RF WELDING 4 </v>
          </cell>
        </row>
        <row r="2399">
          <cell r="A2399" t="str">
            <v>FL300WL-05-0000</v>
          </cell>
          <cell r="B2399" t="str">
            <v xml:space="preserve">FLANG ASTM 300 ANSI RF WELDING 5 </v>
          </cell>
        </row>
        <row r="2400">
          <cell r="A2400" t="str">
            <v>FL300WL-08-0000</v>
          </cell>
          <cell r="B2400" t="str">
            <v xml:space="preserve">FLANG ASTM 300 ANSI RF WELDING 8 </v>
          </cell>
        </row>
        <row r="2401">
          <cell r="A2401" t="str">
            <v>FL600WL-02-0000</v>
          </cell>
          <cell r="B2401" t="str">
            <v>FLANG ASTM 600ANSIWELDING 2</v>
          </cell>
        </row>
        <row r="2402">
          <cell r="A2402" t="str">
            <v>FL742ADAP-06-00</v>
          </cell>
          <cell r="B2402" t="str">
            <v>FLANG ADAP. 742 RANURADO 6</v>
          </cell>
        </row>
        <row r="2403">
          <cell r="A2403" t="str">
            <v>FM-18500-063</v>
          </cell>
          <cell r="B2403" t="str">
            <v>NOZZLE 180º, 3/8 (10 MM), BRS JANUS18500-063</v>
          </cell>
        </row>
        <row r="2404">
          <cell r="A2404" t="str">
            <v>FM200-02-9844-0</v>
          </cell>
          <cell r="B2404" t="str">
            <v>FM 200 AGENT FACTORY FILL PER ANSUL02-9844</v>
          </cell>
        </row>
        <row r="2405">
          <cell r="A2405" t="str">
            <v>FM200-10173-000</v>
          </cell>
          <cell r="B2405" t="str">
            <v>VENT CHECK FM200 JANUS</v>
          </cell>
        </row>
        <row r="2406">
          <cell r="A2406" t="str">
            <v>FM200-16999-00</v>
          </cell>
          <cell r="B2406" t="str">
            <v>VALVE CORE</v>
          </cell>
        </row>
        <row r="2407">
          <cell r="A2407" t="str">
            <v>FM200-17001-000</v>
          </cell>
          <cell r="B2407" t="str">
            <v>MANUAL VALVE ACTUATOR JANUS</v>
          </cell>
        </row>
        <row r="2408">
          <cell r="A2408" t="str">
            <v>FM200-17019-000</v>
          </cell>
          <cell r="B2408" t="str">
            <v>PNEUMATIC VALVE ACTUATOR JANUS</v>
          </cell>
        </row>
        <row r="2409">
          <cell r="A2409" t="str">
            <v>FM200-17030</v>
          </cell>
          <cell r="B2409" t="str">
            <v>KIT-VL REBUILD,SV-P. ASSEMBLY, VL CORE, CAP/CYL,O-RINGS</v>
          </cell>
        </row>
        <row r="2410">
          <cell r="A2410" t="str">
            <v>FM200-17292-000</v>
          </cell>
          <cell r="B2410" t="str">
            <v>VALVE CLOSING ADAPTER JANUS</v>
          </cell>
        </row>
        <row r="2411">
          <cell r="A2411" t="str">
            <v>FM200-17336</v>
          </cell>
          <cell r="B2411" t="str">
            <v>CAP, VALVE, SV</v>
          </cell>
        </row>
        <row r="2412">
          <cell r="A2412" t="str">
            <v>FM200-17551-00</v>
          </cell>
          <cell r="B2412" t="str">
            <v>O-RING, CAP/CYLINDER, S</v>
          </cell>
        </row>
        <row r="2413">
          <cell r="A2413" t="str">
            <v>FM200-17552</v>
          </cell>
          <cell r="B2413" t="str">
            <v>O-RING, PISTON, UPPER,</v>
          </cell>
        </row>
        <row r="2414">
          <cell r="A2414" t="str">
            <v>FM200-17553-00</v>
          </cell>
          <cell r="B2414" t="str">
            <v>O-RING, PISTON, LOWER,</v>
          </cell>
        </row>
        <row r="2415">
          <cell r="A2415" t="str">
            <v>FM200-17559</v>
          </cell>
          <cell r="B2415" t="str">
            <v>PLUG, ANTI-RECOIL, 1-1/4 MNPT (32 MM),SV</v>
          </cell>
        </row>
        <row r="2416">
          <cell r="A2416" t="str">
            <v>FM200-17562</v>
          </cell>
          <cell r="B2416" t="str">
            <v>PLUG, 3/8 MNPT (10 MM), BRASS-FOR PILOT ACTUATION PORT</v>
          </cell>
        </row>
        <row r="2417">
          <cell r="A2417" t="str">
            <v>FM200-18395</v>
          </cell>
          <cell r="B2417" t="str">
            <v>CAP, VALVE, LV</v>
          </cell>
        </row>
        <row r="2418">
          <cell r="A2418" t="str">
            <v>FM200-18397-00</v>
          </cell>
          <cell r="B2418" t="str">
            <v>O-RING, CAP, LV</v>
          </cell>
        </row>
        <row r="2419">
          <cell r="A2419" t="str">
            <v>FM200-18398-00</v>
          </cell>
          <cell r="B2419" t="str">
            <v>O-RING, PISTON, UPPER, LV</v>
          </cell>
        </row>
        <row r="2420">
          <cell r="A2420" t="str">
            <v>FM200-18399</v>
          </cell>
          <cell r="B2420" t="str">
            <v>O-RING, CAP, MV,</v>
          </cell>
        </row>
        <row r="2421">
          <cell r="A2421" t="str">
            <v>FM200-18400-00</v>
          </cell>
          <cell r="B2421" t="str">
            <v>O-RING, COLLR, MV/LV</v>
          </cell>
        </row>
        <row r="2422">
          <cell r="A2422" t="str">
            <v>FM200-18473</v>
          </cell>
          <cell r="B2422" t="str">
            <v>CAP, VALVE,MV</v>
          </cell>
        </row>
        <row r="2423">
          <cell r="A2423" t="str">
            <v>FM200-18475-00</v>
          </cell>
          <cell r="B2423" t="str">
            <v xml:space="preserve">O-RING, PISTON, UPPER, MV </v>
          </cell>
        </row>
        <row r="2424">
          <cell r="A2424" t="str">
            <v>FM200-18476-00</v>
          </cell>
          <cell r="B2424" t="str">
            <v>O-RING, PISTON, LOWER, MV</v>
          </cell>
        </row>
        <row r="2425">
          <cell r="A2425" t="str">
            <v>FM200-18481-000</v>
          </cell>
          <cell r="B2425" t="str">
            <v>ELECTRIC VALVE ACTUATOR JANUS</v>
          </cell>
        </row>
        <row r="2426">
          <cell r="A2426" t="str">
            <v>FM200-18489-000</v>
          </cell>
          <cell r="B2426" t="str">
            <v>SING,WARNING,EXIT, LEAVE AREAJANUS</v>
          </cell>
        </row>
        <row r="2427">
          <cell r="A2427" t="str">
            <v>FM200-18500-000</v>
          </cell>
          <cell r="B2427" t="str">
            <v>NOZZLE 360º, 1/2 , BRASS JANUS</v>
          </cell>
        </row>
        <row r="2428">
          <cell r="A2428" t="str">
            <v>FM200-18500-029</v>
          </cell>
          <cell r="B2428" t="str">
            <v>NOZZLE 180º, 3/8 (10 MM), BRS JANUS18500-029</v>
          </cell>
        </row>
        <row r="2429">
          <cell r="A2429" t="str">
            <v>FM200-18500-063</v>
          </cell>
          <cell r="B2429" t="str">
            <v>NOZZLE 180º, 3/8 (10 MM), BRS JANUS18500-063</v>
          </cell>
        </row>
        <row r="2430">
          <cell r="A2430" t="str">
            <v>FM200-18500-072</v>
          </cell>
          <cell r="B2430" t="str">
            <v>NOZZLE 180º, 3/8 (10 MM), BRS JANUS18500-072</v>
          </cell>
        </row>
        <row r="2431">
          <cell r="A2431" t="str">
            <v>FM200-18501-00</v>
          </cell>
          <cell r="B2431" t="str">
            <v>NOZZLE 180°, 1/2 (15MM), BRS JANUS</v>
          </cell>
        </row>
        <row r="2432">
          <cell r="A2432" t="str">
            <v>FM200-18502</v>
          </cell>
          <cell r="B2432" t="str">
            <v>NOZZLE 180° 3/4 (20MM), BRASS</v>
          </cell>
        </row>
        <row r="2433">
          <cell r="A2433" t="str">
            <v>FM200-18507-000</v>
          </cell>
          <cell r="B2433" t="str">
            <v>NOZZLE 360º, 3/8 (10 MM), BRS JANUS</v>
          </cell>
        </row>
        <row r="2434">
          <cell r="A2434" t="str">
            <v>FM200-18507-010</v>
          </cell>
          <cell r="B2434" t="str">
            <v>NOZZ 360º, 3/8 (10 MM) 0,0820 JANUS18507-010</v>
          </cell>
        </row>
        <row r="2435">
          <cell r="A2435" t="str">
            <v>FM200-18507-014</v>
          </cell>
          <cell r="B2435" t="str">
            <v>NOZZ 360º, 3/8 (10 MM) 0,0937 JANUS18507-014</v>
          </cell>
        </row>
        <row r="2436">
          <cell r="A2436" t="str">
            <v>FM200-18507-025</v>
          </cell>
          <cell r="B2436" t="str">
            <v>NOZZ 360º, 3/8 (10 MM) 0,1160 JANUS18507-025</v>
          </cell>
        </row>
        <row r="2437">
          <cell r="A2437" t="str">
            <v>FM200-18507-028</v>
          </cell>
          <cell r="B2437" t="str">
            <v>NOZZ 360º, 3/8 (10 MM) 0,1285 JANUS18507-028</v>
          </cell>
        </row>
        <row r="2438">
          <cell r="A2438" t="str">
            <v>FM200-18507-029</v>
          </cell>
          <cell r="B2438" t="str">
            <v>NOZZ 360º, 3/8 (10 MM) 0,1360 JANUS18507-029</v>
          </cell>
        </row>
        <row r="2439">
          <cell r="A2439" t="str">
            <v>FM200-18508-000</v>
          </cell>
          <cell r="B2439" t="str">
            <v>NOZZLE 360º, 1/2 (15 MM), BRS JANUS</v>
          </cell>
        </row>
        <row r="2440">
          <cell r="A2440" t="str">
            <v>FM200-18509-000</v>
          </cell>
          <cell r="B2440" t="str">
            <v>NOZZLE 360º, 3/4 (20 MM), BRS JANUS18509</v>
          </cell>
        </row>
        <row r="2441">
          <cell r="A2441" t="str">
            <v>FM200-18510-000</v>
          </cell>
          <cell r="B2441" t="str">
            <v>NOZZLE 360º, 1 (25 MM), BRASS JANUS</v>
          </cell>
        </row>
        <row r="2442">
          <cell r="A2442" t="str">
            <v>FM200-18511-000</v>
          </cell>
          <cell r="B2442" t="str">
            <v>NOZZLE 360º,1.1/4 (32 MM), BR JANUS</v>
          </cell>
        </row>
        <row r="2443">
          <cell r="A2443" t="str">
            <v>FM200-18512</v>
          </cell>
          <cell r="B2443" t="str">
            <v>NOZZLE 360º,1.1/2 (40 MM), BR JANUS</v>
          </cell>
        </row>
        <row r="2444">
          <cell r="A2444" t="str">
            <v>FM200-18513-000</v>
          </cell>
          <cell r="B2444" t="str">
            <v>NOZZLE 360º, 2 (50 MM), BRASS JANUS</v>
          </cell>
        </row>
        <row r="2445">
          <cell r="A2445" t="str">
            <v>FM200-18525-000</v>
          </cell>
          <cell r="B2445" t="str">
            <v>CYLINDER ASSEMBLY 250 LB. JANUS</v>
          </cell>
        </row>
        <row r="2446">
          <cell r="A2446" t="str">
            <v>FM200-18526-000</v>
          </cell>
          <cell r="B2446" t="str">
            <v>CYLINDER ASSEMBLY 420 LB. JANUS</v>
          </cell>
        </row>
        <row r="2447">
          <cell r="A2447" t="str">
            <v>FM200-18527-000</v>
          </cell>
          <cell r="B2447" t="str">
            <v>CYLINDER ASSEMBLY 600LB JANUS</v>
          </cell>
        </row>
        <row r="2448">
          <cell r="A2448" t="str">
            <v>FM200-18528</v>
          </cell>
          <cell r="B2448" t="str">
            <v>CYLINDER ASSEMBLY 900 LB. JANUS</v>
          </cell>
        </row>
        <row r="2449">
          <cell r="A2449" t="str">
            <v>FM200-18535-000</v>
          </cell>
          <cell r="B2449" t="str">
            <v>BRACKET &amp; STRAP CYLINDER 16 JANUS</v>
          </cell>
        </row>
        <row r="2450">
          <cell r="A2450" t="str">
            <v>FM200-18536-000</v>
          </cell>
          <cell r="B2450" t="str">
            <v>BRACKET &amp; STRAP CILINDER 24 JANUS</v>
          </cell>
        </row>
        <row r="2451">
          <cell r="A2451" t="str">
            <v>FM200-18538-000</v>
          </cell>
          <cell r="B2451" t="str">
            <v>VALVE CHECK 3 FNPT MV SERIES JANUS</v>
          </cell>
        </row>
        <row r="2452">
          <cell r="A2452" t="str">
            <v>FM200-18546-000</v>
          </cell>
          <cell r="B2452" t="str">
            <v>VALVE CHECK 2 FNPT MV SERIES JANUS</v>
          </cell>
        </row>
        <row r="2453">
          <cell r="A2453" t="str">
            <v>FM200-18547-000</v>
          </cell>
          <cell r="B2453" t="str">
            <v>VALVE CHECK 1.1/4 FNPT MV SER JANUS</v>
          </cell>
        </row>
        <row r="2454">
          <cell r="A2454" t="str">
            <v>FM200-18560-000</v>
          </cell>
          <cell r="B2454" t="str">
            <v>VALVE CHECK 1/4 MNPTX1/4JIC JANUS</v>
          </cell>
        </row>
        <row r="2455">
          <cell r="A2455" t="str">
            <v>FM200-18570</v>
          </cell>
          <cell r="B2455" t="str">
            <v>CAP, ANTI-RECOIL, 2 (50 MM), MV</v>
          </cell>
        </row>
        <row r="2456">
          <cell r="A2456" t="str">
            <v>FM200-18571</v>
          </cell>
          <cell r="B2456" t="str">
            <v>CAP, ANTI-RECOIL, 3 (80 MM), MV</v>
          </cell>
        </row>
        <row r="2457">
          <cell r="A2457" t="str">
            <v>FM200-18583-000</v>
          </cell>
          <cell r="B2457" t="str">
            <v>CYLINDER ASSEMBLY 40 LB. JANUS</v>
          </cell>
        </row>
        <row r="2458">
          <cell r="A2458" t="str">
            <v>FM200-18584-000</v>
          </cell>
          <cell r="B2458" t="str">
            <v>CYLINDER ASSEMBLY 80 LB. JANUS</v>
          </cell>
        </row>
        <row r="2459">
          <cell r="A2459" t="str">
            <v>FM200-18585-000</v>
          </cell>
          <cell r="B2459" t="str">
            <v>CYLINDER ASSEMBLY 130 LB. JANUS</v>
          </cell>
        </row>
        <row r="2460">
          <cell r="A2460" t="str">
            <v>FM200-18595-000</v>
          </cell>
          <cell r="B2460" t="str">
            <v>BRACKET ASSEMBLY CYLINDER 10 JANUS</v>
          </cell>
        </row>
        <row r="2461">
          <cell r="A2461" t="str">
            <v>FM200-18596-000</v>
          </cell>
          <cell r="B2461" t="str">
            <v>BRACKET &amp; STRAP CYLINDER 10 JANUS</v>
          </cell>
        </row>
        <row r="2462">
          <cell r="A2462" t="str">
            <v>FM200-18611-000</v>
          </cell>
          <cell r="B2462" t="str">
            <v>TEE 1/4FNPTX1/4MNPT, BRASS JANUS</v>
          </cell>
        </row>
        <row r="2463">
          <cell r="A2463" t="str">
            <v>FM200-18624-000</v>
          </cell>
          <cell r="B2463" t="str">
            <v>BUSHING 3/8 MNPTX1/4FNPT JANUS</v>
          </cell>
        </row>
        <row r="2464">
          <cell r="A2464" t="str">
            <v>FM200-18625-000</v>
          </cell>
          <cell r="B2464" t="str">
            <v>ADAPTER,1/4 MNPTX1/4JIC MALE JANUS</v>
          </cell>
        </row>
        <row r="2465">
          <cell r="A2465" t="str">
            <v>FM200-18648-000</v>
          </cell>
          <cell r="B2465" t="str">
            <v>HOSE,FLEX,3/16 ,1/4 JIC FEMALE JANUS</v>
          </cell>
        </row>
        <row r="2466">
          <cell r="A2466" t="str">
            <v>FM200-18649-000</v>
          </cell>
          <cell r="B2466" t="str">
            <v>HOSE,FLEX,3/16 ,1/4 JIC FEMALE JANUS18770</v>
          </cell>
        </row>
        <row r="2467">
          <cell r="A2467" t="str">
            <v>FM200-18652</v>
          </cell>
          <cell r="B2467" t="str">
            <v>PLUG, 1/4 MNPT (8 MM), BRASS-FOR PILOT ACTUATION PORT</v>
          </cell>
        </row>
        <row r="2468">
          <cell r="A2468" t="str">
            <v>FM200-18770-000</v>
          </cell>
          <cell r="B2468" t="str">
            <v>WARNING PLATE USE OUTSIDE ROOM JANUS</v>
          </cell>
        </row>
        <row r="2469">
          <cell r="A2469" t="str">
            <v>FM200-18772-000</v>
          </cell>
          <cell r="B2469" t="str">
            <v>GAUGE ASSEMBLY,PRESSURE MV&amp;LV JANUS</v>
          </cell>
        </row>
        <row r="2470">
          <cell r="A2470" t="str">
            <v>FM200-18773-000</v>
          </cell>
          <cell r="B2470" t="str">
            <v>SWITCH DISCHARGE PRESSURE JANUSFM200</v>
          </cell>
        </row>
        <row r="2471">
          <cell r="A2471" t="str">
            <v>FM200-18775-000</v>
          </cell>
          <cell r="B2471" t="str">
            <v>SWIT ASSEMBLY,LOW PRESS.SUPERV JANUS</v>
          </cell>
        </row>
        <row r="2472">
          <cell r="A2472" t="str">
            <v>FM200-18846-000</v>
          </cell>
          <cell r="B2472" t="str">
            <v>STATION,MAIN/RESERVE TRANSFER JANUS</v>
          </cell>
        </row>
        <row r="2473">
          <cell r="A2473" t="str">
            <v>FM200-18849-000</v>
          </cell>
          <cell r="B2473" t="str">
            <v>STATION,SOLENOID LOCK-OUT JANUS</v>
          </cell>
        </row>
        <row r="2474">
          <cell r="A2474" t="str">
            <v>FM200-19019</v>
          </cell>
          <cell r="B2474" t="str">
            <v>KIT-VL REBUILD,MV-P. ASSEMBLY, VL CORE, CAP O-RING, COLLAR</v>
          </cell>
        </row>
        <row r="2475">
          <cell r="A2475" t="str">
            <v>FM200-19020</v>
          </cell>
          <cell r="B2475" t="str">
            <v>KIT-VL REBUILD,LV-P. ASSEMBLY, VL CORE, CAP O-RING, COLLAR</v>
          </cell>
        </row>
        <row r="2476">
          <cell r="A2476" t="str">
            <v>FM200-19056</v>
          </cell>
          <cell r="B2476" t="str">
            <v>LUBRICANT, VALVE,SV/MV/LV-5.29 0Z TUBE</v>
          </cell>
        </row>
        <row r="2477">
          <cell r="A2477" t="str">
            <v>FM200-19057</v>
          </cell>
          <cell r="B2477" t="str">
            <v>TOOL, VALVE CORE REMOVAL</v>
          </cell>
        </row>
        <row r="2478">
          <cell r="A2478" t="str">
            <v>FM200-19058</v>
          </cell>
          <cell r="B2478" t="str">
            <v>WRENCH, SPANNER, CYLINDER CAP,SV / MV</v>
          </cell>
        </row>
        <row r="2479">
          <cell r="A2479" t="str">
            <v>FM200-19059</v>
          </cell>
          <cell r="B2479" t="str">
            <v>WRENCH, SPANNER, CYLINDER CAP,LV</v>
          </cell>
        </row>
        <row r="2480">
          <cell r="A2480" t="str">
            <v>FM200-19317</v>
          </cell>
          <cell r="B2480" t="str">
            <v>RELIEF VALVE ASSEMBLY, 1/2 NPT (15MM), 450 PSI (3.1 BAR)</v>
          </cell>
        </row>
        <row r="2481">
          <cell r="A2481" t="str">
            <v>FM200-20610255-0</v>
          </cell>
          <cell r="B2481" t="str">
            <v>120 VOLT- 60Hz SOLEN (B)  VALVE W/ PRESSURE GAUGE</v>
          </cell>
        </row>
        <row r="2482">
          <cell r="A2482" t="str">
            <v>FM200-20610259-0</v>
          </cell>
          <cell r="B2482" t="str">
            <v>120 VOLT- 60Hz SOLENOID VALVE W/ PRESSURE GAUGE</v>
          </cell>
        </row>
        <row r="2483">
          <cell r="A2483" t="str">
            <v>FM200-31810</v>
          </cell>
          <cell r="B2483" t="str">
            <v>MALE ACTUATION ELBOW 7/16-20 TO 1/4 NPT</v>
          </cell>
        </row>
        <row r="2484">
          <cell r="A2484" t="str">
            <v>FM200-31811-000</v>
          </cell>
          <cell r="B2484" t="str">
            <v>MALE ACTUATION TEE 7/16-20 TO 1/4 NPT 31811</v>
          </cell>
        </row>
        <row r="2485">
          <cell r="A2485" t="str">
            <v>FM200-32336-00</v>
          </cell>
          <cell r="B2485" t="str">
            <v>1/4 FEMALE ACTUATION HOSE 7/16-20</v>
          </cell>
        </row>
        <row r="2486">
          <cell r="A2486" t="str">
            <v>FM200-32338-000</v>
          </cell>
          <cell r="B2486" t="str">
            <v>1/4MALE STRAIGHT ADAPTOR ANSUL32338</v>
          </cell>
        </row>
        <row r="2487">
          <cell r="A2487" t="str">
            <v>FM200-415142-00</v>
          </cell>
          <cell r="B2487" t="str">
            <v>ACTUATION HOSE 1/4 ANSUL415142</v>
          </cell>
        </row>
        <row r="2488">
          <cell r="A2488" t="str">
            <v>FM200-430815</v>
          </cell>
          <cell r="B2488" t="str">
            <v>Acutation hose, 42 in, 1/4 in. NPTx7/16-20 in.F Flare ANSUL</v>
          </cell>
        </row>
        <row r="2489">
          <cell r="A2489" t="str">
            <v>FM200-437900-00</v>
          </cell>
          <cell r="B2489" t="str">
            <v>PRESSURE SWITCH-DPSTANSUL</v>
          </cell>
        </row>
        <row r="2490">
          <cell r="A2490" t="str">
            <v>FM200-437982-00</v>
          </cell>
          <cell r="B2490" t="str">
            <v xml:space="preserve">SAPPIRE PRESSURE GAUGE MANOMETRO </v>
          </cell>
        </row>
        <row r="2491">
          <cell r="A2491" t="str">
            <v>FM200-441871-00</v>
          </cell>
          <cell r="B2491" t="str">
            <v>ELECTRIC ACTUADOR PLACEMENT INDICADOR SW</v>
          </cell>
        </row>
        <row r="2492">
          <cell r="A2492" t="str">
            <v>FM200-442872</v>
          </cell>
          <cell r="B2492" t="str">
            <v>TANK SIZE 8L</v>
          </cell>
        </row>
        <row r="2493">
          <cell r="A2493" t="str">
            <v>FM200-442873</v>
          </cell>
          <cell r="B2493" t="str">
            <v>TANK SIZE 16L</v>
          </cell>
        </row>
        <row r="2494">
          <cell r="A2494" t="str">
            <v>FM200-442874</v>
          </cell>
          <cell r="B2494" t="str">
            <v>TANK SIZE 32L</v>
          </cell>
        </row>
        <row r="2495">
          <cell r="A2495" t="str">
            <v>FM200-442875</v>
          </cell>
          <cell r="B2495" t="str">
            <v>TANK SIZE 52L</v>
          </cell>
        </row>
        <row r="2496">
          <cell r="A2496" t="str">
            <v>FM200-442876</v>
          </cell>
          <cell r="B2496" t="str">
            <v>TANK SIZE 106L</v>
          </cell>
        </row>
        <row r="2497">
          <cell r="A2497" t="str">
            <v>FM200-442877</v>
          </cell>
          <cell r="B2497" t="str">
            <v>TANK SIZE 147L</v>
          </cell>
        </row>
        <row r="2498">
          <cell r="A2498" t="str">
            <v>FM200-442878</v>
          </cell>
          <cell r="B2498" t="str">
            <v>TANK SIZE 180L</v>
          </cell>
        </row>
        <row r="2499">
          <cell r="A2499" t="str">
            <v>FM200-442879</v>
          </cell>
          <cell r="B2499" t="str">
            <v>TANK SIZE 343L</v>
          </cell>
        </row>
        <row r="2500">
          <cell r="A2500" t="str">
            <v>FM200-442911</v>
          </cell>
          <cell r="B2500" t="str">
            <v xml:space="preserve">Nozzle 8 perf. 2,5mm 360 DEGRE BR 15mm </v>
          </cell>
        </row>
        <row r="2501">
          <cell r="A2501" t="str">
            <v>FM200-442912</v>
          </cell>
          <cell r="B2501" t="str">
            <v xml:space="preserve">Nozzle 8 perf. 5.0mm 360 DEGRE BR 20mm </v>
          </cell>
        </row>
        <row r="2502">
          <cell r="A2502" t="str">
            <v>FM200-442913</v>
          </cell>
          <cell r="B2502" t="str">
            <v xml:space="preserve">1NOZZLE BR 25 mm 8 perf. 6.5mm 360 DEGRE </v>
          </cell>
        </row>
        <row r="2503">
          <cell r="A2503" t="str">
            <v>FM200-442914</v>
          </cell>
          <cell r="B2503" t="str">
            <v xml:space="preserve">1NOZZLE BR 32 mm 8 perf. 9.6mm 360 DEGRE </v>
          </cell>
        </row>
        <row r="2504">
          <cell r="A2504" t="str">
            <v>FM200-442915</v>
          </cell>
          <cell r="B2504" t="str">
            <v xml:space="preserve">1NOZZLE BR 40 mm 8 perf. 9.2mm 360 DEGRE </v>
          </cell>
        </row>
        <row r="2505">
          <cell r="A2505" t="str">
            <v>FM200-442916</v>
          </cell>
          <cell r="B2505" t="str">
            <v xml:space="preserve">1NOZZLE BR 50 mm 8 perf. 16.4mm 360 DEGRE </v>
          </cell>
        </row>
        <row r="2506">
          <cell r="A2506" t="str">
            <v>FM200-442927-00</v>
          </cell>
          <cell r="B2506" t="str">
            <v>DOOR SIGN GREATER THAN NOAEL</v>
          </cell>
        </row>
        <row r="2507">
          <cell r="A2507" t="str">
            <v>FM200-442928-00</v>
          </cell>
          <cell r="B2507" t="str">
            <v>DOOR SIGN LESS THAN NOAEL</v>
          </cell>
        </row>
        <row r="2508">
          <cell r="A2508" t="str">
            <v>FM200-442931-00</v>
          </cell>
          <cell r="B2508" t="str">
            <v>LABEL 52.343L FM-200 NAMEPLATE</v>
          </cell>
        </row>
        <row r="2509">
          <cell r="A2509" t="str">
            <v>FM200-442938-00</v>
          </cell>
          <cell r="B2509" t="str">
            <v>LABEL 8-32L FM-200 NAMEPLATE</v>
          </cell>
        </row>
        <row r="2510">
          <cell r="A2510" t="str">
            <v>FM200-445732-00</v>
          </cell>
          <cell r="B2510" t="str">
            <v xml:space="preserve">(INACTIVO) TANK SIZE 8L </v>
          </cell>
        </row>
        <row r="2511">
          <cell r="A2511" t="str">
            <v>FM200-445733-00</v>
          </cell>
          <cell r="B2511" t="str">
            <v>(INACTIVO) TANK SIZE 16L</v>
          </cell>
        </row>
        <row r="2512">
          <cell r="A2512" t="str">
            <v>FM200-445734-00</v>
          </cell>
          <cell r="B2512" t="str">
            <v>(INACTIVO) TANK SIZE 32L</v>
          </cell>
        </row>
        <row r="2513">
          <cell r="A2513" t="str">
            <v>FM200-445735-00</v>
          </cell>
          <cell r="B2513" t="str">
            <v>(INACTIVO) TANK SIZE 52L</v>
          </cell>
        </row>
        <row r="2514">
          <cell r="A2514" t="str">
            <v>FM200-445736-00</v>
          </cell>
          <cell r="B2514" t="str">
            <v>(INACTIVO) TANK SIZE 106L</v>
          </cell>
        </row>
        <row r="2515">
          <cell r="A2515" t="str">
            <v>FM200-445737-00</v>
          </cell>
          <cell r="B2515" t="str">
            <v>(INACTIVO) TANK SIZE 147L</v>
          </cell>
        </row>
        <row r="2516">
          <cell r="A2516" t="str">
            <v>FM200-445738-00</v>
          </cell>
          <cell r="B2516" t="str">
            <v>(INACTIVO) TANK SIZE 180L</v>
          </cell>
        </row>
        <row r="2517">
          <cell r="A2517" t="str">
            <v>FM200-445739-00</v>
          </cell>
          <cell r="B2517" t="str">
            <v>(INACTIVO) TANK SIZE 343L</v>
          </cell>
        </row>
        <row r="2518">
          <cell r="A2518" t="str">
            <v>FM200-45733-00</v>
          </cell>
          <cell r="B2518" t="str">
            <v>INACTIVO</v>
          </cell>
        </row>
        <row r="2519">
          <cell r="A2519" t="str">
            <v>FM200-46250-000</v>
          </cell>
          <cell r="B2519" t="str">
            <v>PRESSURE SWITCH53837</v>
          </cell>
        </row>
        <row r="2520">
          <cell r="A2520" t="str">
            <v>FM200-53837-000</v>
          </cell>
          <cell r="B2520" t="str">
            <v xml:space="preserve">MANIFOLD SADDLE, THREADED </v>
          </cell>
        </row>
        <row r="2521">
          <cell r="A2521" t="str">
            <v>FM200-56803</v>
          </cell>
          <cell r="B2521" t="str">
            <v>ACTUATION ISOLATOR</v>
          </cell>
        </row>
        <row r="2522">
          <cell r="A2522" t="str">
            <v>FM200-570003-00</v>
          </cell>
          <cell r="B2522" t="str">
            <v xml:space="preserve">8 L TANK VALVE &amp; LL ASEMBLY </v>
          </cell>
        </row>
        <row r="2523">
          <cell r="A2523" t="str">
            <v>FM200-570004-00</v>
          </cell>
          <cell r="B2523" t="str">
            <v xml:space="preserve">16 L TANK VALVE &amp; LL ASEMBLY </v>
          </cell>
        </row>
        <row r="2524">
          <cell r="A2524" t="str">
            <v>FM200-570005-00</v>
          </cell>
          <cell r="B2524" t="str">
            <v>32 L TANK VALVE &amp; LL ASEMBLY ANSUL</v>
          </cell>
        </row>
        <row r="2525">
          <cell r="A2525" t="str">
            <v>FM200-570006-00</v>
          </cell>
          <cell r="B2525" t="str">
            <v>52 L TANK VALVE &amp; LL ASEMBLY ANSUL</v>
          </cell>
        </row>
        <row r="2526">
          <cell r="A2526" t="str">
            <v>FM200-570007-00</v>
          </cell>
          <cell r="B2526" t="str">
            <v>106 L TANK VALVE &amp; LL ASEMBLY ANSUL</v>
          </cell>
        </row>
        <row r="2527">
          <cell r="A2527" t="str">
            <v>FM200-570008-00</v>
          </cell>
          <cell r="B2527" t="str">
            <v xml:space="preserve">147 L TANK VALVE &amp; LL ASEMBLY  163-324 LB ANSUL </v>
          </cell>
        </row>
        <row r="2528">
          <cell r="A2528" t="str">
            <v>FM200-570009-00</v>
          </cell>
          <cell r="B2528" t="str">
            <v xml:space="preserve">180 L TANK VALVE &amp; LL ASEMBLY </v>
          </cell>
        </row>
        <row r="2529">
          <cell r="A2529" t="str">
            <v>FM200-570038-00</v>
          </cell>
          <cell r="B2529" t="str">
            <v>FM 200 AGENT FIRST FILLING</v>
          </cell>
        </row>
        <row r="2530">
          <cell r="A2530" t="str">
            <v>FM200-570055-00</v>
          </cell>
          <cell r="B2530" t="str">
            <v>FM-200 PRESSURE GAUGE</v>
          </cell>
        </row>
        <row r="2531">
          <cell r="A2531" t="str">
            <v>FM200-570059-00</v>
          </cell>
          <cell r="B2531" t="str">
            <v xml:space="preserve">LOW PRESSURE SWITCH </v>
          </cell>
        </row>
        <row r="2532">
          <cell r="A2532" t="str">
            <v>FM200-570085-00</v>
          </cell>
          <cell r="B2532" t="str">
            <v>TANK BRACKET ASSEMBLY 8 16 32 ANSUL</v>
          </cell>
        </row>
        <row r="2533">
          <cell r="A2533" t="str">
            <v>FM200-570092-00</v>
          </cell>
          <cell r="B2533" t="str">
            <v>TANK BRACKET ASSEMBLY 106 ANSUL</v>
          </cell>
        </row>
        <row r="2534">
          <cell r="A2534" t="str">
            <v>FM200-570095-00</v>
          </cell>
          <cell r="B2534" t="str">
            <v xml:space="preserve">LOCAL MANUAL ACUATOR </v>
          </cell>
        </row>
        <row r="2535">
          <cell r="A2535" t="str">
            <v>FM200-570109-00</v>
          </cell>
          <cell r="B2535" t="str">
            <v xml:space="preserve">PNEUMATIC ACTUATOR SHIPPING AS </v>
          </cell>
        </row>
        <row r="2536">
          <cell r="A2536" t="str">
            <v>FM200-570142-00</v>
          </cell>
          <cell r="B2536" t="str">
            <v xml:space="preserve">2 IN DISCHARGE HOSE &amp; ADAPTOR </v>
          </cell>
        </row>
        <row r="2537">
          <cell r="A2537" t="str">
            <v>FM200-570143-00</v>
          </cell>
          <cell r="B2537" t="str">
            <v xml:space="preserve">PILOT HOSE, 710 MM </v>
          </cell>
        </row>
        <row r="2538">
          <cell r="A2538" t="str">
            <v>FM200-570148-00</v>
          </cell>
          <cell r="B2538" t="str">
            <v xml:space="preserve">MALE ADAPTOR FOR MASTER TANK P </v>
          </cell>
        </row>
        <row r="2539">
          <cell r="A2539" t="str">
            <v>FM200-570150-00</v>
          </cell>
          <cell r="B2539" t="str">
            <v xml:space="preserve">MALE ACTUATION TEE </v>
          </cell>
        </row>
        <row r="2540">
          <cell r="A2540" t="str">
            <v>FM200-570151-00</v>
          </cell>
          <cell r="B2540" t="str">
            <v xml:space="preserve">PRESSURE SWITCH </v>
          </cell>
        </row>
        <row r="2541">
          <cell r="A2541" t="str">
            <v>FM200-570156-00</v>
          </cell>
          <cell r="B2541" t="str">
            <v>3/8 NOZZLE BRASS - 360  ANSUL</v>
          </cell>
        </row>
        <row r="2542">
          <cell r="A2542" t="str">
            <v>FM200-570157-07</v>
          </cell>
          <cell r="B2542" t="str">
            <v>INACTIVO</v>
          </cell>
        </row>
        <row r="2543">
          <cell r="A2543" t="str">
            <v>FM200-570157-08</v>
          </cell>
          <cell r="B2543" t="str">
            <v xml:space="preserve">1/2NOZZLE BRASS - 360 DEGREE </v>
          </cell>
        </row>
        <row r="2544">
          <cell r="A2544" t="str">
            <v>FM200-570158-07</v>
          </cell>
          <cell r="B2544" t="str">
            <v>3/4NOZZLE BRASS - 180 DEGREE ANSUL</v>
          </cell>
        </row>
        <row r="2545">
          <cell r="A2545" t="str">
            <v>FM200-570158-08</v>
          </cell>
          <cell r="B2545" t="str">
            <v>3/4NOZZLE BRASS - 360 DEGREE ANSUL</v>
          </cell>
        </row>
        <row r="2546">
          <cell r="A2546" t="str">
            <v>FM200-570158-NA</v>
          </cell>
          <cell r="B2546" t="str">
            <v xml:space="preserve">3/4NOZZLE BRASS </v>
          </cell>
        </row>
        <row r="2547">
          <cell r="A2547" t="str">
            <v>FM200-570159-07</v>
          </cell>
          <cell r="B2547" t="str">
            <v>1NOZZLE BRASS - 180 DEGREE ANSULPN 570160</v>
          </cell>
        </row>
        <row r="2548">
          <cell r="A2548" t="str">
            <v>FM200-570160-00</v>
          </cell>
          <cell r="B2548" t="str">
            <v>1.1/4NPT NOZZLE (32 MM) ANSUL570160</v>
          </cell>
        </row>
        <row r="2549">
          <cell r="A2549" t="str">
            <v>FM200-570161-08</v>
          </cell>
          <cell r="B2549" t="str">
            <v xml:space="preserve">11/2NOZZLE BRASS - 360 DEGREE </v>
          </cell>
        </row>
        <row r="2550">
          <cell r="A2550" t="str">
            <v>FM200-570162-08</v>
          </cell>
          <cell r="B2550" t="str">
            <v xml:space="preserve">2NOZZLE BASS-360 DEGREE </v>
          </cell>
        </row>
        <row r="2551">
          <cell r="A2551" t="str">
            <v>FM200-570191-00</v>
          </cell>
          <cell r="B2551" t="str">
            <v>WARNING PLATE NON-OCUPIED SPACE ANSUL</v>
          </cell>
        </row>
        <row r="2552">
          <cell r="A2552" t="str">
            <v>FM200-570192-00</v>
          </cell>
          <cell r="B2552" t="str">
            <v>WARNING PLATE FOR USE INSIDE &amp; ANSUL</v>
          </cell>
        </row>
        <row r="2553">
          <cell r="A2553" t="str">
            <v>FM200-570222-00</v>
          </cell>
          <cell r="B2553" t="str">
            <v xml:space="preserve">MANIF INLET, THRE 1 FOR 21/2 </v>
          </cell>
        </row>
        <row r="2554">
          <cell r="A2554" t="str">
            <v>FM200-570277-00</v>
          </cell>
          <cell r="B2554" t="str">
            <v>LIQUID LEVEL INDICATOR FOR 106 ANSUL</v>
          </cell>
        </row>
        <row r="2555">
          <cell r="A2555" t="str">
            <v>FM200-570278-00</v>
          </cell>
          <cell r="B2555" t="str">
            <v>LIQUID LEVEL INDICATOR FOR 390</v>
          </cell>
        </row>
        <row r="2556">
          <cell r="A2556" t="str">
            <v>FM200-570336-00</v>
          </cell>
          <cell r="B2556" t="str">
            <v xml:space="preserve">TANK BRACKET ASSEMBLY </v>
          </cell>
        </row>
        <row r="2557">
          <cell r="A2557" t="str">
            <v>FM200-570342-00</v>
          </cell>
          <cell r="B2557" t="str">
            <v xml:space="preserve">1/4 NPT TO 1/4 BSPP MALE AC </v>
          </cell>
        </row>
        <row r="2558">
          <cell r="A2558" t="str">
            <v>FM200-570346-00</v>
          </cell>
          <cell r="B2558" t="str">
            <v xml:space="preserve">343 L TANK VALVE &amp; LL ASEMBLY </v>
          </cell>
        </row>
        <row r="2559">
          <cell r="A2559" t="str">
            <v>FM200-570537-00</v>
          </cell>
          <cell r="B2559" t="str">
            <v>SOLENOID,ELECTRIC REM.24VDC ANSUL</v>
          </cell>
        </row>
        <row r="2560">
          <cell r="A2560" t="str">
            <v>FM200-570538-00</v>
          </cell>
          <cell r="B2560" t="str">
            <v>2 FLEXIBLE DISC HOSE ANSUL</v>
          </cell>
        </row>
        <row r="2561">
          <cell r="A2561" t="str">
            <v>FM200-570539-00</v>
          </cell>
          <cell r="B2561" t="str">
            <v>1 IN. DISCHARGE HOSE &amp; ADAPTER ANSUL</v>
          </cell>
        </row>
        <row r="2562">
          <cell r="A2562" t="str">
            <v>FM200-570549-00</v>
          </cell>
          <cell r="B2562" t="str">
            <v>LOCAL MANUAL ACTUATOR ANSUL</v>
          </cell>
        </row>
        <row r="2563">
          <cell r="A2563" t="str">
            <v>FM200-570550-00</v>
          </cell>
          <cell r="B2563" t="str">
            <v>PNEUMATIC ACTUATOR SHIPPING ASSEMBLY 570550</v>
          </cell>
        </row>
        <row r="2564">
          <cell r="A2564" t="str">
            <v>FM200-570557-00</v>
          </cell>
          <cell r="B2564" t="str">
            <v>SINGLE-TANK SWIVEL ADAPTOR1 IN ANSUL</v>
          </cell>
        </row>
        <row r="2565">
          <cell r="A2565" t="str">
            <v>FM200-570558-00</v>
          </cell>
          <cell r="B2565" t="str">
            <v>2 IN SINGLE TANK SWIVEL ADAPTO ANSUL</v>
          </cell>
        </row>
        <row r="2566">
          <cell r="A2566" t="str">
            <v>FM200-570559-00</v>
          </cell>
          <cell r="B2566" t="str">
            <v>O-RING 1</v>
          </cell>
        </row>
        <row r="2567">
          <cell r="A2567" t="str">
            <v>FM200-570566-00</v>
          </cell>
          <cell r="B2567" t="str">
            <v xml:space="preserve">1 IN. CHECK VALVE-THREADED </v>
          </cell>
        </row>
        <row r="2568">
          <cell r="A2568" t="str">
            <v>FM200-570568-00</v>
          </cell>
          <cell r="B2568" t="str">
            <v>2 in. MANIFOLD CHECK VALVE</v>
          </cell>
        </row>
        <row r="2569">
          <cell r="A2569" t="str">
            <v>FM200-570584-00</v>
          </cell>
          <cell r="B2569" t="str">
            <v>O-RING 2</v>
          </cell>
        </row>
        <row r="2570">
          <cell r="A2570" t="str">
            <v>FM200-570585-00</v>
          </cell>
          <cell r="B2570" t="str">
            <v>LOW PRESSURE SWITCH ANSUL</v>
          </cell>
        </row>
        <row r="2571">
          <cell r="A2571" t="str">
            <v>FM200-570599-00</v>
          </cell>
          <cell r="B2571" t="str">
            <v>O-RING 3</v>
          </cell>
        </row>
        <row r="2572">
          <cell r="A2572" t="str">
            <v>FM200-570634-00</v>
          </cell>
          <cell r="B2572" t="str">
            <v xml:space="preserve">90 L TANK VALVE &amp; LL ASEMBLY </v>
          </cell>
        </row>
        <row r="2573">
          <cell r="A2573" t="str">
            <v>FM200-68427-000</v>
          </cell>
          <cell r="B2573" t="str">
            <v xml:space="preserve">SIGHT GAUGE ASS FOR 50-400 GAL </v>
          </cell>
        </row>
        <row r="2574">
          <cell r="A2574" t="str">
            <v>FM200-69470-000</v>
          </cell>
          <cell r="B2574" t="str">
            <v xml:space="preserve">3IN FLARE TO 3IN NPT SINGLE TA </v>
          </cell>
        </row>
        <row r="2575">
          <cell r="A2575" t="str">
            <v>FM200-69841-000</v>
          </cell>
          <cell r="B2575" t="str">
            <v xml:space="preserve">3IN DISCHARGE HOSE/CHECK VALVE </v>
          </cell>
        </row>
        <row r="2576">
          <cell r="A2576" t="str">
            <v>FM200-69990-000</v>
          </cell>
          <cell r="B2576" t="str">
            <v>3IN FLEXIBLE DISCHARGE HOSE ANSUL</v>
          </cell>
        </row>
        <row r="2577">
          <cell r="A2577" t="str">
            <v>FM200-73597-00</v>
          </cell>
          <cell r="B2577" t="str">
            <v>ACTUATION HOSE 16in 1/4in  NPT x 7/16-20in F FLARE</v>
          </cell>
        </row>
        <row r="2578">
          <cell r="A2578" t="str">
            <v>FM200-76496-000</v>
          </cell>
          <cell r="B2578" t="str">
            <v>SWITCH, MAIN/RESERVE, SURFACE MOUNT</v>
          </cell>
        </row>
        <row r="2579">
          <cell r="A2579" t="str">
            <v>FM200-76498-000</v>
          </cell>
          <cell r="B2579" t="str">
            <v>SWITCH, MAINTENANCE, SURFACE MOUNT</v>
          </cell>
        </row>
        <row r="2580">
          <cell r="A2580" t="str">
            <v>FM200-9844-0 PC</v>
          </cell>
          <cell r="B2580" t="str">
            <v>FM 200 AG.FACTORY FILL PER  PRIMERA CARGA</v>
          </cell>
        </row>
        <row r="2581">
          <cell r="A2581" t="str">
            <v>FM200-99408-000</v>
          </cell>
          <cell r="B2581" t="str">
            <v>CONDUIT ADAP 1/2 FOR CLEAN AG JANUS</v>
          </cell>
        </row>
        <row r="2582">
          <cell r="A2582" t="str">
            <v>FM200-99499-000</v>
          </cell>
          <cell r="B2582" t="str">
            <v>1/4 MALE QUICK-CONNECT ADAPT. JANUS</v>
          </cell>
        </row>
        <row r="2583">
          <cell r="A2583" t="str">
            <v>FM200-99502-000</v>
          </cell>
          <cell r="B2583" t="str">
            <v>RECOVERY/RECYCLE SYSTEM JANUS</v>
          </cell>
        </row>
        <row r="2584">
          <cell r="A2584" t="str">
            <v>FM200-99511-000</v>
          </cell>
          <cell r="B2584" t="str">
            <v>CYLINDER ADAPTER KIT JANUS</v>
          </cell>
        </row>
        <row r="2585">
          <cell r="A2585" t="str">
            <v>FM200-99516-000</v>
          </cell>
          <cell r="B2585" t="str">
            <v>NITROGEN REG. WT HOSE ASSEMB. JANUS</v>
          </cell>
        </row>
        <row r="2586">
          <cell r="A2586" t="str">
            <v>FM200-99517-000</v>
          </cell>
          <cell r="B2586" t="str">
            <v xml:space="preserve">CYLINDER FILL ASSEMBLY JANUS AGENTES </v>
          </cell>
        </row>
        <row r="2587">
          <cell r="A2587" t="str">
            <v>FM200-99524</v>
          </cell>
          <cell r="B2587" t="str">
            <v>WRENCH, VICE GRIP, CHAIN(USED IN CONJUNCTION WITH P/N 99525)</v>
          </cell>
        </row>
        <row r="2588">
          <cell r="A2588" t="str">
            <v>FM200-99525</v>
          </cell>
          <cell r="B2588" t="str">
            <v>WRENCH, SPANNER, PISTON, LV</v>
          </cell>
        </row>
        <row r="2589">
          <cell r="A2589" t="str">
            <v>FM200-99526</v>
          </cell>
          <cell r="B2589" t="str">
            <v>WRENCH, SPANNER, PISTON, MV</v>
          </cell>
        </row>
        <row r="2590">
          <cell r="A2590" t="str">
            <v>FM200-99527</v>
          </cell>
          <cell r="B2590" t="str">
            <v>PLIERS, RETAINING, FIXED-TIP, PISTON,SV</v>
          </cell>
        </row>
        <row r="2591">
          <cell r="A2591" t="str">
            <v>FM200-99791-000</v>
          </cell>
          <cell r="B2591" t="str">
            <v>SING,WARNING, ENTRAN, CLEAN AGENT, SPANIS DIMEN: 6X6 152 MM.</v>
          </cell>
        </row>
        <row r="2592">
          <cell r="A2592" t="str">
            <v>FM200-99792-000</v>
          </cell>
          <cell r="B2592" t="str">
            <v>SING,WARNING, EXIT, CLEAN AGENT, SPANIS DIMEN: 6X6 152 MM.</v>
          </cell>
        </row>
        <row r="2593">
          <cell r="A2593" t="str">
            <v>FM200-ADAP-2MHe 01Hi</v>
          </cell>
          <cell r="B2593" t="str">
            <v>ADAPTADOR VL 2M He Red 01 Hi</v>
          </cell>
        </row>
        <row r="2594">
          <cell r="A2594" t="str">
            <v>FM200-AGENT-000</v>
          </cell>
          <cell r="B2594" t="str">
            <v>FM 200 AGENT FACTORY FILL PER JANUS</v>
          </cell>
        </row>
        <row r="2595">
          <cell r="A2595" t="str">
            <v>FM200-CYL-AGENT</v>
          </cell>
          <cell r="B2595" t="str">
            <v>CYL AGT.1000 KG.HFC227FA UL-FM ORIENT</v>
          </cell>
        </row>
        <row r="2596">
          <cell r="A2596" t="str">
            <v>FM200-DEPO-1150</v>
          </cell>
          <cell r="B2596" t="str">
            <v>1150 LB. TANK DEPOSIT JANUS</v>
          </cell>
        </row>
        <row r="2597">
          <cell r="A2597" t="str">
            <v>FM200-INSUMOS-0</v>
          </cell>
          <cell r="B2597" t="str">
            <v xml:space="preserve">MATERIALES E INSUMOS EXTINCION </v>
          </cell>
        </row>
        <row r="2598">
          <cell r="A2598" t="str">
            <v>FM200JA-99502-0</v>
          </cell>
          <cell r="B2598" t="str">
            <v>FILL STATION JANUS</v>
          </cell>
        </row>
        <row r="2599">
          <cell r="A2599" t="str">
            <v>FM200JA-99511-0</v>
          </cell>
          <cell r="B2599" t="str">
            <v>FILLADAPTER KIT JANUS</v>
          </cell>
        </row>
        <row r="2600">
          <cell r="A2600" t="str">
            <v>FM200JA-99516-0</v>
          </cell>
          <cell r="B2600" t="str">
            <v>NITROGEN REGULATOR/HOSE ASSEM JANUS</v>
          </cell>
        </row>
        <row r="2601">
          <cell r="A2601" t="str">
            <v>FM200JA-99517-0</v>
          </cell>
          <cell r="B2601" t="str">
            <v>CYLINDER FILL ASSEMBLY JANUSSERV. MONTAJE</v>
          </cell>
        </row>
        <row r="2602">
          <cell r="A2602" t="str">
            <v>FM-200-SRL</v>
          </cell>
          <cell r="B2602" t="str">
            <v>AGENT FM200 SRL</v>
          </cell>
        </row>
        <row r="2603">
          <cell r="A2603" t="str">
            <v>FM200-SUMINISTROS</v>
          </cell>
          <cell r="B2603" t="str">
            <v xml:space="preserve">SUMINISTROS PROD. FM200 </v>
          </cell>
        </row>
        <row r="2604">
          <cell r="A2604" t="str">
            <v>FOAM-071879-000</v>
          </cell>
          <cell r="B2604" t="str">
            <v>PROPORCIONADOR 2 - 3% AFFF ANSUL071879</v>
          </cell>
        </row>
        <row r="2605">
          <cell r="A2605" t="str">
            <v>FOAM-1112</v>
          </cell>
          <cell r="B2605" t="str">
            <v>Master Stream Nozzle for Monitor, VARSHA-40 Bronze</v>
          </cell>
        </row>
        <row r="2606">
          <cell r="A2606" t="str">
            <v>FOAM-1417</v>
          </cell>
          <cell r="B2606" t="str">
            <v>Water Motor Gong Bell - GA , Type-B, UL Listed and FM Approv</v>
          </cell>
        </row>
        <row r="2607">
          <cell r="A2607" t="str">
            <v>FOAM-1718</v>
          </cell>
          <cell r="B2607" t="str">
            <v>Monitor M311, 80 NB, carbon steel waterway Bronze</v>
          </cell>
        </row>
        <row r="2608">
          <cell r="A2608" t="str">
            <v>FOAM-1898</v>
          </cell>
          <cell r="B2608" t="str">
            <v>Monitor Model VAJRA - 331, 80 NB Cast Bronze</v>
          </cell>
        </row>
        <row r="2609">
          <cell r="A2609" t="str">
            <v>FOAM-21710028</v>
          </cell>
          <cell r="B2609" t="str">
            <v>NOZZ 3.5NH MAN FIXD 1300G 100P</v>
          </cell>
        </row>
        <row r="2610">
          <cell r="A2610" t="str">
            <v>FOAM-27750012</v>
          </cell>
          <cell r="B2610" t="str">
            <v>HYDRANT MOUNT 4 FLANGE X 2.5 NH FEMALE</v>
          </cell>
        </row>
        <row r="2611">
          <cell r="A2611" t="str">
            <v>FOAM-3098</v>
          </cell>
          <cell r="B2611" t="str">
            <v>VARSHA-40U, Master Stream Nozzle for Monitor  flow 500</v>
          </cell>
        </row>
        <row r="2612">
          <cell r="A2612" t="str">
            <v>FOAM-3099</v>
          </cell>
          <cell r="B2612" t="str">
            <v>VARSHA-40U, Master Stream Nozzle for Monitor flow 750</v>
          </cell>
        </row>
        <row r="2613">
          <cell r="A2613" t="str">
            <v>FOAM-3100</v>
          </cell>
          <cell r="B2613" t="str">
            <v>VARSHA-40U, Master Stream Nozzle for Monitor flow 1000</v>
          </cell>
        </row>
        <row r="2614">
          <cell r="A2614" t="str">
            <v>FOAM-35260006</v>
          </cell>
          <cell r="B2614" t="str">
            <v>INACTIVO</v>
          </cell>
        </row>
        <row r="2615">
          <cell r="A2615" t="str">
            <v>FOAM-35280001</v>
          </cell>
          <cell r="B2615" t="str">
            <v>INACTIVO</v>
          </cell>
        </row>
        <row r="2616">
          <cell r="A2616" t="str">
            <v>FOAM-35284000</v>
          </cell>
          <cell r="B2616" t="str">
            <v xml:space="preserve">OMEGA DK PPE XP 4 150 # FLGX2.5 NH CS FM </v>
          </cell>
        </row>
        <row r="2617">
          <cell r="A2617" t="str">
            <v>FOAM-35284001</v>
          </cell>
          <cell r="B2617" t="str">
            <v xml:space="preserve">OMEGA DK PPE XP 3 150 # FLGX2.5 NH CS FM </v>
          </cell>
        </row>
        <row r="2618">
          <cell r="A2618" t="str">
            <v>FOAM-400000</v>
          </cell>
          <cell r="B2618" t="str">
            <v>Monitor, Automatic Water Oscillating, WOM-3, 4 in.</v>
          </cell>
        </row>
        <row r="2619">
          <cell r="A2619" t="str">
            <v>FOAM-400987</v>
          </cell>
          <cell r="B2619" t="str">
            <v>SUPPORT STAND FOR WOM-4</v>
          </cell>
        </row>
        <row r="2620">
          <cell r="A2620" t="str">
            <v>FOAM-403490</v>
          </cell>
          <cell r="B2620" t="str">
            <v>1 1/2 HYD/ACT BALL VALVE</v>
          </cell>
        </row>
        <row r="2621">
          <cell r="A2621" t="str">
            <v>FOAM-403781</v>
          </cell>
          <cell r="B2621" t="str">
            <v>SWING CHECK VALVE, 1 1/2 IN.</v>
          </cell>
        </row>
        <row r="2622">
          <cell r="A2622" t="str">
            <v>FOAM-403942</v>
          </cell>
          <cell r="B2622" t="str">
            <v>Bladder Tank pre-piped to 2 in. proportioner, 36 gallon</v>
          </cell>
        </row>
        <row r="2623">
          <cell r="A2623" t="str">
            <v>FOAM-404413-000</v>
          </cell>
          <cell r="B2623" t="str">
            <v>BLADDER TANK 36 GAL.CR EPX RED ANSUL404413</v>
          </cell>
        </row>
        <row r="2624">
          <cell r="A2624" t="str">
            <v>FOAM-419202</v>
          </cell>
          <cell r="B2624" t="str">
            <v>CNTR TUBE ASM 1000 HORIZONTAL</v>
          </cell>
        </row>
        <row r="2625">
          <cell r="A2625" t="str">
            <v>FOAM-420030</v>
          </cell>
          <cell r="B2625" t="str">
            <v>TF39 FOAM SPRAY HEAD</v>
          </cell>
        </row>
        <row r="2626">
          <cell r="A2626" t="str">
            <v>FOAM-422863</v>
          </cell>
          <cell r="B2626" t="str">
            <v>SIGHT GAUGE-13 FT LENGTH</v>
          </cell>
        </row>
        <row r="2627">
          <cell r="A2627" t="str">
            <v>FOAM-427462</v>
          </cell>
          <cell r="B2627" t="str">
            <v>NOZZLE SELF EDUCTING ANSUL</v>
          </cell>
        </row>
        <row r="2628">
          <cell r="A2628" t="str">
            <v>FOAM-427472</v>
          </cell>
          <cell r="B2628" t="str">
            <v xml:space="preserve">INDUSTRIAL NOZZLE 500 GPM 2.5 IN. </v>
          </cell>
        </row>
        <row r="2629">
          <cell r="A2629" t="str">
            <v>FOAM-427474</v>
          </cell>
          <cell r="B2629" t="str">
            <v>Nozzle Industrial, Specify Flow &amp; Pressure, K-factor 15-75</v>
          </cell>
        </row>
        <row r="2630">
          <cell r="A2630" t="str">
            <v>FOAM-427475</v>
          </cell>
          <cell r="B2630" t="str">
            <v>Nozzle, M-IF Master Stream, Specify Flow &amp; Pressure, K-facto</v>
          </cell>
        </row>
        <row r="2631">
          <cell r="A2631" t="str">
            <v>FOAM-428679-00</v>
          </cell>
          <cell r="B2631" t="str">
            <v xml:space="preserve">FOAM CONCETRATE TEST KIT     </v>
          </cell>
        </row>
        <row r="2632">
          <cell r="A2632" t="str">
            <v>FOAM-434471</v>
          </cell>
          <cell r="B2632" t="str">
            <v>SILV-EX PLUS Class A Fire Control Concentrate, 265 Gall</v>
          </cell>
        </row>
        <row r="2633">
          <cell r="A2633" t="str">
            <v>FOAM-444049</v>
          </cell>
          <cell r="B2633" t="str">
            <v>BLADDER TANK 500GH 175 STD ANSUL</v>
          </cell>
        </row>
        <row r="2634">
          <cell r="A2634" t="str">
            <v>FOAM-444087</v>
          </cell>
          <cell r="B2634" t="str">
            <v>Bladder Tank, 300 gal. Horizontal, PRE PIPED, FLOWMAX CL, St</v>
          </cell>
        </row>
        <row r="2635">
          <cell r="A2635" t="str">
            <v>FOAM-444113</v>
          </cell>
          <cell r="B2635" t="str">
            <v>BLADDER TANK 500 GAL. VERTICAL AR AFFF ANSUL444113</v>
          </cell>
        </row>
        <row r="2636">
          <cell r="A2636" t="str">
            <v>FOAM-44500034</v>
          </cell>
          <cell r="B2636" t="str">
            <v>AQUASTREAM NOZZLES BR. 350 GPM WITH 2 1/2 FEMALE NST</v>
          </cell>
        </row>
        <row r="2637">
          <cell r="A2637" t="str">
            <v>FOAM-445022</v>
          </cell>
          <cell r="B2637" t="str">
            <v>FLOWMAX PPW-6 3x3 AR-AFFF A334-LV-PKGD</v>
          </cell>
        </row>
        <row r="2638">
          <cell r="A2638" t="str">
            <v>FOAM-445481</v>
          </cell>
          <cell r="B2638" t="str">
            <v>2.5  PROPORTIONER, THREADED, A334-LV</v>
          </cell>
        </row>
        <row r="2639">
          <cell r="A2639" t="str">
            <v>FOAM-445486</v>
          </cell>
          <cell r="B2639" t="str">
            <v>3  PROPORTIONER, BETWEEN FLANGE, A334-LV</v>
          </cell>
        </row>
        <row r="2640">
          <cell r="A2640" t="str">
            <v>FOAM-44700005</v>
          </cell>
          <cell r="B2640" t="str">
            <v>NOZ AKROFOAM 2.5  NH W/PU L/VLV</v>
          </cell>
        </row>
        <row r="2641">
          <cell r="A2641" t="str">
            <v>FOAM-471808</v>
          </cell>
          <cell r="B2641" t="str">
            <v>IMPELLER REPAIR KIT</v>
          </cell>
        </row>
        <row r="2642">
          <cell r="A2642" t="str">
            <v>FOAM-472585</v>
          </cell>
          <cell r="B2642" t="str">
            <v>FOAM CONCENTRATE TRANSFER PUMP 1/50/220V MOTOR</v>
          </cell>
        </row>
        <row r="2643">
          <cell r="A2643" t="str">
            <v>FOAM-68427</v>
          </cell>
          <cell r="B2643" t="str">
            <v>SIGHT GAUGE - 8 FT LENGTH</v>
          </cell>
        </row>
        <row r="2644">
          <cell r="A2644" t="str">
            <v>FOAM-68788</v>
          </cell>
          <cell r="B2644" t="str">
            <v>WATER INLET BALL VALVE 1 1/2 IN.</v>
          </cell>
        </row>
        <row r="2645">
          <cell r="A2645" t="str">
            <v>FOAM-69393</v>
          </cell>
          <cell r="B2645" t="str">
            <v>8 IN PROP 3% ARC SHIP ASM</v>
          </cell>
        </row>
        <row r="2646">
          <cell r="A2646" t="str">
            <v>FOAM-70982</v>
          </cell>
          <cell r="B2646" t="str">
            <v>BLADDER 1800 HORIZONTAL N/P 70982</v>
          </cell>
        </row>
        <row r="2647">
          <cell r="A2647" t="str">
            <v>FOAM-71103</v>
          </cell>
          <cell r="B2647" t="str">
            <v>1200 GALLON HBT ENAMEL</v>
          </cell>
        </row>
        <row r="2648">
          <cell r="A2648" t="str">
            <v>FOAM-71900</v>
          </cell>
          <cell r="B2648" t="str">
            <v>Proportioner, 2 1/2 in., Threaded, 3% AR-AFFF (A364, 3X3 LV)</v>
          </cell>
        </row>
        <row r="2649">
          <cell r="A2649" t="str">
            <v>FOAM-74196</v>
          </cell>
          <cell r="B2649" t="str">
            <v>ISOLATION VALVE, 1 1/2 IN.</v>
          </cell>
        </row>
        <row r="2650">
          <cell r="A2650" t="str">
            <v>FOAM-75615</v>
          </cell>
          <cell r="B2650" t="str">
            <v>FLR 30 FOAM MAKER ASSY</v>
          </cell>
        </row>
        <row r="2651">
          <cell r="A2651" t="str">
            <v>FOAM-76400</v>
          </cell>
          <cell r="B2651" t="str">
            <v>Foam Station w/hose reel and noz. (75 ft. hose), 36 gallon.</v>
          </cell>
        </row>
        <row r="2652">
          <cell r="A2652" t="str">
            <v>FOAM-AFN400-200</v>
          </cell>
          <cell r="B2652" t="str">
            <v>AFN 1 NOZZLE ANSUL400200</v>
          </cell>
        </row>
        <row r="2653">
          <cell r="A2653" t="str">
            <v>FOAMAN75615K1.5</v>
          </cell>
          <cell r="B2653" t="str">
            <v>FLOATING ROOF FLR-30 K:1,5 ANSUL75615</v>
          </cell>
        </row>
        <row r="2654">
          <cell r="A2654" t="str">
            <v>FOAMAN75615K2.0</v>
          </cell>
          <cell r="B2654" t="str">
            <v>FLOATING ROOF FLR-30 K:2,0 ANSUL75615K2</v>
          </cell>
        </row>
        <row r="2655">
          <cell r="A2655" t="str">
            <v>FOAMAN75633</v>
          </cell>
          <cell r="B2655" t="str">
            <v>FLOATING ROOF FLR-90</v>
          </cell>
        </row>
        <row r="2656">
          <cell r="A2656" t="str">
            <v>FOAMANSU-434434</v>
          </cell>
          <cell r="B2656" t="str">
            <v>REFRACTOMETRO DIGITAL PA202 ANSUL434434</v>
          </cell>
        </row>
        <row r="2657">
          <cell r="A2657" t="str">
            <v>FOAMANSUL 55800</v>
          </cell>
          <cell r="B2657" t="str">
            <v>ANSULITE 3%, AFFF (AFC-3A), 5 Gallon Pail</v>
          </cell>
        </row>
        <row r="2658">
          <cell r="A2658" t="str">
            <v>FOAMANSUL-073972</v>
          </cell>
          <cell r="B2658" t="str">
            <v xml:space="preserve">3% FLUOROPROTEIN FOAM - DRUM 55 GAL. </v>
          </cell>
        </row>
        <row r="2659">
          <cell r="A2659" t="str">
            <v>FOAMANSUL-403080</v>
          </cell>
          <cell r="B2659" t="str">
            <v>VALVULA DE RETENCION 2 1/2 (SWING CHECK)</v>
          </cell>
        </row>
        <row r="2660">
          <cell r="A2660" t="str">
            <v>FOAMANSUL-403155</v>
          </cell>
          <cell r="B2660" t="str">
            <v>SWING CHECK VALVE, 1 IN.</v>
          </cell>
        </row>
        <row r="2661">
          <cell r="A2661" t="str">
            <v>FOAMANSUL403490</v>
          </cell>
          <cell r="B2661" t="str">
            <v>HYDRA.CONCENT. BALL VAL 1.1/2 ANSUL403490</v>
          </cell>
        </row>
        <row r="2662">
          <cell r="A2662" t="str">
            <v>FOAMANSUL-403490</v>
          </cell>
          <cell r="B2662" t="str">
            <v>Hydraulic Concentrate Ball Valve, 1 1/2in. N/P 403490</v>
          </cell>
        </row>
        <row r="2663">
          <cell r="A2663" t="str">
            <v>FOAMANSUL403491</v>
          </cell>
          <cell r="B2663" t="str">
            <v>HYDRA. CONCENT. BALL VALVE 2 ANSUL403491</v>
          </cell>
        </row>
        <row r="2664">
          <cell r="A2664" t="str">
            <v>FOAMANSUL-403491</v>
          </cell>
          <cell r="B2664" t="str">
            <v>HYDRAULIC ACTUATED CONTROL CONCENTRATE BELL VALVE 2</v>
          </cell>
        </row>
        <row r="2665">
          <cell r="A2665" t="str">
            <v>FOAMANSUL-403780</v>
          </cell>
          <cell r="B2665" t="str">
            <v>SWING CHECK VALVE (BRASS), 1 1/4 IN.</v>
          </cell>
        </row>
        <row r="2666">
          <cell r="A2666" t="str">
            <v>FOAMANSUL403782</v>
          </cell>
          <cell r="B2666" t="str">
            <v>SWING CHECK VALVE BRASS 2 ANSUL403782</v>
          </cell>
        </row>
        <row r="2667">
          <cell r="A2667" t="str">
            <v>FOAMANSUL403827</v>
          </cell>
          <cell r="B2667" t="str">
            <v>VALVULA HIDRAULICA 2.5 ANSUL</v>
          </cell>
        </row>
        <row r="2668">
          <cell r="A2668" t="str">
            <v>FOAMANSUL-403827</v>
          </cell>
          <cell r="B2668" t="str">
            <v>HYDRA. CONCENT. BALL VALVE 2 1/2 ANSUL 403827</v>
          </cell>
        </row>
        <row r="2669">
          <cell r="A2669" t="str">
            <v>FOAMANSUL415020</v>
          </cell>
          <cell r="B2669" t="str">
            <v>PRESSURE RED. VALVE 1/4 ANSUL415020</v>
          </cell>
        </row>
        <row r="2670">
          <cell r="A2670" t="str">
            <v>FOAMANSUL-415020</v>
          </cell>
          <cell r="B2670" t="str">
            <v>PRESSURE REDUCING VALVE, 1/4 IN.</v>
          </cell>
        </row>
        <row r="2671">
          <cell r="A2671" t="str">
            <v>FOAMANSUL415980</v>
          </cell>
          <cell r="B2671" t="str">
            <v>EDUCTOR Z-4 120 GPM PN: 415980</v>
          </cell>
        </row>
        <row r="2672">
          <cell r="A2672" t="str">
            <v>FOAMANSUL415982</v>
          </cell>
          <cell r="B2672" t="str">
            <v>NOZZLE KR-S4 LOW EXPAN.120 GPM PN: 415982</v>
          </cell>
        </row>
        <row r="2673">
          <cell r="A2673" t="str">
            <v>FOAMANSUL416493</v>
          </cell>
          <cell r="B2673" t="str">
            <v>DRUM 5 GALAR-AFFF 3X3 LV PN:416493</v>
          </cell>
        </row>
        <row r="2674">
          <cell r="A2674" t="str">
            <v>FOAMANSUL418581</v>
          </cell>
          <cell r="B2674" t="str">
            <v>SELLO DE VAPOR ASSY2.5AFC-90 ANSUL</v>
          </cell>
        </row>
        <row r="2675">
          <cell r="A2675" t="str">
            <v>FOAMANSUL-418582</v>
          </cell>
          <cell r="B2675" t="str">
            <v xml:space="preserve">FOAM CHAMBER AFC-170 VAPOR SEAL ASEEMBLY N/P </v>
          </cell>
        </row>
        <row r="2676">
          <cell r="A2676" t="str">
            <v>FOAMANSUL-418583</v>
          </cell>
          <cell r="B2676" t="str">
            <v>Foam Chamber AFC-330 Vapor Seal Assembly</v>
          </cell>
        </row>
        <row r="2677">
          <cell r="A2677" t="str">
            <v>FOAMANSUL-419158</v>
          </cell>
          <cell r="B2677" t="str">
            <v>800 GALONS VERTICAL BLADDER TANK RED ENAMEL</v>
          </cell>
        </row>
        <row r="2678">
          <cell r="A2678" t="str">
            <v>FOAMANSUL-420003</v>
          </cell>
          <cell r="B2678" t="str">
            <v>JET X-5A FOAM GENERATOR</v>
          </cell>
        </row>
        <row r="2679">
          <cell r="A2679" t="str">
            <v>FOAMANSUL-420006</v>
          </cell>
          <cell r="B2679" t="str">
            <v>JET X-15A FM</v>
          </cell>
        </row>
        <row r="2680">
          <cell r="A2680" t="str">
            <v>FOAMANSUL420009</v>
          </cell>
          <cell r="B2680" t="str">
            <v>JET-X 55 2 3/4GAL DRUM ANSUL</v>
          </cell>
        </row>
        <row r="2681">
          <cell r="A2681" t="str">
            <v>FOAMANSUL422863</v>
          </cell>
          <cell r="B2681" t="str">
            <v>SIGHT GAUGE 500-1500 GAL VBT ANSUL</v>
          </cell>
        </row>
        <row r="2682">
          <cell r="A2682" t="str">
            <v>FOAMANSUL-422863</v>
          </cell>
          <cell r="B2682" t="str">
            <v>SIGHT GAUGE FOR VBT 500-1500 GALON</v>
          </cell>
        </row>
        <row r="2683">
          <cell r="A2683" t="str">
            <v>FOAMANSUL-427474</v>
          </cell>
          <cell r="B2683" t="str">
            <v xml:space="preserve">INDUSTRIAL NOZZLE </v>
          </cell>
        </row>
        <row r="2684">
          <cell r="A2684" t="str">
            <v>FOAMANSUL428679</v>
          </cell>
          <cell r="B2684" t="str">
            <v>FOAM AGENT TEST KITS PN: 428679</v>
          </cell>
        </row>
        <row r="2685">
          <cell r="A2685" t="str">
            <v>FOAMANSUL-428926</v>
          </cell>
          <cell r="B2685" t="str">
            <v>ADD-ON FOAM DRUM KIT</v>
          </cell>
        </row>
        <row r="2686">
          <cell r="A2686" t="str">
            <v>FOAMANSUL-429414</v>
          </cell>
          <cell r="B2686" t="str">
            <v>DRUM KIT (DOUBLE)</v>
          </cell>
        </row>
        <row r="2687">
          <cell r="A2687" t="str">
            <v>FOAMANSUL-431499</v>
          </cell>
          <cell r="B2687" t="str">
            <v>ANSULITE  3%  AFFF  (AFC-3A), 265 GALLON  TOTE</v>
          </cell>
        </row>
        <row r="2688">
          <cell r="A2688" t="str">
            <v>FOAMANSUL433077</v>
          </cell>
          <cell r="B2688" t="str">
            <v>HOSE REELAHR-1,5 - 50 PN: 433077433077</v>
          </cell>
        </row>
        <row r="2689">
          <cell r="A2689" t="str">
            <v>FOAMANSUL-433907</v>
          </cell>
          <cell r="B2689" t="str">
            <v>FLOWMAX VR PROPORTIONER WAFER 6</v>
          </cell>
        </row>
        <row r="2690">
          <cell r="A2690" t="str">
            <v>FOAMANSUL-436879</v>
          </cell>
          <cell r="B2690" t="str">
            <v>DRUM X 5 GL. JET-X 2% ANSUL</v>
          </cell>
        </row>
        <row r="2691">
          <cell r="A2691" t="str">
            <v>FOAMANSUL-436881</v>
          </cell>
          <cell r="B2691" t="str">
            <v>ANSUL JET-X 2% HIGH EXPANSION FOAM 55 GALLON DRUM</v>
          </cell>
        </row>
        <row r="2692">
          <cell r="A2692" t="str">
            <v>FOAMANSUL-436899</v>
          </cell>
          <cell r="B2692" t="str">
            <v>JET-X 27 SHIP ASM CRATE</v>
          </cell>
        </row>
        <row r="2693">
          <cell r="A2693" t="str">
            <v>FOAMANSUL437187</v>
          </cell>
          <cell r="B2693" t="str">
            <v xml:space="preserve">DRUM 5 GALARC AAR-AFFF 1X3 PN:437187 </v>
          </cell>
        </row>
        <row r="2694">
          <cell r="A2694" t="str">
            <v>FOAMANSUL-437198</v>
          </cell>
          <cell r="B2694" t="str">
            <v>DRUM X 55 GL. 3X6 F600A ANSULITE</v>
          </cell>
        </row>
        <row r="2695">
          <cell r="A2695" t="str">
            <v>FOAMANSUL-442863</v>
          </cell>
          <cell r="B2695" t="str">
            <v>ANSULITE  3X3 AR-AFFF LV 55G (A334-LV)</v>
          </cell>
        </row>
        <row r="2696">
          <cell r="A2696" t="str">
            <v>FOAMANSUL-443091</v>
          </cell>
          <cell r="B2696" t="str">
            <v>ANSULITE  3% AFFF  55G (AFC3B)</v>
          </cell>
        </row>
        <row r="2697">
          <cell r="A2697" t="str">
            <v>FOAMANSUL-443092</v>
          </cell>
          <cell r="B2697" t="str">
            <v>ANSULITE  3% AFFF  265G (AFC3B)</v>
          </cell>
        </row>
        <row r="2698">
          <cell r="A2698" t="str">
            <v>FOAMANSUL-444067</v>
          </cell>
          <cell r="B2698" t="str">
            <v>BLADDER TANK, 50 GAL. VERTICAL</v>
          </cell>
        </row>
        <row r="2699">
          <cell r="A2699" t="str">
            <v>FOAMANSUL44500002</v>
          </cell>
          <cell r="B2699" t="str">
            <v>NOZZLE AQUASTREAM BRASS, 300 GPM, INLETP/N 44500002</v>
          </cell>
        </row>
        <row r="2700">
          <cell r="A2700" t="str">
            <v>FOAMANSUL-54892</v>
          </cell>
          <cell r="B2700" t="str">
            <v>DRUM X 55 GL.3% FREEZE PROTEC.(-20DEG.F) ANSUL 54892</v>
          </cell>
        </row>
        <row r="2701">
          <cell r="A2701" t="str">
            <v>FOAMANSUL-55809</v>
          </cell>
          <cell r="B2701" t="str">
            <v xml:space="preserve">DRUM X 55 GL. AFFF-3% AFC3A ANSUL </v>
          </cell>
        </row>
        <row r="2702">
          <cell r="A2702" t="str">
            <v>FOAMANSUL-65987</v>
          </cell>
          <cell r="B2702" t="str">
            <v>HYDRAULIC ACTUATED CONTROL CONCENTRATE BALL VELVE 1</v>
          </cell>
        </row>
        <row r="2703">
          <cell r="A2703" t="str">
            <v>FOAMANSUL-65988</v>
          </cell>
          <cell r="B2703" t="str">
            <v>HYDRAULIC CONCENTRATE BALL VALVE, 1 1/4 IN.</v>
          </cell>
        </row>
        <row r="2704">
          <cell r="A2704" t="str">
            <v>FOAMANSUL-68425</v>
          </cell>
          <cell r="B2704" t="str">
            <v>Válvula de bola ½  Ansul.</v>
          </cell>
        </row>
        <row r="2705">
          <cell r="A2705" t="str">
            <v>FOAMANSUL-68427</v>
          </cell>
          <cell r="B2705" t="str">
            <v>SIGHT GAUGE ASSEMBLY, FOR 50-3000 GAL.VBT AND ALL HBT</v>
          </cell>
        </row>
        <row r="2706">
          <cell r="A2706" t="str">
            <v>FOAMANSUL-68787</v>
          </cell>
          <cell r="B2706" t="str">
            <v>Water inlet ball valve/nameplate, 1 in</v>
          </cell>
        </row>
        <row r="2707">
          <cell r="A2707" t="str">
            <v>FOAMANSUL-68822</v>
          </cell>
          <cell r="B2707" t="str">
            <v xml:space="preserve">WATER INLET BALL VALVE/NAMEPLATE, 1 1/4 IN. </v>
          </cell>
        </row>
        <row r="2708">
          <cell r="A2708" t="str">
            <v>FOAMANSUL-69001</v>
          </cell>
          <cell r="B2708" t="str">
            <v>100 GL VBT ENAMEL BLEDDER TANK VERTICAL</v>
          </cell>
        </row>
        <row r="2709">
          <cell r="A2709" t="str">
            <v>FOAMANSUL-69351</v>
          </cell>
          <cell r="B2709" t="str">
            <v>PROPORCIONADOR 4 BTF AFFF 3% ANSUL69351</v>
          </cell>
        </row>
        <row r="2710">
          <cell r="A2710" t="str">
            <v>FOAMANSUL-69353</v>
          </cell>
          <cell r="B2710" t="str">
            <v>PROPORTIONER, 4 IN. BETWEEN FLANGE, 3% AFFF ALCOHOL RES.</v>
          </cell>
        </row>
        <row r="2711">
          <cell r="A2711" t="str">
            <v>FOAMANSUL-69371</v>
          </cell>
          <cell r="B2711" t="str">
            <v>6 in Between Flange, 3% AFFF Part N 69371</v>
          </cell>
        </row>
        <row r="2712">
          <cell r="A2712" t="str">
            <v>FOAMANSUL-69391</v>
          </cell>
          <cell r="B2712" t="str">
            <v>PROPORCIONADOR 8 BTF AFFF 3% ANSUL</v>
          </cell>
        </row>
        <row r="2713">
          <cell r="A2713" t="str">
            <v>FOAMANSUL-70801</v>
          </cell>
          <cell r="B2713" t="str">
            <v>Proportioner, 3 in., Between Flange, 3% AFFF(AFC-3A, AFC-3</v>
          </cell>
        </row>
        <row r="2714">
          <cell r="A2714" t="str">
            <v>FOAMANSUL-70803</v>
          </cell>
          <cell r="B2714" t="str">
            <v>PROPORTIONER, 3 IN. BETWEEN FLANGE, 3% AFFF</v>
          </cell>
        </row>
        <row r="2715">
          <cell r="A2715" t="str">
            <v>FOAMANSUL-71151</v>
          </cell>
          <cell r="B2715" t="str">
            <v>HBT RED 2000 GL (USABLE 2119) ANSUL</v>
          </cell>
        </row>
        <row r="2716">
          <cell r="A2716" t="str">
            <v>FOAMANSUL-71880</v>
          </cell>
          <cell r="B2716" t="str">
            <v>PROPORTIONER, 2 IN THREADED, 3% AR-AFFF (A364, 3X3 LV)</v>
          </cell>
        </row>
        <row r="2717">
          <cell r="A2717" t="str">
            <v>FOAMANSUL-71894</v>
          </cell>
          <cell r="B2717" t="str">
            <v xml:space="preserve">2 PROPORTIONER 2,75% EXPANSION </v>
          </cell>
        </row>
        <row r="2718">
          <cell r="A2718" t="str">
            <v>FOAMANSUL-71900</v>
          </cell>
          <cell r="B2718" t="str">
            <v>THREADED PROPORTIONER 2,5</v>
          </cell>
        </row>
        <row r="2719">
          <cell r="A2719" t="str">
            <v>FOAMANSUL-72765</v>
          </cell>
          <cell r="B2719" t="str">
            <v>NAMEPLATE, JET-X 2 3/4%</v>
          </cell>
        </row>
        <row r="2720">
          <cell r="A2720" t="str">
            <v xml:space="preserve">FOAMANSUL-74177 </v>
          </cell>
          <cell r="B2720" t="str">
            <v>BLADDER TANK MANUAL</v>
          </cell>
        </row>
        <row r="2721">
          <cell r="A2721" t="str">
            <v>FOAMANSUL-74188</v>
          </cell>
          <cell r="B2721" t="str">
            <v>ISOLATION VALVE 1</v>
          </cell>
        </row>
        <row r="2722">
          <cell r="A2722" t="str">
            <v>FOAMANSUL-74200</v>
          </cell>
          <cell r="B2722" t="str">
            <v>CONC.ISOLAT. VB NAME PLATE2 ANSUL74200</v>
          </cell>
        </row>
        <row r="2723">
          <cell r="A2723" t="str">
            <v>FOAMANSUL-74202</v>
          </cell>
          <cell r="B2723" t="str">
            <v>WATER INLET BALL VALVE 2,5</v>
          </cell>
        </row>
        <row r="2724">
          <cell r="A2724" t="str">
            <v>FOAMANSUL-74203</v>
          </cell>
          <cell r="B2724" t="str">
            <v>CONCENTRATE ISOLATION BALL VALVE 2 1/2</v>
          </cell>
        </row>
        <row r="2725">
          <cell r="A2725" t="str">
            <v>FOAMANSUL-74376</v>
          </cell>
          <cell r="B2725" t="str">
            <v>SPLIT DEFLECTOR, AFC-90, PRIMED</v>
          </cell>
        </row>
        <row r="2726">
          <cell r="A2726" t="str">
            <v>FOAMANSUL-74380</v>
          </cell>
          <cell r="B2726" t="str">
            <v>SPLIT DEFLECTOR AFC-170 PRIMED</v>
          </cell>
        </row>
        <row r="2727">
          <cell r="A2727" t="str">
            <v>FOAMANSUL-74384</v>
          </cell>
          <cell r="B2727" t="str">
            <v>Split Deflector, AFC-330, Primed</v>
          </cell>
        </row>
        <row r="2728">
          <cell r="A2728" t="str">
            <v>FOAMANSUL-74390</v>
          </cell>
          <cell r="B2728" t="str">
            <v>CHAMBER AFC-90 MOUNTING PAD, CR EPOXY RED</v>
          </cell>
        </row>
        <row r="2729">
          <cell r="A2729" t="str">
            <v>FOAMANSUL-74394</v>
          </cell>
          <cell r="B2729" t="str">
            <v>FOAM CHAMBER AFC-170 MUNTING PAD CR EPOXY RED</v>
          </cell>
        </row>
        <row r="2730">
          <cell r="A2730" t="str">
            <v>FOAMANSUL-74398</v>
          </cell>
          <cell r="B2730" t="str">
            <v>Foam Chamber AFC-330 Mounting Pad, CR Epoxy Red</v>
          </cell>
        </row>
        <row r="2731">
          <cell r="A2731" t="str">
            <v>FOAMANSUL-74560</v>
          </cell>
          <cell r="B2731" t="str">
            <v>3 FLG PROP 3% HI-EXP</v>
          </cell>
        </row>
        <row r="2732">
          <cell r="A2732" t="str">
            <v>FOAMANSUL-74612</v>
          </cell>
          <cell r="B2732" t="str">
            <v>Foam Chamber AFC-330 Orifice Plate</v>
          </cell>
        </row>
        <row r="2733">
          <cell r="A2733" t="str">
            <v>FOAMANSUL-75615</v>
          </cell>
          <cell r="B2733" t="str">
            <v>FOAM MAKER K:2.0 IN 1.5 FNPT ANSUL</v>
          </cell>
        </row>
        <row r="2734">
          <cell r="A2734" t="str">
            <v>FOAMANSUL-75704</v>
          </cell>
          <cell r="B2734" t="str">
            <v xml:space="preserve">LINE PROPORTIONER,BRASS,PL-350 GPM,3% </v>
          </cell>
        </row>
        <row r="2735">
          <cell r="A2735" t="str">
            <v>FOAMANSUL-75879</v>
          </cell>
          <cell r="B2735" t="str">
            <v>CHAMBER MAKER, AFC-90 64 GPM 60 PSI</v>
          </cell>
        </row>
        <row r="2736">
          <cell r="A2736" t="str">
            <v>FOAMANSUL-75880</v>
          </cell>
          <cell r="B2736" t="str">
            <v>FOAM CHAMBER MAKER AFC-170 CR EPOXY RED</v>
          </cell>
        </row>
        <row r="2737">
          <cell r="A2737" t="str">
            <v>FOAMANSUL-75885</v>
          </cell>
          <cell r="B2737" t="str">
            <v>FOAM Chamber/Maker, AFC-330, Standard Red</v>
          </cell>
        </row>
        <row r="2738">
          <cell r="A2738" t="str">
            <v>FOAMANSUL-75888</v>
          </cell>
          <cell r="B2738" t="str">
            <v>AFC-170 FOAM CHAMB PRIMED</v>
          </cell>
        </row>
        <row r="2739">
          <cell r="A2739" t="str">
            <v>FOAMANSUL-75987</v>
          </cell>
          <cell r="B2739" t="str">
            <v>Foam Chamber AFC-330 Cover Gasket</v>
          </cell>
        </row>
        <row r="2740">
          <cell r="A2740" t="str">
            <v>FOAMANSULBLADDER-PRE</v>
          </cell>
          <cell r="B2740" t="str">
            <v>BLADDER TANK,PRE-PIPED W/4 IN PROP 800 GALONS HORIZONTAL</v>
          </cell>
        </row>
        <row r="2741">
          <cell r="A2741" t="str">
            <v>FOAMANSUlPRE100</v>
          </cell>
          <cell r="B2741" t="str">
            <v>BLADDER TANK,PRE-PIPED W2 1/2 IN PROP 100 GALONS VERTICAL</v>
          </cell>
        </row>
        <row r="2742">
          <cell r="A2742" t="str">
            <v>FOAM-BLV150G-UF</v>
          </cell>
          <cell r="B2742" t="str">
            <v>Foam Bladder Tank 150 Gallon Vertical UL/FM</v>
          </cell>
        </row>
        <row r="2743">
          <cell r="A2743" t="str">
            <v>FOAM-BLV400G-UF</v>
          </cell>
          <cell r="B2743" t="str">
            <v>Foam Bladder Tank 400 Gallon Vertical UL/FM</v>
          </cell>
        </row>
        <row r="2744">
          <cell r="A2744" t="str">
            <v>FOAM-BLV500G-UF</v>
          </cell>
          <cell r="B2744" t="str">
            <v>Foam Bladder Tank 500 Gallon Vertical UL/FM</v>
          </cell>
        </row>
        <row r="2745">
          <cell r="A2745" t="str">
            <v>FOAMBOMLLENESTA</v>
          </cell>
          <cell r="B2745" t="str">
            <v>BOMBA DE LLENADO DE ESTANQUE ANSUL</v>
          </cell>
        </row>
        <row r="2746">
          <cell r="A2746" t="str">
            <v>FOAMCAMESPAFC90</v>
          </cell>
          <cell r="B2746" t="str">
            <v xml:space="preserve">FOAM CAMESPAF C90 </v>
          </cell>
        </row>
        <row r="2747">
          <cell r="A2747" t="str">
            <v>FOAMCART36-0000</v>
          </cell>
          <cell r="B2747" t="str">
            <v xml:space="preserve">FOAM CART 36 Gal/120 gpm Lexp 429955 ANSUL </v>
          </cell>
        </row>
        <row r="2748">
          <cell r="A2748" t="str">
            <v>FOAMCART-429952</v>
          </cell>
          <cell r="B2748" t="str">
            <v>FOAM CART 36 Gal/60 GPM 429952 ANSUL</v>
          </cell>
        </row>
        <row r="2749">
          <cell r="A2749" t="str">
            <v>FOAMDEFLECAMESP</v>
          </cell>
          <cell r="B2749" t="str">
            <v xml:space="preserve">FOAM DEFLECAM ESP </v>
          </cell>
        </row>
        <row r="2750">
          <cell r="A2750" t="str">
            <v>FOAMESP10-00000</v>
          </cell>
          <cell r="B2750" t="str">
            <v>BID 55GAL ESP AFFF 3% AFC3-A ANSUL</v>
          </cell>
        </row>
        <row r="2751">
          <cell r="A2751" t="str">
            <v>FOAMESP265-0000</v>
          </cell>
          <cell r="B2751" t="str">
            <v>TOTE 265GAL ESP AFFF 3% AFC3-A ANSUL</v>
          </cell>
        </row>
        <row r="2752">
          <cell r="A2752" t="str">
            <v>FOAMESP5-000000</v>
          </cell>
          <cell r="B2752" t="str">
            <v>PAIL5GAL ESP AFFF 3% AFC3-A PN: 055800</v>
          </cell>
        </row>
        <row r="2753">
          <cell r="A2753" t="str">
            <v>FOAMESP55-00000</v>
          </cell>
          <cell r="B2753" t="str">
            <v xml:space="preserve">DRUM 55 GAL ESP AFFF3% AFC3-A </v>
          </cell>
        </row>
        <row r="2754">
          <cell r="A2754" t="str">
            <v>FOAMESP55AR-000</v>
          </cell>
          <cell r="B2754" t="str">
            <v>DRUM 55 GALAR-AFFF 3X3 LV ANSUL 416495</v>
          </cell>
        </row>
        <row r="2755">
          <cell r="A2755" t="str">
            <v>FOAMFILLPUMP-00</v>
          </cell>
          <cell r="B2755" t="str">
            <v xml:space="preserve">BLADDER TANK FILL PUMP </v>
          </cell>
        </row>
        <row r="2756">
          <cell r="A2756" t="str">
            <v>FOAMFIRECARAFFF</v>
          </cell>
          <cell r="B2756" t="str">
            <v>DRUM 55 GL.AR-AFFF 3X3 UL LIST FIRECHEM</v>
          </cell>
        </row>
        <row r="2757">
          <cell r="A2757" t="str">
            <v>FOAMFIRECHACONVAL2</v>
          </cell>
          <cell r="B2757" t="str">
            <v xml:space="preserve">Hydraulic Actuated control valve 2 </v>
          </cell>
        </row>
        <row r="2758">
          <cell r="A2758" t="str">
            <v>FOAMFIRECHBLAD-200GV</v>
          </cell>
          <cell r="B2758" t="str">
            <v>200 GALONS VERTICAL BLADDER TANK RED FIRECHEM</v>
          </cell>
        </row>
        <row r="2759">
          <cell r="A2759" t="str">
            <v>FOAMFIRECHBLADD-200G</v>
          </cell>
          <cell r="B2759" t="str">
            <v>200 GALONS HORIZONTAL BLADDER TANK RED FIRECHEM</v>
          </cell>
        </row>
        <row r="2760">
          <cell r="A2760" t="str">
            <v>FOAMFIRECHEAFFF</v>
          </cell>
          <cell r="B2760" t="str">
            <v>DRUM 55 GL. AFFF-3% UL(49°C) FIRECHEM</v>
          </cell>
        </row>
        <row r="2761">
          <cell r="A2761" t="str">
            <v>FOAMFIRECHEMBLADDER</v>
          </cell>
          <cell r="B2761" t="str">
            <v>800 GALONS HORIZONTAL BLADDER TANK RED FIRECHEM</v>
          </cell>
        </row>
        <row r="2762">
          <cell r="A2762" t="str">
            <v>FOAMFIRECHEMHYDRA</v>
          </cell>
          <cell r="B2762" t="str">
            <v xml:space="preserve">CONCENT. CONT VALVE HYDRAULIC OPERATED FIRECHEM </v>
          </cell>
        </row>
        <row r="2763">
          <cell r="A2763" t="str">
            <v>FOAMFIRECISVALVE2</v>
          </cell>
          <cell r="B2763" t="str">
            <v xml:space="preserve">ISOLATION VALVE 2 </v>
          </cell>
        </row>
        <row r="2764">
          <cell r="A2764" t="str">
            <v xml:space="preserve">FOAMFIRECPRELIEF1/4 </v>
          </cell>
          <cell r="B2764" t="str">
            <v>Pressure relief valve 1/4</v>
          </cell>
        </row>
        <row r="2765">
          <cell r="A2765" t="str">
            <v>FOAMFIRECSIGHTG</v>
          </cell>
          <cell r="B2765" t="str">
            <v>SIGHT GAUGE</v>
          </cell>
        </row>
        <row r="2766">
          <cell r="A2766" t="str">
            <v>FOAMFIRECWIBALL2</v>
          </cell>
          <cell r="B2766" t="str">
            <v>WATER INLET BALL 2  68789</v>
          </cell>
        </row>
        <row r="2767">
          <cell r="A2767" t="str">
            <v>FOAM-FLOWMAX</v>
          </cell>
          <cell r="B2767" t="str">
            <v>FLOWMAX CL Rango Variable 3X3 LV AR-AFFF</v>
          </cell>
        </row>
        <row r="2768">
          <cell r="A2768" t="str">
            <v>FOAMFRCHAFFFFRZ</v>
          </cell>
          <cell r="B2768" t="str">
            <v>DRUM 55 GL. AFFF-3% UL (-25°C) FIRECHEM</v>
          </cell>
        </row>
        <row r="2769">
          <cell r="A2769" t="str">
            <v>FOAM-HD107</v>
          </cell>
          <cell r="B2769" t="str">
            <v xml:space="preserve">WATER MOTOR GON BELL UL/FM </v>
          </cell>
        </row>
        <row r="2770">
          <cell r="A2770" t="str">
            <v>FOAM-HD135</v>
          </cell>
          <cell r="B2770" t="str">
            <v xml:space="preserve">HD135 MONITOR M311, 80 NB Inlet 4pulg Outlet 3pulg </v>
          </cell>
        </row>
        <row r="2771">
          <cell r="A2771" t="str">
            <v>FOAM-HD172</v>
          </cell>
          <cell r="B2771" t="str">
            <v>VARSHA-40 Master Stream Nozzle 3   Bronze Marca: HDFIRE</v>
          </cell>
        </row>
        <row r="2772">
          <cell r="A2772" t="str">
            <v>FOAM-HD176</v>
          </cell>
          <cell r="B2772" t="str">
            <v xml:space="preserve">Hydro foam Nozzle VARSHA-HF40 3  Bronze with Pick up tube 3 </v>
          </cell>
        </row>
        <row r="2773">
          <cell r="A2773" t="str">
            <v>FOAM-HD197</v>
          </cell>
          <cell r="B2773" t="str">
            <v>Mobile Foam Unit MF-A   Fibre Glass Tank, 160 litre capacity</v>
          </cell>
        </row>
        <row r="2774">
          <cell r="A2774" t="str">
            <v>FOAM-HD210</v>
          </cell>
          <cell r="B2774" t="str">
            <v>Model VAJRA 331, 80 NB Monitor Inlet 4 -Outlet 3  Marca: HDF</v>
          </cell>
        </row>
        <row r="2775">
          <cell r="A2775" t="str">
            <v>FOAM-HD269</v>
          </cell>
          <cell r="B2775" t="str">
            <v xml:space="preserve">Foam Concentrate AFFF 3% C6 UL-FM Drum x 200 Liters Marca: </v>
          </cell>
        </row>
        <row r="2776">
          <cell r="A2776" t="str">
            <v>FOAM-HD270</v>
          </cell>
          <cell r="B2776" t="str">
            <v>Foam Concentrate AFFF 6% C6 UL Listed Drum x 200 Liters Marc</v>
          </cell>
        </row>
        <row r="2777">
          <cell r="A2777" t="str">
            <v>FOAM-HD280</v>
          </cell>
          <cell r="B2777" t="str">
            <v>VARSHA-40U Master Stream Nozzle Bronze with SS internal 3  M</v>
          </cell>
        </row>
        <row r="2778">
          <cell r="A2778" t="str">
            <v>FOAM-HD281</v>
          </cell>
          <cell r="B2778" t="str">
            <v xml:space="preserve">Hydro foam Nozzle VARSHA-HF40U, Bronze 3  with pick up tube </v>
          </cell>
        </row>
        <row r="2779">
          <cell r="A2779" t="str">
            <v>FOAM-HD3531</v>
          </cell>
          <cell r="B2779" t="str">
            <v>Oscilating unit box 4  Flange ANSI</v>
          </cell>
        </row>
        <row r="2780">
          <cell r="A2780" t="str">
            <v>FOAMHYDRANTMOUNT2775</v>
          </cell>
          <cell r="B2780" t="str">
            <v xml:space="preserve">SOPORTE HIDRANTE MONITOR AKRON </v>
          </cell>
        </row>
        <row r="2781">
          <cell r="A2781" t="str">
            <v>FOAMMONITOR-3526000</v>
          </cell>
          <cell r="B2781" t="str">
            <v xml:space="preserve">MONITOR AKRON MODEL 3526 4 </v>
          </cell>
        </row>
        <row r="2782">
          <cell r="A2782" t="str">
            <v>FOAMMONITOR-3528</v>
          </cell>
          <cell r="B2782" t="str">
            <v>INACTIVO</v>
          </cell>
        </row>
        <row r="2783">
          <cell r="A2783" t="str">
            <v>FOAMMONITOR-35280002</v>
          </cell>
          <cell r="B2783" t="str">
            <v>INACTIVO</v>
          </cell>
        </row>
        <row r="2784">
          <cell r="A2784" t="str">
            <v>FOAMMONITORWOM3</v>
          </cell>
          <cell r="B2784" t="str">
            <v>MONITOR WOM 3 - PN:400000 ANSUL400000</v>
          </cell>
        </row>
        <row r="2785">
          <cell r="A2785" t="str">
            <v>FOAMNOZZLE-0489</v>
          </cell>
          <cell r="B2785" t="str">
            <v>Plain Deluge Tip Aluminum 2 1/2  x 1 1/2  PN: 0489</v>
          </cell>
        </row>
        <row r="2786">
          <cell r="A2786" t="str">
            <v>FOAMNOZZLE-0500</v>
          </cell>
          <cell r="B2786" t="str">
            <v xml:space="preserve">ANSUL INDUSTRIAL NOZZLE 500 </v>
          </cell>
        </row>
        <row r="2787">
          <cell r="A2787" t="str">
            <v>FOAMNOZZLE-4450</v>
          </cell>
          <cell r="B2787" t="str">
            <v>Aquastream Master Stream with Teeth - Brass  Akron  P/N 4450</v>
          </cell>
        </row>
        <row r="2788">
          <cell r="A2788" t="str">
            <v>FOAMONITOR-36710001</v>
          </cell>
          <cell r="B2788" t="str">
            <v>CONQUEST MANUAL 4 PULG FLGx3.5 NH</v>
          </cell>
        </row>
        <row r="2789">
          <cell r="A2789" t="str">
            <v>FOAMPRO06ENFL-0</v>
          </cell>
          <cell r="B2789" t="str">
            <v>PROPOR. 6 E/F AR-AFFF 3X3 LV ANSUL</v>
          </cell>
        </row>
        <row r="2790">
          <cell r="A2790" t="str">
            <v>FOAMPROES08-000</v>
          </cell>
          <cell r="B2790" t="str">
            <v xml:space="preserve">PROPORCIONADOR ES 8 </v>
          </cell>
        </row>
        <row r="2791">
          <cell r="A2791" t="str">
            <v>FOAMPROES2M-000</v>
          </cell>
          <cell r="B2791" t="str">
            <v xml:space="preserve">PROPORCIONADOR 3%AFFF 2 1/2 </v>
          </cell>
        </row>
        <row r="2792">
          <cell r="A2792" t="str">
            <v>FOAMPROPESP2-0</v>
          </cell>
          <cell r="B2792" t="str">
            <v>PROP. 2  Mod. DL-15-760 LPM</v>
          </cell>
        </row>
        <row r="2793">
          <cell r="A2793" t="str">
            <v>FOAMSISTEMAESPU</v>
          </cell>
          <cell r="B2793" t="str">
            <v xml:space="preserve">SISTEMA DE ESPUMA ANSUL </v>
          </cell>
        </row>
        <row r="2794">
          <cell r="A2794" t="str">
            <v>FOAMTANK-050-V6</v>
          </cell>
          <cell r="B2794" t="str">
            <v xml:space="preserve">BLADDER TANK 50 GL VERT. 6 </v>
          </cell>
        </row>
        <row r="2795">
          <cell r="A2795" t="str">
            <v>FOAMTANK1000H-0</v>
          </cell>
          <cell r="B2795" t="str">
            <v xml:space="preserve">BLADDER TANK 1000 GAL HORIZ </v>
          </cell>
        </row>
        <row r="2796">
          <cell r="A2796" t="str">
            <v>FOAMTANK100-V24</v>
          </cell>
          <cell r="B2796" t="str">
            <v xml:space="preserve">BLADDER TANK 100 GAL VERT. 24 </v>
          </cell>
        </row>
        <row r="2797">
          <cell r="A2797" t="str">
            <v>FOAMTANK-1800GH</v>
          </cell>
          <cell r="B2797" t="str">
            <v>BLADDER TANK 1800G HOR. Part N: 444058</v>
          </cell>
        </row>
        <row r="2798">
          <cell r="A2798" t="str">
            <v>FOAMTANK-1800GV</v>
          </cell>
          <cell r="B2798" t="str">
            <v>BLADDER TANK 1800GV CHEMGUARD</v>
          </cell>
        </row>
        <row r="2799">
          <cell r="A2799" t="str">
            <v>FOAMTANK200-D3</v>
          </cell>
          <cell r="B2799" t="str">
            <v>BLADDER TANK 200 GAL PROPORCIONADOR DE 3</v>
          </cell>
        </row>
        <row r="2800">
          <cell r="A2800" t="str">
            <v>FOAMTANK-2400-H</v>
          </cell>
          <cell r="B2800" t="str">
            <v xml:space="preserve">BLADDER TANK 2400 GAL HORIZ </v>
          </cell>
        </row>
        <row r="2801">
          <cell r="A2801" t="str">
            <v>FOAMTANK-2800-H</v>
          </cell>
          <cell r="B2801" t="str">
            <v xml:space="preserve">BLADDER TANK 2800 GAL HORIZ </v>
          </cell>
        </row>
        <row r="2802">
          <cell r="A2802" t="str">
            <v>FOAMTANK-3000-H</v>
          </cell>
          <cell r="B2802" t="str">
            <v xml:space="preserve">BLADDER TANK 3000 GAL HORIZ </v>
          </cell>
        </row>
        <row r="2803">
          <cell r="A2803" t="str">
            <v>FOAMTANK-300-H4</v>
          </cell>
          <cell r="B2803" t="str">
            <v>BLADDER TANK 300 GAL HORIZ 4 419808</v>
          </cell>
        </row>
        <row r="2804">
          <cell r="A2804" t="str">
            <v>FOAMTANK400H-0</v>
          </cell>
          <cell r="B2804" t="str">
            <v xml:space="preserve">BLADDER TANK 400 GAL HORIZ </v>
          </cell>
        </row>
        <row r="2805">
          <cell r="A2805" t="str">
            <v>FOAMTANK400V-0</v>
          </cell>
          <cell r="B2805" t="str">
            <v>Bladder tank 400 gal vertical N/P 444072</v>
          </cell>
        </row>
        <row r="2806">
          <cell r="A2806" t="str">
            <v>FOAMTANK-419197</v>
          </cell>
          <cell r="B2806" t="str">
            <v>BLADDER TANK 1000 GAL HORIZONTAL ANSUL</v>
          </cell>
        </row>
        <row r="2807">
          <cell r="A2807" t="str">
            <v>FOAMTANK-419800</v>
          </cell>
          <cell r="B2807" t="str">
            <v>BLADDER TANK 100 GAL HOR. PP2 419800</v>
          </cell>
        </row>
        <row r="2808">
          <cell r="A2808" t="str">
            <v>FOAMTANK-419829</v>
          </cell>
          <cell r="B2808" t="str">
            <v>BLAD TANK, PRE-PIPED W/8 800 GAL HORIZ CR EPOXY RED.</v>
          </cell>
        </row>
        <row r="2809">
          <cell r="A2809" t="str">
            <v>FOAMTANK-500-H6</v>
          </cell>
          <cell r="B2809" t="str">
            <v xml:space="preserve">BLADDER TANK 500 GAL HORIZ 6 </v>
          </cell>
        </row>
        <row r="2810">
          <cell r="A2810" t="str">
            <v>FOAMTANK500H6PR</v>
          </cell>
          <cell r="B2810" t="str">
            <v xml:space="preserve">BLAD TANK 500 GAL HORIZ 6 PRO </v>
          </cell>
        </row>
        <row r="2811">
          <cell r="A2811" t="str">
            <v>FOAMTANK-500-V6</v>
          </cell>
          <cell r="B2811" t="str">
            <v xml:space="preserve">BLADDER TANK 500 GAL VERT. 6 </v>
          </cell>
        </row>
        <row r="2812">
          <cell r="A2812" t="str">
            <v>FOAMTANK-600-00</v>
          </cell>
          <cell r="B2812" t="str">
            <v xml:space="preserve">Bladder Tank 600 Galones Vertical Red enamel </v>
          </cell>
        </row>
        <row r="2813">
          <cell r="A2813" t="str">
            <v>FOAMTANK800H4PR</v>
          </cell>
          <cell r="B2813" t="str">
            <v xml:space="preserve">BLAD TANK 800 GAL HORIZ 4 PRO </v>
          </cell>
        </row>
        <row r="2814">
          <cell r="A2814" t="str">
            <v>FOAMTANK-V-50</v>
          </cell>
          <cell r="B2814" t="str">
            <v>BLADDER TANK,PRE-PIPED W/2 IN PROP 50 GAL. VERTICAL</v>
          </cell>
        </row>
        <row r="2815">
          <cell r="A2815" t="str">
            <v>FOAMTOTES-330-G</v>
          </cell>
          <cell r="B2815" t="str">
            <v xml:space="preserve">TOTE 330 GALONES </v>
          </cell>
        </row>
        <row r="2816">
          <cell r="A2816" t="str">
            <v>FOAMVALBOLA-001</v>
          </cell>
          <cell r="B2816" t="str">
            <v>VALVULA BOLA 1 / PN:074188 ANSUL074188</v>
          </cell>
        </row>
        <row r="2817">
          <cell r="A2817" t="str">
            <v>FOAMVALBOLA01</v>
          </cell>
          <cell r="B2817" t="str">
            <v>Valvula Bola 1  / PN:074188ANSUL</v>
          </cell>
        </row>
        <row r="2818">
          <cell r="A2818" t="str">
            <v>FOAMVALCHECK-01</v>
          </cell>
          <cell r="B2818" t="str">
            <v>VALVULA CHECK 1 ANSUL</v>
          </cell>
        </row>
        <row r="2819">
          <cell r="A2819" t="str">
            <v>FOAMVALCHECK-02</v>
          </cell>
          <cell r="B2819" t="str">
            <v>VALVULA CHECK 1 CON CONOANSUL</v>
          </cell>
        </row>
        <row r="2820">
          <cell r="A2820" t="str">
            <v>FOAMVALCONCON01</v>
          </cell>
          <cell r="B2820" t="str">
            <v>VAL. CONTROL CONCENTRADO 1 ANSUL</v>
          </cell>
        </row>
        <row r="2821">
          <cell r="A2821" t="str">
            <v>FOAMVALCONCON2M</v>
          </cell>
          <cell r="B2821" t="str">
            <v>VAL. CONTROL CONCENTRADO 21/2 ANSUL</v>
          </cell>
        </row>
        <row r="2822">
          <cell r="A2822" t="str">
            <v>FOAMVALREGPRE0C</v>
          </cell>
          <cell r="B2822" t="str">
            <v>VALVULA REGULADORA PRESION 1/4 ANSUL</v>
          </cell>
        </row>
        <row r="2823">
          <cell r="A2823" t="str">
            <v>FOAMWATERCONT01</v>
          </cell>
          <cell r="B2823" t="str">
            <v xml:space="preserve">WATER INLET VALVE 1 </v>
          </cell>
        </row>
        <row r="2824">
          <cell r="A2824" t="str">
            <v>FOANANSUL-69373</v>
          </cell>
          <cell r="B2824" t="str">
            <v>PROPORTIONER, 6 IN. BETWEEN FLANGE, 3% AFFF ALCOHOL RES.</v>
          </cell>
        </row>
        <row r="2825">
          <cell r="A2825" t="str">
            <v>FOANANSUL-74192</v>
          </cell>
          <cell r="B2825" t="str">
            <v>CONCENTRATE ISOLATION BALL VALVE/NAMEPLATE, 1 1/4 IN.</v>
          </cell>
        </row>
        <row r="2826">
          <cell r="A2826" t="str">
            <v>FRDT-0026200104</v>
          </cell>
          <cell r="B2826" t="str">
            <v>3/8 NPT SINGLE NOZZLE 7LB.227 FIREDETEC026200104</v>
          </cell>
        </row>
        <row r="2827">
          <cell r="A2827" t="str">
            <v>FRDT-0029900168</v>
          </cell>
          <cell r="B2827" t="str">
            <v>( INACTIVO )</v>
          </cell>
        </row>
        <row r="2828">
          <cell r="A2828" t="str">
            <v>FRDT-0B04420127</v>
          </cell>
          <cell r="B2828" t="str">
            <v>EOL W/SOLENOID/GAUGE</v>
          </cell>
        </row>
        <row r="2829">
          <cell r="A2829" t="str">
            <v>FRDT-0B07014501</v>
          </cell>
          <cell r="B2829" t="str">
            <v>7 POUND SYSTEM HFC-227 FIREDETECB07014501</v>
          </cell>
        </row>
        <row r="2830">
          <cell r="A2830" t="str">
            <v>FRDT-0B07014503</v>
          </cell>
          <cell r="B2830" t="str">
            <v>EOL W/SOLENOID/GAUGE</v>
          </cell>
        </row>
        <row r="2831">
          <cell r="A2831" t="str">
            <v>FRDT-0B07800017</v>
          </cell>
          <cell r="B2831" t="str">
            <v>TUBING RED 25 FT. FIREDETECB07800017</v>
          </cell>
        </row>
        <row r="2832">
          <cell r="A2832" t="str">
            <v>FRDT-0B07810005</v>
          </cell>
          <cell r="B2832" t="str">
            <v>FILLING ADAPTER FIREDETECB07810005</v>
          </cell>
        </row>
        <row r="2833">
          <cell r="A2833" t="str">
            <v>FRDT-0B07810026</v>
          </cell>
          <cell r="B2833" t="str">
            <v>END OF LINE ADAPTER W/GAUGE FIREDETECB07810026</v>
          </cell>
        </row>
        <row r="2834">
          <cell r="A2834" t="str">
            <v>FRDT-26200105</v>
          </cell>
          <cell r="B2834" t="str">
            <v>1/2 NOZZLE (14 LB NOZZLE HFC 227EA SYSTEMS)</v>
          </cell>
        </row>
        <row r="2835">
          <cell r="A2835" t="str">
            <v>FRDT-29900178</v>
          </cell>
          <cell r="B2835" t="str">
            <v>PRESSURE SWITCH NORMALLY CLESED</v>
          </cell>
        </row>
        <row r="2836">
          <cell r="A2836" t="str">
            <v>FRDT-B07004500</v>
          </cell>
          <cell r="B2836" t="str">
            <v>ROTAREX SISTEMA DE 3 LIBRAS DE  FM-200® - SISTEMA DLP</v>
          </cell>
        </row>
        <row r="2837">
          <cell r="A2837" t="str">
            <v>FRDT-B07004501</v>
          </cell>
          <cell r="B2837" t="str">
            <v>FIREDETEC- CYL / VALVE DLP / BRACKET / 7LB / FM200/FILLED</v>
          </cell>
        </row>
        <row r="2838">
          <cell r="A2838" t="str">
            <v>FRDT-B07014502</v>
          </cell>
          <cell r="B2838" t="str">
            <v xml:space="preserve">14 POUND SYSTEM HFC-227EA (PISO SALA CONTROL) </v>
          </cell>
        </row>
        <row r="2839">
          <cell r="A2839" t="str">
            <v>FRDT-B07507006</v>
          </cell>
          <cell r="B2839" t="str">
            <v>SYSTEM DLP/CYL. CE 1,36KG-3LB/ HFC-227/FILLED</v>
          </cell>
        </row>
        <row r="2840">
          <cell r="A2840" t="str">
            <v>FRDT-B07800019</v>
          </cell>
          <cell r="B2840" t="str">
            <v>RED TUBING 100 FEET (PARA PISO,CIELO SCADA Y SALA CONTROL)</v>
          </cell>
        </row>
        <row r="2841">
          <cell r="A2841" t="str">
            <v>GABINETE-01-00</v>
          </cell>
          <cell r="B2841" t="str">
            <v>GABINETE  1    700X700X330  SIN VIDRIO</v>
          </cell>
        </row>
        <row r="2842">
          <cell r="A2842" t="str">
            <v>GOLILLAPLANA</v>
          </cell>
          <cell r="B2842" t="str">
            <v>GOLILLA PLANA CTE. 5/8(40XKG) ZINC</v>
          </cell>
        </row>
        <row r="2843">
          <cell r="A2843" t="str">
            <v>GOLILLAPRES5/8</v>
          </cell>
          <cell r="B2843" t="str">
            <v>GOLILLA DE PRESION 5/8 ZINC</v>
          </cell>
        </row>
        <row r="2844">
          <cell r="A2844" t="str">
            <v>IG-30027201</v>
          </cell>
          <cell r="B2844" t="str">
            <v>Pneumatic cone c/w Inert needle</v>
          </cell>
        </row>
        <row r="2845">
          <cell r="A2845" t="str">
            <v>IG-35116429</v>
          </cell>
          <cell r="B2845" t="str">
            <v>Tee for pneumatic cone ( 3 ways, ¼”</v>
          </cell>
        </row>
        <row r="2846">
          <cell r="A2846" t="str">
            <v>IG-73119039</v>
          </cell>
          <cell r="B2846" t="str">
            <v>CIL MOD/AUX 80L. 128-60 15.9 M3 IG-55 200 BAR</v>
          </cell>
        </row>
        <row r="2847">
          <cell r="A2847" t="str">
            <v>INERGEN-0045120</v>
          </cell>
          <cell r="B2847" t="str">
            <v>25 35 50 CYL STRAP 24.63 ANSUL045120</v>
          </cell>
        </row>
        <row r="2848">
          <cell r="A2848" t="str">
            <v>INERGEN-0046250</v>
          </cell>
          <cell r="B2848" t="str">
            <v>PRESSURE SWITCH DPST ANSUL046250</v>
          </cell>
        </row>
        <row r="2849">
          <cell r="A2849" t="str">
            <v>INERGEN-0070846</v>
          </cell>
          <cell r="B2849" t="str">
            <v>LVR ACTUATOR HDL/PIN ANSUL070846</v>
          </cell>
        </row>
        <row r="2850">
          <cell r="A2850" t="str">
            <v>INERGEN-0073327</v>
          </cell>
          <cell r="B2850" t="str">
            <v>HF ELECTRIC ACTUATOR ANSUL073327</v>
          </cell>
        </row>
        <row r="2851">
          <cell r="A2851" t="str">
            <v>INERGEN-0075433</v>
          </cell>
          <cell r="B2851" t="str">
            <v>HF-ARMING TOOL ASSY ANSUL075433</v>
          </cell>
        </row>
        <row r="2852">
          <cell r="A2852" t="str">
            <v>INERGEN-0416265</v>
          </cell>
          <cell r="B2852" t="str">
            <v>INERGEN ALRM NMPLT INSIDE ANSUL416265</v>
          </cell>
        </row>
        <row r="2853">
          <cell r="A2853" t="str">
            <v>INERGEN-0416266</v>
          </cell>
          <cell r="B2853" t="str">
            <v>INERGEN ALRM NMPLT OUTSIDE ANSUL416266</v>
          </cell>
        </row>
        <row r="2854">
          <cell r="A2854" t="str">
            <v>INERGEN-0416677</v>
          </cell>
          <cell r="B2854" t="str">
            <v>1/2ORIFICE UNION ASM (.136) ANSUL416677</v>
          </cell>
        </row>
        <row r="2855">
          <cell r="A2855" t="str">
            <v>INERGEN-0417723</v>
          </cell>
          <cell r="B2855" t="str">
            <v>3/8INERGEN NOZZLE ASSY(.199) ANSUL417723</v>
          </cell>
        </row>
        <row r="2856">
          <cell r="A2856" t="str">
            <v>INERGEN-04177233</v>
          </cell>
        </row>
        <row r="2857">
          <cell r="A2857" t="str">
            <v>INERGEN-0426147</v>
          </cell>
          <cell r="B2857" t="str">
            <v>200 CV98 INERGEN CYLINDER ANSUL426147</v>
          </cell>
        </row>
        <row r="2858">
          <cell r="A2858" t="str">
            <v>INERGEN-0427082</v>
          </cell>
          <cell r="B2858" t="str">
            <v>200 BAR FLEXIBLE BEND ANSUL427082</v>
          </cell>
        </row>
        <row r="2859">
          <cell r="A2859" t="str">
            <v>INERGEN-0428949</v>
          </cell>
          <cell r="B2859" t="str">
            <v>BOOSTER ACTUATOR SHIP ASM ANSUL428949</v>
          </cell>
        </row>
        <row r="2860">
          <cell r="A2860" t="str">
            <v>INERGEN-0429847</v>
          </cell>
          <cell r="B2860" t="str">
            <v>RESET TOOL BOOSTER ACT ANSUL429847</v>
          </cell>
        </row>
        <row r="2861">
          <cell r="A2861" t="str">
            <v>INERGEN-25627</v>
          </cell>
          <cell r="B2861" t="str">
            <v>Check Valve, 1/4 in.-25627</v>
          </cell>
        </row>
        <row r="2862">
          <cell r="A2862" t="str">
            <v>INERGEN-31809</v>
          </cell>
          <cell r="B2862" t="str">
            <v>Actuation Hose, Swivel, Stainless Braided, 16 in.</v>
          </cell>
        </row>
        <row r="2863">
          <cell r="A2863" t="str">
            <v>INERGEN-32334</v>
          </cell>
          <cell r="B2863" t="str">
            <v>Male Elbow (use with Pilot Valve Actuation Adapter, P/N 7323</v>
          </cell>
        </row>
        <row r="2864">
          <cell r="A2864" t="str">
            <v>INERGEN-416679</v>
          </cell>
          <cell r="B2864" t="str">
            <v>Orifice Union, 1 in. NPT</v>
          </cell>
        </row>
        <row r="2865">
          <cell r="A2865" t="str">
            <v>INERGEN-416680</v>
          </cell>
          <cell r="B2865" t="str">
            <v>Orifice Union, 1 1/4 in. NPT</v>
          </cell>
        </row>
        <row r="2866">
          <cell r="A2866" t="str">
            <v>INERGEN-416681</v>
          </cell>
          <cell r="B2866" t="str">
            <v>Orifice Union, 1 1/2 in. NPT-416681</v>
          </cell>
        </row>
        <row r="2867">
          <cell r="A2867" t="str">
            <v>INERGEN-417363</v>
          </cell>
          <cell r="B2867" t="str">
            <v>Nozzle, INERGEN, 3/4 in. NPT, 360 deg.</v>
          </cell>
        </row>
        <row r="2868">
          <cell r="A2868" t="str">
            <v>INERGEN-417364</v>
          </cell>
          <cell r="B2868" t="str">
            <v>Nozzle, INERGEN, 1 in. NPT, 360 deg.</v>
          </cell>
        </row>
        <row r="2869">
          <cell r="A2869" t="str">
            <v>INERGEN-417366</v>
          </cell>
          <cell r="B2869" t="str">
            <v>1 1/2  NPT INERGEN NOZZLE (360 Degree)-417366</v>
          </cell>
        </row>
        <row r="2870">
          <cell r="A2870" t="str">
            <v>INERGEN-417711</v>
          </cell>
          <cell r="B2870" t="str">
            <v>Nozzle Deflector Shield, INERGEN, 3/4 in.</v>
          </cell>
        </row>
        <row r="2871">
          <cell r="A2871" t="str">
            <v>INERGEN-417714</v>
          </cell>
          <cell r="B2871" t="str">
            <v>Nozzle Deflector Shield, INERGEN, 1 in.</v>
          </cell>
        </row>
        <row r="2872">
          <cell r="A2872" t="str">
            <v>INERGEN-417720</v>
          </cell>
          <cell r="B2872" t="str">
            <v>1 1/2  INERGEN DEFLECTOR SHIELD-417720</v>
          </cell>
        </row>
        <row r="2873">
          <cell r="A2873" t="str">
            <v>INERGEN-418359</v>
          </cell>
          <cell r="B2873" t="str">
            <v>Male Branch Tee-418359</v>
          </cell>
        </row>
        <row r="2874">
          <cell r="A2874" t="str">
            <v>INERGEN-418502</v>
          </cell>
          <cell r="B2874" t="str">
            <v>13  CARRIAGE BOLT &amp; NUT (SGL ROW 435)-418502</v>
          </cell>
        </row>
        <row r="2875">
          <cell r="A2875" t="str">
            <v>INERGEN-418503</v>
          </cell>
          <cell r="B2875" t="str">
            <v>Bolt and Nut, 27 in. (Double Row, 435 cu. ft.)</v>
          </cell>
        </row>
        <row r="2876">
          <cell r="A2876" t="str">
            <v>INERGEN-418508</v>
          </cell>
          <cell r="B2876" t="str">
            <v>CENTER UPRIGHT FOOT (7 OR MORE CYL.)-418508</v>
          </cell>
        </row>
        <row r="2877">
          <cell r="A2877" t="str">
            <v>INERGEN-423027</v>
          </cell>
          <cell r="B2877" t="str">
            <v>Bracket Upright - Weigh Rail Support Back-to-Back Double Row</v>
          </cell>
        </row>
        <row r="2878">
          <cell r="A2878" t="str">
            <v>INERGEN-426008</v>
          </cell>
          <cell r="B2878" t="str">
            <v>Replacement Valve, CV98</v>
          </cell>
        </row>
        <row r="2879">
          <cell r="A2879" t="str">
            <v>INERGEN-426155</v>
          </cell>
          <cell r="B2879" t="str">
            <v>Nozzle, INERGEN, 2 in. NPT, 360 deg.-426155</v>
          </cell>
        </row>
        <row r="2880">
          <cell r="A2880" t="str">
            <v>INERGEN-427092</v>
          </cell>
          <cell r="B2880" t="str">
            <v>VALVULA INERGEN 200 BAR</v>
          </cell>
        </row>
        <row r="2881">
          <cell r="A2881" t="str">
            <v>INERGEN-433356</v>
          </cell>
          <cell r="B2881" t="str">
            <v>MT-24MCW-FR Strobe, Multi Candela w/ Sounder (FIRE, Red)</v>
          </cell>
        </row>
        <row r="2882">
          <cell r="A2882" t="str">
            <v>INERGEN-437900</v>
          </cell>
          <cell r="B2882" t="str">
            <v>Switch, Pressure, 3PDT</v>
          </cell>
        </row>
        <row r="2883">
          <cell r="A2883" t="str">
            <v>INERGEN-439030</v>
          </cell>
          <cell r="B2883" t="str">
            <v>Bell, 24 VDC, 6 in., (motor driven)</v>
          </cell>
        </row>
        <row r="2884">
          <cell r="A2884" t="str">
            <v>INERGEN-440000</v>
          </cell>
          <cell r="B2884" t="str">
            <v xml:space="preserve">Marinette Filled Cylinder, INERGEN, Std., 575 cu.ft. w/CV98 </v>
          </cell>
        </row>
        <row r="2885">
          <cell r="A2885" t="str">
            <v>INERGEN-441870</v>
          </cell>
          <cell r="B2885" t="str">
            <v>INERGEN HF Electric Actuator Placement Indicator Switch Asse</v>
          </cell>
        </row>
        <row r="2886">
          <cell r="A2886" t="str">
            <v>INERGEN-71683</v>
          </cell>
          <cell r="B2886" t="str">
            <v>WEIGH RAIL SUPPORT-SINGLE ROW-71683</v>
          </cell>
        </row>
        <row r="2887">
          <cell r="A2887" t="str">
            <v>INERGEN-73091</v>
          </cell>
          <cell r="B2887" t="str">
            <v>CYLINDER CLAMP (2 CYLINDER)-73091</v>
          </cell>
        </row>
        <row r="2888">
          <cell r="A2888" t="str">
            <v>INERGEN-73092</v>
          </cell>
          <cell r="B2888" t="str">
            <v>Cylinder Clamp - 3 Cylinder</v>
          </cell>
        </row>
        <row r="2889">
          <cell r="A2889" t="str">
            <v>INERGEN-73236</v>
          </cell>
          <cell r="B2889" t="str">
            <v>Pilot Valve Actuation Adapter</v>
          </cell>
        </row>
        <row r="2890">
          <cell r="A2890" t="str">
            <v>INERGEN-73257</v>
          </cell>
          <cell r="B2890" t="str">
            <v>Upright</v>
          </cell>
        </row>
        <row r="2891">
          <cell r="A2891" t="str">
            <v>INERGEN-73553</v>
          </cell>
          <cell r="B2891" t="str">
            <v>SINGLE OR BACK-TO-BACK BRKT FOOT (LEFT)-73553</v>
          </cell>
        </row>
        <row r="2892">
          <cell r="A2892" t="str">
            <v>INERGEN-73554</v>
          </cell>
          <cell r="B2892" t="str">
            <v>SINGLE OR BACK-TO-BACK BRKT FOOT (RIGHT) -73554</v>
          </cell>
        </row>
        <row r="2893">
          <cell r="A2893" t="str">
            <v>INERGEN-73555</v>
          </cell>
          <cell r="B2893" t="str">
            <v>Bracket Foot, Double Row - Left Side</v>
          </cell>
        </row>
        <row r="2894">
          <cell r="A2894" t="str">
            <v>INERGEN-73556</v>
          </cell>
          <cell r="B2894" t="str">
            <v>Bracket Foot, Double Row - Right Side</v>
          </cell>
        </row>
        <row r="2895">
          <cell r="A2895" t="str">
            <v>INERGEN-79413</v>
          </cell>
          <cell r="B2895" t="str">
            <v>CONNECTOR (7 OR MORE CYL. IN A ROW)-79413</v>
          </cell>
        </row>
        <row r="2896">
          <cell r="A2896" t="str">
            <v>INERGEN-79638</v>
          </cell>
          <cell r="B2896" t="str">
            <v>BACK FRAME ASSEMBLY (2 CYLINDER)-79638</v>
          </cell>
        </row>
        <row r="2897">
          <cell r="A2897" t="str">
            <v>INERGEN-79639</v>
          </cell>
          <cell r="B2897" t="str">
            <v>Back Frame, 3 Cylinder</v>
          </cell>
        </row>
        <row r="2898">
          <cell r="A2898" t="str">
            <v>INERGEN-79641</v>
          </cell>
          <cell r="B2898" t="str">
            <v>BACK FRAME ASSEMBLY (5 CYLINDER)-79641</v>
          </cell>
        </row>
        <row r="2899">
          <cell r="A2899" t="str">
            <v>INERGEN-79642</v>
          </cell>
          <cell r="B2899" t="str">
            <v>BACK FRAME ASSEMBLY (6 CYLINDER)-79642</v>
          </cell>
        </row>
        <row r="2900">
          <cell r="A2900" t="str">
            <v>INSUMAT-INDI</v>
          </cell>
          <cell r="B2900" t="str">
            <v>VENTA PRODUCTOS INDIRECTOS</v>
          </cell>
        </row>
        <row r="2901">
          <cell r="A2901" t="str">
            <v>INTERES-GANADOS</v>
          </cell>
          <cell r="B2901" t="str">
            <v>INTERES DOCUMENTOS EN COBRANZA</v>
          </cell>
        </row>
        <row r="2902">
          <cell r="A2902" t="str">
            <v>KID-06-118184-001</v>
          </cell>
          <cell r="B2902" t="str">
            <v>SAFETY DISC 3 VALVE ( 90-170100-000 )</v>
          </cell>
        </row>
        <row r="2903">
          <cell r="A2903" t="str">
            <v>KID-06-118185-001</v>
          </cell>
          <cell r="B2903" t="str">
            <v>WASHER, SAFETY DISC 3 VALVE ( 90-170100-000 )</v>
          </cell>
        </row>
        <row r="2904">
          <cell r="A2904" t="str">
            <v>KID-06-235926-001</v>
          </cell>
          <cell r="B2904" t="str">
            <v>RETAINER SAFETY DISC ( 90-170100-000 )</v>
          </cell>
        </row>
        <row r="2905">
          <cell r="A2905" t="str">
            <v>KID-220278</v>
          </cell>
          <cell r="B2905" t="str">
            <v>SCHRAEDER CORE</v>
          </cell>
        </row>
        <row r="2906">
          <cell r="A2906" t="str">
            <v>KID-220360</v>
          </cell>
          <cell r="B2906" t="str">
            <v>WASHER, SAFETY DISC 2 VALVE  ( 90-150100-000 )</v>
          </cell>
        </row>
        <row r="2907">
          <cell r="A2907" t="str">
            <v>KID-220362-000</v>
          </cell>
          <cell r="B2907" t="str">
            <v>WASHER ( 90-160100-000 )</v>
          </cell>
        </row>
        <row r="2908">
          <cell r="A2908" t="str">
            <v>KID-230640-000</v>
          </cell>
          <cell r="B2908" t="str">
            <v>SPRING, PILOT CHECK ( 90-170100-000 )</v>
          </cell>
        </row>
        <row r="2909">
          <cell r="A2909" t="str">
            <v>KID-242461-000</v>
          </cell>
          <cell r="B2909" t="str">
            <v>SAFETY DISC 1-1/2 VALVE  ( 90-140100-000 )</v>
          </cell>
        </row>
        <row r="2910">
          <cell r="A2910" t="str">
            <v>KID-258426-000</v>
          </cell>
          <cell r="B2910" t="str">
            <v>NUT, SAFETY DISC 1-1/2 - 2-1/2 RETAINER ( 90-140100-000 )</v>
          </cell>
        </row>
        <row r="2911">
          <cell r="A2911" t="str">
            <v>KID-264921-000</v>
          </cell>
          <cell r="B2911" t="str">
            <v>NUT, SAFETY DISC 1-1/2 - 2-1/2 VALVE ( 90-150100-000 )</v>
          </cell>
        </row>
        <row r="2912">
          <cell r="A2912" t="str">
            <v>KID-264925</v>
          </cell>
          <cell r="B2912" t="str">
            <v>SAFETY DISC, 2 VALVE ( 90-150100-000 )</v>
          </cell>
        </row>
        <row r="2913">
          <cell r="A2913" t="str">
            <v>KID-264929-000</v>
          </cell>
          <cell r="B2913" t="str">
            <v>SAFETY DISC ( 90-160100-000 )</v>
          </cell>
        </row>
        <row r="2914">
          <cell r="A2914" t="str">
            <v>KID-294500-000</v>
          </cell>
          <cell r="B2914" t="str">
            <v>WASHER, SAFETY DISC 1-1/2 VALVE ( 90-140100-000 )</v>
          </cell>
        </row>
        <row r="2915">
          <cell r="A2915" t="str">
            <v>KID-554003-250</v>
          </cell>
          <cell r="B2915" t="str">
            <v>TEFLON BACK-UP RING, PISTON 1-1/2 VALVE ( 90-140100-000 )</v>
          </cell>
        </row>
        <row r="2916">
          <cell r="A2916" t="str">
            <v>KID-554003-300</v>
          </cell>
          <cell r="B2916" t="str">
            <v>TEFLON BACK-UP RING, PISTON 2 VALVE ( 90-150100-100 )</v>
          </cell>
        </row>
        <row r="2917">
          <cell r="A2917" t="str">
            <v>KID-554003-340</v>
          </cell>
          <cell r="B2917" t="str">
            <v>TEFLON BACK-UP RING ( 90-160100-000 )</v>
          </cell>
        </row>
        <row r="2918">
          <cell r="A2918" t="str">
            <v>KID-554003400</v>
          </cell>
          <cell r="B2918" t="str">
            <v xml:space="preserve">BACK-UP RING </v>
          </cell>
        </row>
        <row r="2919">
          <cell r="A2919" t="str">
            <v>KID-554003-400</v>
          </cell>
          <cell r="B2919" t="str">
            <v>TEFLON BACK-UP RING, PISTON 3 VALVE ( 90-170100-000 )</v>
          </cell>
        </row>
        <row r="2920">
          <cell r="A2920" t="str">
            <v>KID-566101-170</v>
          </cell>
          <cell r="B2920" t="str">
            <v>O-RING, INNER PISTON ( 90-170100-000 )</v>
          </cell>
        </row>
        <row r="2921">
          <cell r="A2921" t="str">
            <v>KID-566102-150</v>
          </cell>
          <cell r="B2921" t="str">
            <v>O- RING, SEAT 1-1/2 VALVE ( 90-140100-000 )</v>
          </cell>
        </row>
        <row r="2922">
          <cell r="A2922" t="str">
            <v>KID-566102-250</v>
          </cell>
          <cell r="B2922" t="str">
            <v>O-RING, CAP 1-1/2 VALVE ( 90-140100-000 )</v>
          </cell>
        </row>
        <row r="2923">
          <cell r="A2923" t="str">
            <v>KID-5661-0230</v>
          </cell>
          <cell r="B2923" t="str">
            <v>O-RING,CAP 2 VALVE ( 90-150100-000 )</v>
          </cell>
        </row>
        <row r="2924">
          <cell r="A2924" t="str">
            <v>KID-566102-340</v>
          </cell>
          <cell r="B2924" t="str">
            <v>O-RING, CAP ( 90-160100-000 )</v>
          </cell>
        </row>
        <row r="2925">
          <cell r="A2925" t="str">
            <v>KID-566102-390</v>
          </cell>
          <cell r="B2925" t="str">
            <v>O-RING, OUTLET 3 VALVE ( 90-170100-000 )</v>
          </cell>
        </row>
        <row r="2926">
          <cell r="A2926" t="str">
            <v>KID-566102410</v>
          </cell>
          <cell r="B2926" t="str">
            <v>ORING CAP</v>
          </cell>
        </row>
        <row r="2927">
          <cell r="A2927" t="str">
            <v>KID-566102-410</v>
          </cell>
          <cell r="B2927" t="str">
            <v>O-RING, CAP 3 VALVE ( 90-170100-000 )</v>
          </cell>
        </row>
        <row r="2928">
          <cell r="A2928" t="str">
            <v>KID-566103-250</v>
          </cell>
          <cell r="B2928" t="str">
            <v>O-RING, PISTON 1-1/2 VALVE ( 90-140100-000 )</v>
          </cell>
        </row>
        <row r="2929">
          <cell r="A2929" t="str">
            <v>KID-5661-0326</v>
          </cell>
          <cell r="B2929" t="str">
            <v>O-RING, SEAT 2 VALVE ( 90-150100-000 )</v>
          </cell>
        </row>
        <row r="2930">
          <cell r="A2930" t="str">
            <v>KID-5661-0330</v>
          </cell>
          <cell r="B2930" t="str">
            <v>O-RING, PISTON 2 VALVE ( 90-150100-000 )</v>
          </cell>
        </row>
        <row r="2931">
          <cell r="A2931" t="str">
            <v>KID-566103-310</v>
          </cell>
          <cell r="B2931" t="str">
            <v>O-RING, SEAT ( 90-160100-000 )</v>
          </cell>
        </row>
        <row r="2932">
          <cell r="A2932" t="str">
            <v>KID-566103-340</v>
          </cell>
          <cell r="B2932" t="str">
            <v>O-RING, PISTON ( 90-160100-000 )</v>
          </cell>
        </row>
        <row r="2933">
          <cell r="A2933" t="str">
            <v>KID-5661-0335</v>
          </cell>
          <cell r="B2933" t="str">
            <v>O-RING, CYLINDER NECK 2 VALVE ( 90-150100-000 )</v>
          </cell>
        </row>
        <row r="2934">
          <cell r="A2934" t="str">
            <v>KID-566103370</v>
          </cell>
          <cell r="B2934" t="str">
            <v xml:space="preserve">ORING PISTON </v>
          </cell>
        </row>
        <row r="2935">
          <cell r="A2935" t="str">
            <v>KID-566103-370</v>
          </cell>
          <cell r="B2935" t="str">
            <v>O-RING, PISTON 3 VALVE ( 90-170100-000 )</v>
          </cell>
        </row>
        <row r="2936">
          <cell r="A2936" t="str">
            <v>KID-566103-390</v>
          </cell>
          <cell r="B2936" t="str">
            <v>O-RING, CYLINDER NECK ( 90-160100-000 )</v>
          </cell>
        </row>
        <row r="2937">
          <cell r="A2937" t="str">
            <v>KID-566103400</v>
          </cell>
          <cell r="B2937" t="str">
            <v>ORING SEAT</v>
          </cell>
        </row>
        <row r="2938">
          <cell r="A2938" t="str">
            <v>KID-566103-400</v>
          </cell>
          <cell r="B2938" t="str">
            <v xml:space="preserve">O-RING, SEAT 3 VALVE ( 90-170100-000 ) </v>
          </cell>
        </row>
        <row r="2939">
          <cell r="A2939" t="str">
            <v>KID-566103470</v>
          </cell>
          <cell r="B2939" t="str">
            <v>ORING NECK</v>
          </cell>
        </row>
        <row r="2940">
          <cell r="A2940" t="str">
            <v>KID-566103-470</v>
          </cell>
          <cell r="B2940" t="str">
            <v>O-RING, CYLINDER NECK 3 VALVE ( 90-170100-000 )</v>
          </cell>
        </row>
        <row r="2941">
          <cell r="A2941" t="str">
            <v>KID-566109-320</v>
          </cell>
          <cell r="B2941" t="str">
            <v>O-RING, CYLINDER NECK 1-1/2 VALVE ( 90-140100-000 )</v>
          </cell>
        </row>
        <row r="2942">
          <cell r="A2942" t="str">
            <v>KID-90-170100-000</v>
          </cell>
          <cell r="B2942" t="str">
            <v>KIT 3  VALVE RE-BUILD</v>
          </cell>
        </row>
        <row r="2943">
          <cell r="A2943" t="str">
            <v>KID-923066</v>
          </cell>
          <cell r="B2943" t="str">
            <v>PILOT CHECK ASSEMBLY</v>
          </cell>
        </row>
        <row r="2944">
          <cell r="A2944" t="str">
            <v>KID-923066-000</v>
          </cell>
          <cell r="B2944" t="str">
            <v>PILOT CHECK ( 90-170100-000 )</v>
          </cell>
        </row>
        <row r="2945">
          <cell r="A2945" t="str">
            <v>LPG-20006054</v>
          </cell>
          <cell r="B2945" t="str">
            <v>VALVULA RETENCION CON 1/2 STANDARD</v>
          </cell>
        </row>
        <row r="2946">
          <cell r="A2946" t="str">
            <v>LPG-200CD190</v>
          </cell>
          <cell r="B2946" t="str">
            <v xml:space="preserve">MEMBRANA SEG. ESCAPE COND 190/CO2 </v>
          </cell>
        </row>
        <row r="2947">
          <cell r="A2947" t="str">
            <v>LPG-20150APR</v>
          </cell>
          <cell r="B2947" t="str">
            <v>MEMBRANA SEG. 10 95 BAR AZUL</v>
          </cell>
        </row>
        <row r="2948">
          <cell r="A2948" t="str">
            <v>LPG-20240000</v>
          </cell>
          <cell r="B2948" t="str">
            <v>MEMBRANA SEG.  010 270 BAR NARANJA</v>
          </cell>
        </row>
        <row r="2949">
          <cell r="A2949" t="str">
            <v>LPG-20938000</v>
          </cell>
          <cell r="B2949" t="str">
            <v>MEMBRANA ROTURA 014 300 BAR NARANJA</v>
          </cell>
        </row>
        <row r="2950">
          <cell r="A2950" t="str">
            <v>LPG-20999999</v>
          </cell>
          <cell r="B2950" t="str">
            <v>MEMBRANA ROTURA 14 230-260 BAR VERDE</v>
          </cell>
        </row>
        <row r="2951">
          <cell r="A2951" t="str">
            <v>LPG-22000110</v>
          </cell>
          <cell r="B2951" t="str">
            <v>AFT TORICA UL 9.19 X 2.62 NBR 110 N0674</v>
          </cell>
        </row>
        <row r="2952">
          <cell r="A2952" t="str">
            <v>LPG-22000117</v>
          </cell>
          <cell r="B2952" t="str">
            <v>AFT-TORICA UL 20.29 X 2.62 NBR 117 N0674</v>
          </cell>
        </row>
        <row r="2953">
          <cell r="A2953" t="str">
            <v>LPG-22000137</v>
          </cell>
          <cell r="B2953" t="str">
            <v>AFT TORICA UL 52.07 X 2.62 NBR 137-N0674</v>
          </cell>
        </row>
        <row r="2954">
          <cell r="A2954" t="str">
            <v>LPG-22000221</v>
          </cell>
          <cell r="B2954" t="str">
            <v>AFT-TORICA UL 36.09 X 3.53 NBR 221 N0674</v>
          </cell>
        </row>
        <row r="2955">
          <cell r="A2955" t="str">
            <v>LPG-22000232</v>
          </cell>
          <cell r="B2955" t="str">
            <v>AFT TORICA UL 69.44 X 3.53 NBR 232-N0674</v>
          </cell>
        </row>
        <row r="2956">
          <cell r="A2956" t="str">
            <v>LPG-22000503</v>
          </cell>
          <cell r="B2956" t="str">
            <v>AFT-TORICA UL 35 X 2.5 NBR 608 N0674</v>
          </cell>
        </row>
        <row r="2957">
          <cell r="A2957" t="str">
            <v>LPG-22001110</v>
          </cell>
          <cell r="B2957" t="str">
            <v>AFT TORICA UL 9.19 X 2.62 EPDM 110-E17434</v>
          </cell>
        </row>
        <row r="2958">
          <cell r="A2958" t="str">
            <v>LPG-22001138</v>
          </cell>
          <cell r="B2958" t="str">
            <v>AFT-TORICA UL 53.65 X 2.62 EPDM 138-E17434</v>
          </cell>
        </row>
        <row r="2959">
          <cell r="A2959" t="str">
            <v>LPG-22001139</v>
          </cell>
          <cell r="B2959" t="str">
            <v>AFT TORICA UL 52.07 X 2.62 EPDM 237</v>
          </cell>
        </row>
        <row r="2960">
          <cell r="A2960" t="str">
            <v>LPG-22001229</v>
          </cell>
          <cell r="B2960" t="str">
            <v>AFT TORICA UL 59.92 X 3.53 EPDM 229-E17434</v>
          </cell>
        </row>
        <row r="2961">
          <cell r="A2961" t="str">
            <v>LPG-22001500</v>
          </cell>
          <cell r="B2961" t="str">
            <v>AFT-TORICA UL 6X2 EPDM</v>
          </cell>
        </row>
        <row r="2962">
          <cell r="A2962" t="str">
            <v>LPG-22001502</v>
          </cell>
          <cell r="B2962" t="str">
            <v>TORICA UL 8X3 EPDM-E17434</v>
          </cell>
        </row>
        <row r="2963">
          <cell r="A2963" t="str">
            <v>LPG-22001504</v>
          </cell>
          <cell r="B2963" t="str">
            <v>TORICAUL 2.5 X 1.2 EPDM-E17434</v>
          </cell>
        </row>
        <row r="2964">
          <cell r="A2964" t="str">
            <v>LPG-22001505</v>
          </cell>
          <cell r="B2964" t="str">
            <v>AFT-TORICA UL 21X2 EPDM-17434</v>
          </cell>
        </row>
        <row r="2965">
          <cell r="A2965" t="str">
            <v>LPG-22001506</v>
          </cell>
          <cell r="B2965" t="str">
            <v>AFT TORICA UL 51.5 X 3.55 EPDM-E17434</v>
          </cell>
        </row>
        <row r="2966">
          <cell r="A2966" t="str">
            <v>LPG-22001507</v>
          </cell>
          <cell r="B2966" t="str">
            <v>AFT TORICA UL 11.6 X 2.4 EPDM 110-E17434</v>
          </cell>
        </row>
        <row r="2967">
          <cell r="A2967" t="str">
            <v>LPG-22001508</v>
          </cell>
          <cell r="B2967" t="str">
            <v>AFT TORICA UL 43 X 3 EPDM-E17434</v>
          </cell>
        </row>
        <row r="2968">
          <cell r="A2968" t="str">
            <v>LPG-22001514</v>
          </cell>
          <cell r="B2968" t="str">
            <v>TORICA UL 4.47 X 1.78 EPDM008-E17434</v>
          </cell>
        </row>
        <row r="2969">
          <cell r="A2969" t="str">
            <v>LPG-22180APR</v>
          </cell>
          <cell r="B2969" t="str">
            <v>MEMBRANA SEG. MEDIA PRESION 18 95 BAR</v>
          </cell>
        </row>
        <row r="2970">
          <cell r="A2970" t="str">
            <v>LPG-30025008</v>
          </cell>
          <cell r="B2970" t="str">
            <v>MANOMETRO MIJA 42B. LPG-190-50 UL (NC) FM-200</v>
          </cell>
        </row>
        <row r="2971">
          <cell r="A2971" t="str">
            <v>LPG-30025011</v>
          </cell>
          <cell r="B2971" t="str">
            <v>MANOMETRO MIJA 42B. LPG-128/LPG145-UL (NC)</v>
          </cell>
        </row>
        <row r="2972">
          <cell r="A2972" t="str">
            <v>LPG-30027301</v>
          </cell>
          <cell r="B2972" t="str">
            <v>TORNILLO DESCOMPRESION CORTO VALVULA</v>
          </cell>
        </row>
        <row r="2973">
          <cell r="A2973" t="str">
            <v>LPG-30100106</v>
          </cell>
          <cell r="B2973" t="str">
            <v>CABEZAL NEUMATICO 3 VIAS 1/4 + TAPON CIEGO</v>
          </cell>
        </row>
        <row r="2974">
          <cell r="A2974" t="str">
            <v>LPG-3023024B</v>
          </cell>
          <cell r="B2974" t="str">
            <v>SOLENOIDE 13W/24 V ALTA PRESION -REF</v>
          </cell>
        </row>
        <row r="2975">
          <cell r="A2975" t="str">
            <v>LPG-30330020</v>
          </cell>
          <cell r="B2975" t="str">
            <v>CONTACTOR DE PASO 1/2 ANTIDEFLAGRANTE</v>
          </cell>
        </row>
        <row r="2976">
          <cell r="A2976" t="str">
            <v>LPG-30330032</v>
          </cell>
          <cell r="B2976" t="str">
            <v>VALVULA DE BVOLA 2 CON MICRORRUPTOR</v>
          </cell>
        </row>
        <row r="2977">
          <cell r="A2977" t="str">
            <v>LPG-30331000</v>
          </cell>
          <cell r="B2977" t="str">
            <v xml:space="preserve">MICRORRUPTOR PESAJE MECANICO </v>
          </cell>
        </row>
        <row r="2978">
          <cell r="A2978" t="str">
            <v>LPG-30331006</v>
          </cell>
          <cell r="B2978" t="str">
            <v>UNIDAD CONTROL DE CARGA MECANICO 40/67 L.</v>
          </cell>
        </row>
        <row r="2979">
          <cell r="A2979" t="str">
            <v>LPG-30331014</v>
          </cell>
          <cell r="B2979" t="str">
            <v>DETECTOR FOTOELECTRICO CON REFLECTOR Y</v>
          </cell>
        </row>
        <row r="2980">
          <cell r="A2980" t="str">
            <v>LPG-30460034</v>
          </cell>
          <cell r="B2980" t="str">
            <v>DIFUSOR CO2 3/4 CONO PARA CALI. S/G CALCU.</v>
          </cell>
        </row>
        <row r="2981">
          <cell r="A2981" t="str">
            <v>LPG-30500041</v>
          </cell>
          <cell r="B2981" t="str">
            <v>LAT.TF 1/4 X 350MM (MG 1/4 BSP/MG 1/4 BSP)</v>
          </cell>
        </row>
        <row r="2982">
          <cell r="A2982" t="str">
            <v>LPG-30600010</v>
          </cell>
          <cell r="B2982" t="str">
            <v>U SUSPENSION 6 CIL. 67/75/80LTRS.</v>
          </cell>
        </row>
        <row r="2983">
          <cell r="A2983" t="str">
            <v>LPG-30600035</v>
          </cell>
          <cell r="B2983" t="str">
            <v>TORNILLO DIN-912 M-10 X 45 ZINCADO</v>
          </cell>
        </row>
        <row r="2984">
          <cell r="A2984" t="str">
            <v>LPG-30600090</v>
          </cell>
          <cell r="B2984" t="str">
            <v>ABARCON SOPORTE TUBO 2</v>
          </cell>
        </row>
        <row r="2985">
          <cell r="A2985" t="str">
            <v>LPG-30600202</v>
          </cell>
          <cell r="B2985" t="str">
            <v>ARANDELA STD. DIN 125.A M.10 ZINC. 21 EXT</v>
          </cell>
        </row>
        <row r="2986">
          <cell r="A2986" t="str">
            <v>LPG-30601001</v>
          </cell>
          <cell r="B2986" t="str">
            <v>TUERCA934 C-5 M.10 ZINCADA</v>
          </cell>
        </row>
        <row r="2987">
          <cell r="A2987" t="str">
            <v>LPG-3066703C</v>
          </cell>
          <cell r="B2987" t="str">
            <v>TRAVESERO CENTRAL 3 CIL/1020</v>
          </cell>
        </row>
        <row r="2988">
          <cell r="A2988" t="str">
            <v>LPG-30888005</v>
          </cell>
          <cell r="B2988" t="str">
            <v>ENLAZE ZINCADO BLANCO 2 NPT A105/300</v>
          </cell>
        </row>
        <row r="2989">
          <cell r="A2989" t="str">
            <v>LPG-311ACC52</v>
          </cell>
          <cell r="B2989" t="str">
            <v>TORICA 5.1 X 1.6 NBR70</v>
          </cell>
        </row>
        <row r="2990">
          <cell r="A2990" t="str">
            <v>LPG-311V125S</v>
          </cell>
          <cell r="B2990" t="str">
            <v>JUNTA CIERRE LPG 125C 17*8*5 TF</v>
          </cell>
        </row>
        <row r="2991">
          <cell r="A2991" t="str">
            <v>LPG-311V150S</v>
          </cell>
          <cell r="B2991" t="str">
            <v>JUNTA CIERRE TF 33X18X5 LPG-145</v>
          </cell>
        </row>
        <row r="2992">
          <cell r="A2992" t="str">
            <v>LPG-311V170S</v>
          </cell>
          <cell r="B2992" t="str">
            <v>JUNTA CIERRE TF 42X25X5 LPG-190</v>
          </cell>
        </row>
        <row r="2993">
          <cell r="A2993" t="str">
            <v>LPG-35104000</v>
          </cell>
          <cell r="B2993" t="str">
            <v>ETIQUETA CILINDRO CO2 3 IDIOMAS</v>
          </cell>
        </row>
        <row r="2994">
          <cell r="A2994" t="str">
            <v>LPG-36116004</v>
          </cell>
          <cell r="B2994" t="str">
            <v>LATERAL TELESCOPICO 67/75/80 LTS</v>
          </cell>
        </row>
        <row r="2995">
          <cell r="A2995" t="str">
            <v>LPG-36116017</v>
          </cell>
          <cell r="B2995" t="str">
            <v>PLACASUJECION U TELESCOPICA</v>
          </cell>
        </row>
        <row r="2996">
          <cell r="A2996" t="str">
            <v>LPG-36116098</v>
          </cell>
          <cell r="B2996" t="str">
            <v>CONJ.ACCESORIOS LATERALES TELESCOPICO DF</v>
          </cell>
        </row>
        <row r="2997">
          <cell r="A2997" t="str">
            <v>LPG-36116099</v>
          </cell>
          <cell r="B2997" t="str">
            <v>CONJ.ACCESORIOS CENTRAL TELESCOPICO DF CP</v>
          </cell>
        </row>
        <row r="2998">
          <cell r="A2998" t="str">
            <v>LPG-39021125</v>
          </cell>
          <cell r="B2998" t="str">
            <v>COLECTOR 11/12 CIL 40/67 LT DF 2 CO2</v>
          </cell>
        </row>
        <row r="2999">
          <cell r="A2999" t="str">
            <v>LPG-42278</v>
          </cell>
          <cell r="B2999" t="str">
            <v>ODORIZER 3/4 NPT</v>
          </cell>
        </row>
        <row r="3000">
          <cell r="A3000" t="str">
            <v>LPG-53108034</v>
          </cell>
          <cell r="B3000" t="str">
            <v>BATERIA 3 CIL DE 80L. H2O + 2 CIL 80L. N2 FM5560 (INACTIVO)</v>
          </cell>
        </row>
        <row r="3001">
          <cell r="A3001" t="str">
            <v>LPG-61110021</v>
          </cell>
          <cell r="B3001" t="str">
            <v>BRIDA CILINDRO VALVULA 128/VALVULA 110 W80</v>
          </cell>
        </row>
        <row r="3002">
          <cell r="A3002" t="str">
            <v>LPG-70100075</v>
          </cell>
          <cell r="B3002" t="str">
            <v>CILINDRO PILOTO 3 L. 128-90 N2 CON</v>
          </cell>
        </row>
        <row r="3003">
          <cell r="A3003" t="str">
            <v>LPG-71104007</v>
          </cell>
          <cell r="B3003" t="str">
            <v>CILINDRO MOD/AUX 67 L.  110-00 45KGS. CO2 //NE</v>
          </cell>
        </row>
        <row r="3004">
          <cell r="A3004" t="str">
            <v>LPG-81100052</v>
          </cell>
          <cell r="B3004" t="str">
            <v>OPEN T WM NOZZLE OF 1.2 L/Min  AT 120  (INACTIVO)</v>
          </cell>
        </row>
        <row r="3005">
          <cell r="A3005" t="str">
            <v>LPG-81400040</v>
          </cell>
          <cell r="B3005" t="str">
            <v>OPEN WM NOZZLE 4.81 L/MIN AT 120 BAR (INACTIVO)</v>
          </cell>
        </row>
        <row r="3006">
          <cell r="A3006" t="str">
            <v>LPG-91116048</v>
          </cell>
          <cell r="B3006" t="str">
            <v>LAT.R1 SUPERCOMPACTA 1/2 X 500MM CON MF</v>
          </cell>
        </row>
        <row r="3007">
          <cell r="A3007" t="str">
            <v>LPG-94116010</v>
          </cell>
          <cell r="B3007" t="str">
            <v>ASIENTO COLECTOR DF/CP PARA CO2</v>
          </cell>
        </row>
        <row r="3008">
          <cell r="A3008" t="str">
            <v>magabmet-80</v>
          </cell>
        </row>
        <row r="3009">
          <cell r="A3009" t="str">
            <v>MAPRCK-1M-00000</v>
          </cell>
          <cell r="B3009" t="str">
            <v>KIT MANG PINRACK 1,5  NILON</v>
          </cell>
        </row>
        <row r="3010">
          <cell r="A3010" t="str">
            <v>MAPRCK-2M-00000</v>
          </cell>
          <cell r="B3010" t="str">
            <v xml:space="preserve">KIT MANG PINRACK 2,5 </v>
          </cell>
        </row>
        <row r="3011">
          <cell r="A3011" t="str">
            <v>MAPRCKRP-1M-000</v>
          </cell>
          <cell r="B3011" t="str">
            <v>KIT MANG PINRACK Piton BR</v>
          </cell>
        </row>
        <row r="3012">
          <cell r="A3012" t="str">
            <v>MAPRCKRP-2M-000</v>
          </cell>
          <cell r="B3012" t="str">
            <v xml:space="preserve">KIT MANG PINRACK C/RESPRES2,5 </v>
          </cell>
        </row>
        <row r="3013">
          <cell r="A3013" t="str">
            <v>MAREDDUZ-02-0000</v>
          </cell>
          <cell r="B3013" t="str">
            <v>MANGUERA ROJA CON NIPLE STORZ   2  X 30 MTS</v>
          </cell>
        </row>
        <row r="3014">
          <cell r="A3014" t="str">
            <v>MAREDDUZ-2M-0000</v>
          </cell>
          <cell r="B3014" t="str">
            <v>MANGUERA ROJA CON NIPLE STORZ 2 1/2  X 30 MTS.</v>
          </cell>
        </row>
        <row r="3015">
          <cell r="A3015" t="str">
            <v>MASGABAMET-1000X410</v>
          </cell>
          <cell r="B3015" t="str">
            <v>BASE GABINETE 1200X1200X450 ROJO PERFIL CUADRADO</v>
          </cell>
        </row>
        <row r="3016">
          <cell r="A3016" t="str">
            <v>MASGABME-1,0x0,48MA</v>
          </cell>
          <cell r="B3016" t="str">
            <v>GABINETE METALICO 1000X1000X480 ROJO PTA.MALLA</v>
          </cell>
        </row>
        <row r="3017">
          <cell r="A3017" t="str">
            <v>MASGABME-1,0x0,48PM</v>
          </cell>
          <cell r="B3017" t="str">
            <v>GABINETE METALICO 1000X1000X480 ROJO PTA.MET</v>
          </cell>
        </row>
        <row r="3018">
          <cell r="A3018" t="str">
            <v>MASGABME-1.0X1.0X500</v>
          </cell>
          <cell r="B3018" t="str">
            <v>GABINETE METAL. 1000X1000X500 ROJO PTA.VIDRIO</v>
          </cell>
        </row>
        <row r="3019">
          <cell r="A3019" t="str">
            <v>MASGABMET-07825</v>
          </cell>
          <cell r="B3019" t="str">
            <v xml:space="preserve">GABINETE MET.70X80X25 PTA VIDR </v>
          </cell>
        </row>
        <row r="3020">
          <cell r="A3020" t="str">
            <v>MASGABMET-09930</v>
          </cell>
          <cell r="B3020" t="str">
            <v xml:space="preserve">GABINETE MET.90X90X30 PTA VIDR </v>
          </cell>
        </row>
        <row r="3021">
          <cell r="A3021" t="str">
            <v>MASGABMET-1000X410</v>
          </cell>
          <cell r="B3021" t="str">
            <v>GABINETE METALICO 1000X1000X440 ROJO PTA. VIDRIO</v>
          </cell>
        </row>
        <row r="3022">
          <cell r="A3022" t="str">
            <v>MASGABMET-1000X440</v>
          </cell>
          <cell r="B3022" t="str">
            <v>GABINETE MET. 1000X1000X440 ROJO PTA. ACRILICO</v>
          </cell>
        </row>
        <row r="3023">
          <cell r="A3023" t="str">
            <v>MASGABMET-1000x450</v>
          </cell>
          <cell r="B3023" t="str">
            <v>GABINETE METALICO 1000X1000X450 ROJO PTA.METALICA</v>
          </cell>
        </row>
        <row r="3024">
          <cell r="A3024" t="str">
            <v>MASGABMET-1208040</v>
          </cell>
          <cell r="B3024" t="str">
            <v>GABINETE ESPECIAL 1200x800x400 DOBLE PTA ROJO</v>
          </cell>
        </row>
        <row r="3025">
          <cell r="A3025" t="str">
            <v>MASGABMET-700700300</v>
          </cell>
          <cell r="B3025" t="str">
            <v>GABINETE ESPECIAL 700x700x300 PTA.VIDRIO COLOR ROJO</v>
          </cell>
        </row>
        <row r="3026">
          <cell r="A3026" t="str">
            <v>MASGABMET-700700350</v>
          </cell>
          <cell r="B3026" t="str">
            <v>GABINETE ESPECIAL 700x700x350 PTA. VIDRIO COLOR ROJO</v>
          </cell>
        </row>
        <row r="3027">
          <cell r="A3027" t="str">
            <v>MASGABMET707520</v>
          </cell>
          <cell r="B3027" t="str">
            <v xml:space="preserve">GAB. DE 1100X900X300 1.5MM PTA MALLA PIN RACK 11/2 </v>
          </cell>
        </row>
        <row r="3028">
          <cell r="A3028" t="str">
            <v>MASGABMET757535</v>
          </cell>
          <cell r="B3028" t="str">
            <v xml:space="preserve">GABINETE MET 75X75X35 </v>
          </cell>
        </row>
        <row r="3029">
          <cell r="A3029" t="str">
            <v>MASGABMET-757536</v>
          </cell>
          <cell r="B3029" t="str">
            <v>GABINETE ESPECIAL 750x750x360 PTA. VIDRIO COLOR ROJO</v>
          </cell>
        </row>
        <row r="3030">
          <cell r="A3030" t="str">
            <v>MASGABMET-7975360</v>
          </cell>
          <cell r="B3030" t="str">
            <v>BASE SE 790X750X360 EN PERFIL CUADRADO 40X40X1.5 COLOR</v>
          </cell>
        </row>
        <row r="3031">
          <cell r="A3031" t="str">
            <v>masgabmet-80</v>
          </cell>
        </row>
        <row r="3032">
          <cell r="A3032" t="str">
            <v>MASGABMET-801130</v>
          </cell>
          <cell r="B3032" t="str">
            <v>GABINETE ESPECIAL 800x1100x300 PTA. METALICA ROJO</v>
          </cell>
        </row>
        <row r="3033">
          <cell r="A3033" t="str">
            <v>MASGABMET-807020</v>
          </cell>
          <cell r="B3033" t="str">
            <v>GABINETE MET.800x700X200 ROJO - PTA VIDRIO</v>
          </cell>
        </row>
        <row r="3034">
          <cell r="A3034" t="str">
            <v>MASGABMET-920920500</v>
          </cell>
          <cell r="B3034" t="str">
            <v xml:space="preserve">GABINETE MET 920x920x500 </v>
          </cell>
        </row>
        <row r="3035">
          <cell r="A3035" t="str">
            <v>MASMRIG+GAB-1</v>
          </cell>
          <cell r="B3035" t="str">
            <v>MANG SEMIRIGIDA + GABINETE  1    700X700X330  SIN VIDRIO</v>
          </cell>
        </row>
        <row r="3036">
          <cell r="A3036" t="str">
            <v>MASMRIG+GAB-1"</v>
          </cell>
          <cell r="B3036" t="str">
            <v xml:space="preserve">CARR MANG SEMIRIGIDA 1.1/2 PITON 3 P </v>
          </cell>
        </row>
        <row r="3037">
          <cell r="A3037" t="str">
            <v>MASMRIG+GAB-11/2</v>
          </cell>
          <cell r="B3037" t="str">
            <v xml:space="preserve">MANG SEMIRIGIDA + GABINETE  1 1/2   920X920X500  </v>
          </cell>
        </row>
        <row r="3038">
          <cell r="A3038" t="str">
            <v>MASMRIG-01-0000</v>
          </cell>
          <cell r="B3038" t="str">
            <v xml:space="preserve">CARR MANG SRI 1 C/PIT NYLON </v>
          </cell>
        </row>
        <row r="3039">
          <cell r="A3039" t="str">
            <v>MASMRIG01-0000</v>
          </cell>
          <cell r="B3039" t="str">
            <v>CARR MANG SEMRIG. 1 C/PIT BR 30 MTS</v>
          </cell>
        </row>
        <row r="3040">
          <cell r="A3040" t="str">
            <v>MASMRIG-01-C/P BR</v>
          </cell>
          <cell r="B3040" t="str">
            <v>CARR MANG SRI 1 C/PIT BRONCE</v>
          </cell>
        </row>
        <row r="3041">
          <cell r="A3041" t="str">
            <v>MASMRIG-01M-E00</v>
          </cell>
          <cell r="B3041" t="str">
            <v xml:space="preserve">CARR MANG PINRACK 1,5 C/PIT BRONCE  </v>
          </cell>
        </row>
        <row r="3042">
          <cell r="A3042" t="str">
            <v>MASMRIG-01-NYLON</v>
          </cell>
          <cell r="B3042" t="str">
            <v xml:space="preserve">CARRETE MANGUERA  1 C/PIT NYLON </v>
          </cell>
        </row>
        <row r="3043">
          <cell r="A3043" t="str">
            <v xml:space="preserve">MASMRIG-1 1/2 </v>
          </cell>
          <cell r="B3043" t="str">
            <v xml:space="preserve">CARR MANG SEMIRIGIDA 1.1/2 PITON 3 P </v>
          </cell>
        </row>
        <row r="3044">
          <cell r="A3044" t="str">
            <v>MASMRIG-POK-1.5</v>
          </cell>
          <cell r="B3044" t="str">
            <v xml:space="preserve">CARR MANG POK 1.1/2 PITON 3 P </v>
          </cell>
        </row>
        <row r="3045">
          <cell r="A3045" t="str">
            <v>MASMRIG-TIPSA-2.5</v>
          </cell>
          <cell r="B3045" t="str">
            <v>CARR. MANGUERA TIPSA MOD. ARMTEX 2.1/2</v>
          </cell>
        </row>
        <row r="3046">
          <cell r="A3046" t="str">
            <v>MASPIT1.5-0000000</v>
          </cell>
          <cell r="B3046" t="str">
            <v xml:space="preserve">PITON NEBLINERO REG. BRONCE 1 1/2 </v>
          </cell>
        </row>
        <row r="3047">
          <cell r="A3047" t="str">
            <v>MASPIT1-0000000</v>
          </cell>
          <cell r="B3047" t="str">
            <v xml:space="preserve">PITON MANGUERA 1 (SRI) </v>
          </cell>
        </row>
        <row r="3048">
          <cell r="A3048" t="str">
            <v>MASPIT2.5-0000000</v>
          </cell>
          <cell r="B3048" t="str">
            <v>PITON NEBLINERO REG. BRONCE 2.1/2 CONEX. STORZ</v>
          </cell>
        </row>
        <row r="3049">
          <cell r="A3049" t="str">
            <v>NOVEC- 570336-00</v>
          </cell>
          <cell r="B3049" t="str">
            <v>TANK BRACKET ASSEMBLYANSUL</v>
          </cell>
        </row>
        <row r="3050">
          <cell r="A3050" t="str">
            <v>NOVEC- 570581-00</v>
          </cell>
          <cell r="B3050" t="str">
            <v>WARNING PLATE FOR USE INSIDEANSUL</v>
          </cell>
        </row>
        <row r="3051">
          <cell r="A3051" t="str">
            <v>NOVEC- 570604-00</v>
          </cell>
          <cell r="B3051" t="str">
            <v>1   NOZZLE BRASS - 360ºANSUL</v>
          </cell>
        </row>
        <row r="3052">
          <cell r="A3052" t="str">
            <v>FK-5-1-12-0000</v>
          </cell>
          <cell r="B3052" t="str">
            <v>AGENT NOVEC 1230 FLUID JANUS</v>
          </cell>
        </row>
        <row r="3053">
          <cell r="A3053" t="str">
            <v>FK-5-1-12-SRL</v>
          </cell>
          <cell r="B3053" t="str">
            <v>AGENT NOVEC FIRST FILLING</v>
          </cell>
        </row>
        <row r="3054">
          <cell r="A3054" t="str">
            <v>NOVEC-17001-000</v>
          </cell>
          <cell r="B3054" t="str">
            <v>MANUAL VALVE ACTUATOR JANUS17001</v>
          </cell>
        </row>
        <row r="3055">
          <cell r="A3055" t="str">
            <v>NOVEC-18481-000</v>
          </cell>
          <cell r="B3055" t="str">
            <v>ELECTRIC VALVE ACTUATOR JANUS18481</v>
          </cell>
        </row>
        <row r="3056">
          <cell r="A3056" t="str">
            <v>NOVEC-18489-000</v>
          </cell>
          <cell r="B3056" t="str">
            <v>SIGN WARNING EXIT LEAVE AREA JANUS18489</v>
          </cell>
        </row>
        <row r="3057">
          <cell r="A3057" t="str">
            <v>NOVEC-18511-000</v>
          </cell>
          <cell r="B3057" t="str">
            <v>NOZZLE 360º,1.1/4 (32 MM), BR JANUS</v>
          </cell>
        </row>
        <row r="3058">
          <cell r="A3058" t="str">
            <v>NOVEC-18535-000</v>
          </cell>
          <cell r="B3058" t="str">
            <v>BRACKET CYLINDER 16 KIT JANUS18535</v>
          </cell>
        </row>
        <row r="3059">
          <cell r="A3059" t="str">
            <v>NOVEC-18536-000</v>
          </cell>
          <cell r="B3059" t="str">
            <v>BRACKET CYLINDER 24 KIT JANUS18536</v>
          </cell>
        </row>
        <row r="3060">
          <cell r="A3060" t="str">
            <v>NOVEC-18537-000</v>
          </cell>
          <cell r="B3060" t="str">
            <v>BRACKET CYLINDER 30 KIT - JANUS 18537</v>
          </cell>
        </row>
        <row r="3061">
          <cell r="A3061" t="str">
            <v>NOVEC-18595-000</v>
          </cell>
          <cell r="B3061" t="str">
            <v>BRACKET CYLINDER 10 KIT JANUS18595</v>
          </cell>
        </row>
        <row r="3062">
          <cell r="A3062" t="str">
            <v>NOVEC-18770-000</v>
          </cell>
          <cell r="B3062" t="str">
            <v>SIGN WARNING ENTRANCE DO NOT JANUS18770</v>
          </cell>
        </row>
        <row r="3063">
          <cell r="A3063" t="str">
            <v>NOVEC-18773-000</v>
          </cell>
          <cell r="B3063" t="str">
            <v>SWITCH DISCHARGE PRESSURE JANUS18773 NOVEC</v>
          </cell>
        </row>
        <row r="3064">
          <cell r="A3064" t="str">
            <v>NOVEC-18775-000</v>
          </cell>
          <cell r="B3064" t="str">
            <v>SWITCH ASSEMBLY, LOW PRESSURE JANUS18775</v>
          </cell>
        </row>
        <row r="3065">
          <cell r="A3065" t="str">
            <v>NOVEC-18813-000</v>
          </cell>
          <cell r="B3065" t="str">
            <v>VALVE RELIEF 1/2 600 PSI JANUS18813</v>
          </cell>
        </row>
        <row r="3066">
          <cell r="A3066" t="str">
            <v>NOVEC-19170-000</v>
          </cell>
          <cell r="B3066" t="str">
            <v>REGULATOR PRESSURE 1/2 JANUS19170</v>
          </cell>
        </row>
        <row r="3067">
          <cell r="A3067" t="str">
            <v>NOVEC-19171-000</v>
          </cell>
          <cell r="B3067" t="str">
            <v>GAUGE PRESSURE 1/4 -  JANUS 19171</v>
          </cell>
        </row>
        <row r="3068">
          <cell r="A3068" t="str">
            <v>NOVEC-19316-000</v>
          </cell>
          <cell r="B3068" t="str">
            <v>VALVE RELIEF 1/2 JANUS19316</v>
          </cell>
        </row>
        <row r="3069">
          <cell r="A3069" t="str">
            <v>NOVEC-19318-000</v>
          </cell>
          <cell r="B3069" t="str">
            <v>ADAPTER PIPE AWAY 1/2JANUS19318</v>
          </cell>
        </row>
        <row r="3070">
          <cell r="A3070" t="str">
            <v>NOVEC-19486-CS0</v>
          </cell>
          <cell r="B3070" t="str">
            <v>VALVE BALL PNEUMATIC 1.1/2JANUS19486-CS0</v>
          </cell>
        </row>
        <row r="3071">
          <cell r="A3071" t="str">
            <v>NOVEC-19487-CSO</v>
          </cell>
          <cell r="B3071" t="str">
            <v>VALVE BALL PNEUMATIC 2 - JANUS 19486-CS0</v>
          </cell>
        </row>
        <row r="3072">
          <cell r="A3072" t="str">
            <v>NOVEC-19522-000</v>
          </cell>
          <cell r="B3072" t="str">
            <v>NOZZLE 180° 3/8  (10 mm), Novec 1230 Fluid, Brass</v>
          </cell>
        </row>
        <row r="3073">
          <cell r="A3073" t="str">
            <v>NOVEC-19525-00</v>
          </cell>
          <cell r="B3073" t="str">
            <v>Nozzle: 180°, 1  (25 mm), Novec 1230 Fluid, Brass</v>
          </cell>
        </row>
        <row r="3074">
          <cell r="A3074" t="str">
            <v>NOVEC-19527-00</v>
          </cell>
          <cell r="B3074" t="str">
            <v>Nozzle:Nozzle: 180°, 1-1/2  (40 mm), Novec 1230 Fluid, Brass</v>
          </cell>
        </row>
        <row r="3075">
          <cell r="A3075" t="str">
            <v>NOVEC-19529-018</v>
          </cell>
          <cell r="B3075" t="str">
            <v>NOZZLE 360° 3/8(0,101) BRASS JANUS19529-018</v>
          </cell>
        </row>
        <row r="3076">
          <cell r="A3076" t="str">
            <v>NOVEC-19529-032</v>
          </cell>
          <cell r="B3076" t="str">
            <v>NOZZLE 360° 3/8(0,144) BRASS JANUS19529-032</v>
          </cell>
        </row>
        <row r="3077">
          <cell r="A3077" t="str">
            <v>NOVEC-19530-040</v>
          </cell>
          <cell r="B3077" t="str">
            <v>NOZZLE 360° 1/2(0,161) BRASS JANUS19530-040</v>
          </cell>
        </row>
        <row r="3078">
          <cell r="A3078" t="str">
            <v>NOVEC-19531-066</v>
          </cell>
          <cell r="B3078" t="str">
            <v>NOZZLE 360° 3/4(0,238) BRASS JANUS19531-066</v>
          </cell>
        </row>
        <row r="3079">
          <cell r="A3079" t="str">
            <v>NOVEC-19531-067</v>
          </cell>
          <cell r="B3079" t="str">
            <v>NOZZLE 360° 3/4(0,242) BRASS JANUS19531-067</v>
          </cell>
        </row>
        <row r="3080">
          <cell r="A3080" t="str">
            <v>NOVEC-19531-071</v>
          </cell>
          <cell r="B3080" t="str">
            <v>NOZZLE 360° 3/4(0,257) BRASS JANUS19531-071</v>
          </cell>
        </row>
        <row r="3081">
          <cell r="A3081" t="str">
            <v>NOVEC-19532-069</v>
          </cell>
          <cell r="B3081" t="str">
            <v>NOZZLE 360° 1(0,250) BRASS JANUS19532-069</v>
          </cell>
        </row>
        <row r="3082">
          <cell r="A3082" t="str">
            <v>NOVEC-19532-075</v>
          </cell>
          <cell r="B3082" t="str">
            <v>NOZZLE 360° 1(0,272) BRASS JANUS19532-075</v>
          </cell>
        </row>
        <row r="3083">
          <cell r="A3083" t="str">
            <v>NOVEC-19532-076</v>
          </cell>
          <cell r="B3083" t="str">
            <v>NOZZLE 360° 1(0,277) BRASS JANUS19532-076</v>
          </cell>
        </row>
        <row r="3084">
          <cell r="A3084" t="str">
            <v>NOVEC-19532-078</v>
          </cell>
          <cell r="B3084" t="str">
            <v>NOZZLE 360° 1(0,2812) BRASS JANUS19532-078</v>
          </cell>
        </row>
        <row r="3085">
          <cell r="A3085" t="str">
            <v>NOVEC-19533-000</v>
          </cell>
          <cell r="B3085" t="str">
            <v>NOZZLE 360° 1 1/4  (32 mm), Novec 1230 Fluid, Brass</v>
          </cell>
        </row>
        <row r="3086">
          <cell r="A3086" t="str">
            <v>NOVEC-19534-000</v>
          </cell>
          <cell r="B3086" t="str">
            <v>NOZZLE 360° 1.1/2  BRASS - JANUS19534</v>
          </cell>
        </row>
        <row r="3087">
          <cell r="A3087" t="str">
            <v>NOVEC-19535-000</v>
          </cell>
          <cell r="B3087" t="str">
            <v>NOZZLE 360° 2  (50 mm), Novec 1230 Fluid, Brass</v>
          </cell>
        </row>
        <row r="3088">
          <cell r="A3088" t="str">
            <v>NOVEC-20503-000</v>
          </cell>
          <cell r="B3088" t="str">
            <v xml:space="preserve">CYLINDER NOVEC 1230-40 LB JANUS </v>
          </cell>
        </row>
        <row r="3089">
          <cell r="A3089" t="str">
            <v>NOVEC-20504-041</v>
          </cell>
          <cell r="B3089" t="str">
            <v>CYLINDER NOVEC 1230 - 80 LB. JANUS20504-041</v>
          </cell>
        </row>
        <row r="3090">
          <cell r="A3090" t="str">
            <v>NOVEC-20505</v>
          </cell>
          <cell r="B3090" t="str">
            <v>CYLINDER NOVEC 1230 - 130 LB. JANUS20505</v>
          </cell>
        </row>
        <row r="3091">
          <cell r="A3091" t="str">
            <v>NOVEC-20506-000</v>
          </cell>
          <cell r="B3091" t="str">
            <v>CYLINDER NOVEC 1230 - 250 LB. JANUS20506</v>
          </cell>
        </row>
        <row r="3092">
          <cell r="A3092" t="str">
            <v>NOVEC-20506-135</v>
          </cell>
          <cell r="B3092" t="str">
            <v>CYLINDER NOVEC 1230 - 250 LB. JANUS20506-135</v>
          </cell>
        </row>
        <row r="3093">
          <cell r="A3093" t="str">
            <v>NOVEC-20507-000</v>
          </cell>
          <cell r="B3093" t="str">
            <v>CYLINDER NOVEC 1230 - 420 LB. JANUS20507</v>
          </cell>
        </row>
        <row r="3094">
          <cell r="A3094" t="str">
            <v>NOVEC-20508-000</v>
          </cell>
          <cell r="B3094" t="str">
            <v>CYLINDER NOVEC 1230 - 600 LB. JANUS20508</v>
          </cell>
        </row>
        <row r="3095">
          <cell r="A3095" t="str">
            <v>NOVEC-20509</v>
          </cell>
          <cell r="B3095" t="str">
            <v>CYLINDER NOVEC 1230 - 900 LB. JANUS20509</v>
          </cell>
        </row>
        <row r="3096">
          <cell r="A3096" t="str">
            <v>NOVEC-20510-000</v>
          </cell>
          <cell r="B3096" t="str">
            <v>CYLINDER NOVEC 1230 - 1000 LB.- JANUS: 20510</v>
          </cell>
        </row>
        <row r="3097">
          <cell r="A3097" t="str">
            <v>NOVEC-20529-000</v>
          </cell>
          <cell r="B3097" t="str">
            <v>GAUGE ASSEMBLY,PRESSURE JANUS20529</v>
          </cell>
        </row>
        <row r="3098">
          <cell r="A3098" t="str">
            <v>NOVEC-31810</v>
          </cell>
          <cell r="B3098" t="str">
            <v>MALE ACTUATION ELBOW 7/16-20 TO 1/4 NPT</v>
          </cell>
        </row>
        <row r="3099">
          <cell r="A3099" t="str">
            <v>NOVEC-31811-000</v>
          </cell>
          <cell r="B3099" t="str">
            <v>MALE ACTUATION TEE 7/16-20 TO 1/4 NPT 31811</v>
          </cell>
        </row>
        <row r="3100">
          <cell r="A3100" t="str">
            <v>NOVEC-32336-000</v>
          </cell>
          <cell r="B3100" t="str">
            <v>1/4 FEMALE ACTUATION HOSE 7/16-20</v>
          </cell>
        </row>
        <row r="3101">
          <cell r="A3101" t="str">
            <v>NOVEC-32338-000</v>
          </cell>
          <cell r="B3101" t="str">
            <v>1/4 NPT TO 7/16-20 MALE ACTUATION CONNECTOR 32338</v>
          </cell>
        </row>
        <row r="3102">
          <cell r="A3102" t="str">
            <v>NOVEC-415142-00</v>
          </cell>
          <cell r="B3102" t="str">
            <v>ACTUATION HOSE 1/4 ANSUL415142</v>
          </cell>
        </row>
        <row r="3103">
          <cell r="A3103" t="str">
            <v>NOVEC-430815-00</v>
          </cell>
          <cell r="B3103" t="str">
            <v>Acutation hose, 42 in, 1/4 in. NPTx7/16-20 in.F Flare ANSUL</v>
          </cell>
        </row>
        <row r="3104">
          <cell r="A3104" t="str">
            <v>NOVEC-434085-00</v>
          </cell>
          <cell r="B3104" t="str">
            <v>SAPPHIRE FIEL ANSUL</v>
          </cell>
        </row>
        <row r="3105">
          <cell r="A3105" t="str">
            <v>NOVEC-434088-00</v>
          </cell>
          <cell r="B3105" t="str">
            <v>SAPPHIRE FLD RECH ANSUL</v>
          </cell>
        </row>
        <row r="3106">
          <cell r="A3106" t="str">
            <v>NOVEC-434702-00</v>
          </cell>
          <cell r="B3106" t="str">
            <v>STRAINER &amp; DI ANSUL</v>
          </cell>
        </row>
        <row r="3107">
          <cell r="A3107" t="str">
            <v>NOVEC-434703-00</v>
          </cell>
          <cell r="B3107" t="str">
            <v>FILL &amp; PRESS MAN ANSUL</v>
          </cell>
        </row>
        <row r="3108">
          <cell r="A3108" t="str">
            <v>NOVEC-434704-00</v>
          </cell>
          <cell r="B3108" t="str">
            <v>CLOSE ADAPT. MAN ANSUL</v>
          </cell>
        </row>
        <row r="3109">
          <cell r="A3109" t="str">
            <v>NOVEC-434705-00</v>
          </cell>
          <cell r="B3109" t="str">
            <v>DRIERITE CART ANSUL</v>
          </cell>
        </row>
        <row r="3110">
          <cell r="A3110" t="str">
            <v>NOVEC-434706-00</v>
          </cell>
          <cell r="B3110" t="str">
            <v>RECHARGE KIT FOR SAPPHIRE AGEN ANSUL</v>
          </cell>
        </row>
        <row r="3111">
          <cell r="A3111" t="str">
            <v>NOVEC-435304-00</v>
          </cell>
          <cell r="B3111" t="str">
            <v>SAPPHIRE NOSE ANSUL</v>
          </cell>
        </row>
        <row r="3112">
          <cell r="A3112" t="str">
            <v>NOVEC-436461-00</v>
          </cell>
          <cell r="B3112" t="str">
            <v>SAPPHIRE NAMEPLATE 52-343L</v>
          </cell>
        </row>
        <row r="3113">
          <cell r="A3113" t="str">
            <v>NOVEC-436462</v>
          </cell>
          <cell r="B3113" t="str">
            <v>SAPPHIRE NAMEPLATE 8-32L</v>
          </cell>
        </row>
        <row r="3114">
          <cell r="A3114" t="str">
            <v>NOVEC-437900-00</v>
          </cell>
          <cell r="B3114" t="str">
            <v>PRESSURE SWITCH-DPSTANSUL</v>
          </cell>
        </row>
        <row r="3115">
          <cell r="A3115" t="str">
            <v>NOVEC-437982-00</v>
          </cell>
          <cell r="B3115" t="str">
            <v xml:space="preserve">SAPPIRE PRESSURE GAUGE MANOMETRO </v>
          </cell>
        </row>
        <row r="3116">
          <cell r="A3116" t="str">
            <v>NOVEC-441871-00</v>
          </cell>
          <cell r="B3116" t="str">
            <v>ELECTRIC ACTUADOR PLACEMENT INDICADOR SW</v>
          </cell>
        </row>
        <row r="3117">
          <cell r="A3117" t="str">
            <v xml:space="preserve">NOVEC-445732-00 </v>
          </cell>
          <cell r="B3117" t="str">
            <v xml:space="preserve">(INACTIVO) TANK SIZE 8L </v>
          </cell>
        </row>
        <row r="3118">
          <cell r="A3118" t="str">
            <v>NOVEC-445733-00</v>
          </cell>
          <cell r="B3118" t="str">
            <v>(INACTIVO) TANK SIZE 16L</v>
          </cell>
        </row>
        <row r="3119">
          <cell r="A3119" t="str">
            <v>NOVEC-445734-00</v>
          </cell>
          <cell r="B3119" t="str">
            <v>(INACTIVO) TANK SIZE 32L</v>
          </cell>
        </row>
        <row r="3120">
          <cell r="A3120" t="str">
            <v>NOVEC-445735-00</v>
          </cell>
          <cell r="B3120" t="str">
            <v>(INACTIVO) TANK SIZE 52L</v>
          </cell>
        </row>
        <row r="3121">
          <cell r="A3121" t="str">
            <v>NOVEC-445736-00</v>
          </cell>
          <cell r="B3121" t="str">
            <v>(INACTIVO) TANK SIZE 106L</v>
          </cell>
        </row>
        <row r="3122">
          <cell r="A3122" t="str">
            <v>NOVEC-445737-00</v>
          </cell>
          <cell r="B3122" t="str">
            <v>(INACTIVO) TANK SIZE 147L</v>
          </cell>
        </row>
        <row r="3123">
          <cell r="A3123" t="str">
            <v>NOVEC-445738-00</v>
          </cell>
          <cell r="B3123" t="str">
            <v>(INACTIVO) TANK SIZE 180L</v>
          </cell>
        </row>
        <row r="3124">
          <cell r="A3124" t="str">
            <v>NOVEC-445739-00</v>
          </cell>
          <cell r="B3124" t="str">
            <v>(INACTIVO) TANK SIZE 343L</v>
          </cell>
        </row>
        <row r="3125">
          <cell r="A3125" t="str">
            <v>NOVEC-46250-000</v>
          </cell>
          <cell r="B3125" t="str">
            <v>PRESSURE SWITCH-DPST ANSUL</v>
          </cell>
        </row>
        <row r="3126">
          <cell r="A3126" t="str">
            <v>NOVEC-56803</v>
          </cell>
          <cell r="B3126" t="str">
            <v>ACTUATION ISOLATOR</v>
          </cell>
        </row>
        <row r="3127">
          <cell r="A3127" t="str">
            <v>NOVEC-570085-00</v>
          </cell>
          <cell r="B3127" t="str">
            <v>TANK BRACKT ASSEMBLY (20-90LB) ANSUL570085</v>
          </cell>
        </row>
        <row r="3128">
          <cell r="A3128" t="str">
            <v>NOVEC-570092-00</v>
          </cell>
          <cell r="B3128" t="str">
            <v>TANK BRACKET ASSEMBLY ANSUL570092</v>
          </cell>
        </row>
        <row r="3129">
          <cell r="A3129" t="str">
            <v>NOVEC-570272-00</v>
          </cell>
          <cell r="B3129" t="str">
            <v>BOTTOM CAP 1 IN. ANSUL</v>
          </cell>
        </row>
        <row r="3130">
          <cell r="A3130" t="str">
            <v>NOVEC-570276-00</v>
          </cell>
          <cell r="B3130" t="str">
            <v>BOTTOM CAP 2 IN. ANSUL</v>
          </cell>
        </row>
        <row r="3131">
          <cell r="A3131" t="str">
            <v>NOVEC-570277-00</v>
          </cell>
          <cell r="B3131" t="str">
            <v>LIQUID LEVEL INDICATOR FOR 280 ANSUL570277</v>
          </cell>
        </row>
        <row r="3132">
          <cell r="A3132" t="str">
            <v>NOVEC-570278-00</v>
          </cell>
          <cell r="B3132" t="str">
            <v>LIQUID LEVEL INDICATOR FOR 390 ANSUL570278</v>
          </cell>
        </row>
        <row r="3133">
          <cell r="A3133" t="str">
            <v>NOVEC-570336-00</v>
          </cell>
          <cell r="B3133" t="str">
            <v>INACTIVO</v>
          </cell>
        </row>
        <row r="3134">
          <cell r="A3134" t="str">
            <v>NOVEC-570342</v>
          </cell>
          <cell r="B3134" t="str">
            <v>MALE ADAPTOR, MASTER TANK PILOT PORT</v>
          </cell>
        </row>
        <row r="3135">
          <cell r="A3135" t="str">
            <v>NOVEC-570373-00</v>
          </cell>
          <cell r="B3135" t="str">
            <v>REBUILD KIT 3 IN ANSUL</v>
          </cell>
        </row>
        <row r="3136">
          <cell r="A3136" t="str">
            <v>NOVEC-570374-00</v>
          </cell>
          <cell r="B3136" t="str">
            <v>BOTTOM CAP 3 IN. ANSUL</v>
          </cell>
        </row>
        <row r="3137">
          <cell r="A3137" t="str">
            <v>NOVEC-570515</v>
          </cell>
          <cell r="B3137" t="str">
            <v>1/2 NOZZLE BRASS - 180 DEGREE ANSUL 570515</v>
          </cell>
        </row>
        <row r="3138">
          <cell r="A3138" t="str">
            <v>NOVEC-570516-00</v>
          </cell>
          <cell r="B3138" t="str">
            <v>3/4NOZZLE BRASS - 180 DEGREE ANSUL 570517</v>
          </cell>
        </row>
        <row r="3139">
          <cell r="A3139" t="str">
            <v>NOVEC-570517-00</v>
          </cell>
          <cell r="B3139" t="str">
            <v>1NOZZLE BRASS - 180 DEGREE ANSUL</v>
          </cell>
        </row>
        <row r="3140">
          <cell r="A3140" t="str">
            <v>NOVEC-570518-00</v>
          </cell>
          <cell r="B3140" t="str">
            <v>11/4NOZZLE BRASS-180 DEGREE ANSUL</v>
          </cell>
        </row>
        <row r="3141">
          <cell r="A3141" t="str">
            <v>NOVEC-570519-00</v>
          </cell>
          <cell r="B3141" t="str">
            <v>1.1/2NOZZLE BRASS-180 DEGREE ANSUL570519</v>
          </cell>
        </row>
        <row r="3142">
          <cell r="A3142" t="str">
            <v>NOVEC-570520-00</v>
          </cell>
          <cell r="B3142" t="str">
            <v>1.1/2 NOZZLE BRASS-180 DEGREE ANSUL 570520</v>
          </cell>
        </row>
        <row r="3143">
          <cell r="A3143" t="str">
            <v>NOVEC-570537-00</v>
          </cell>
          <cell r="B3143" t="str">
            <v>ELECTRIC ACTU.SHIPP. ASSEMBLY ANSUL570537</v>
          </cell>
        </row>
        <row r="3144">
          <cell r="A3144" t="str">
            <v>NOVEC-570538-00</v>
          </cell>
          <cell r="B3144" t="str">
            <v>2FLEXIBLE DISCHARGE HOSE ANSUL570538</v>
          </cell>
        </row>
        <row r="3145">
          <cell r="A3145" t="str">
            <v>NOVEC-570539-00</v>
          </cell>
          <cell r="B3145" t="str">
            <v>1FLEXIBLE DISCHARGE HOSE ANSUL570539</v>
          </cell>
        </row>
        <row r="3146">
          <cell r="A3146" t="str">
            <v>NOVEC-570541-00</v>
          </cell>
          <cell r="B3146" t="str">
            <v>BONNET ASSEMBLY 2 IN ANSUL</v>
          </cell>
        </row>
        <row r="3147">
          <cell r="A3147" t="str">
            <v>NOVEC-570543-00</v>
          </cell>
          <cell r="B3147" t="str">
            <v>BONNET ASSEMBLY 1 IN ANSUL</v>
          </cell>
        </row>
        <row r="3148">
          <cell r="A3148" t="str">
            <v>NOVEC-570549-00</v>
          </cell>
          <cell r="B3148" t="str">
            <v>LOCAL MANUAL ACTUATOR ANSUL570551</v>
          </cell>
        </row>
        <row r="3149">
          <cell r="A3149" t="str">
            <v>NOVEC-570550-000</v>
          </cell>
          <cell r="B3149" t="str">
            <v>PNEUMATIC ACTUATOR SHIPPING ASSEMBLY 570550</v>
          </cell>
        </row>
        <row r="3150">
          <cell r="A3150" t="str">
            <v>NOVEC-570551-00</v>
          </cell>
          <cell r="B3150" t="str">
            <v>PISTON ASSEMBLY 1 IN ANSUL</v>
          </cell>
        </row>
        <row r="3151">
          <cell r="A3151" t="str">
            <v>NOVEC-570552-00</v>
          </cell>
          <cell r="B3151" t="str">
            <v>PISTON ASSEMBLY 2 IN ANSUL</v>
          </cell>
        </row>
        <row r="3152">
          <cell r="A3152" t="str">
            <v>NOVEC-570557-00</v>
          </cell>
          <cell r="B3152" t="str">
            <v>SINGLE-TANK SWIVEL ADAPTOR1 IN ANSUL</v>
          </cell>
        </row>
        <row r="3153">
          <cell r="A3153" t="str">
            <v>NOVEC-570558-00</v>
          </cell>
          <cell r="B3153" t="str">
            <v>2 IN SINGLE TANK SWIVEL ADAPTO ANSUL</v>
          </cell>
        </row>
        <row r="3154">
          <cell r="A3154" t="str">
            <v>NOVEC-570559-00</v>
          </cell>
          <cell r="B3154" t="str">
            <v>O-RING KIT (3 PCS) 1 IN ANSUL</v>
          </cell>
        </row>
        <row r="3155">
          <cell r="A3155" t="str">
            <v>NOVEC-570566-00</v>
          </cell>
          <cell r="B3155" t="str">
            <v xml:space="preserve">1 IN. CHECK VALVE-THREADED </v>
          </cell>
        </row>
        <row r="3156">
          <cell r="A3156" t="str">
            <v>NOVEC-570568</v>
          </cell>
          <cell r="B3156" t="str">
            <v>2 in. MANIFOLD CHECK VALVE</v>
          </cell>
        </row>
        <row r="3157">
          <cell r="A3157" t="str">
            <v>NOVEC-570574-00</v>
          </cell>
          <cell r="B3157" t="str">
            <v>SPANNER WRENCH 1&amp; 2 IN. ANSUL</v>
          </cell>
        </row>
        <row r="3158">
          <cell r="A3158" t="str">
            <v>NOVEC-570576-00</v>
          </cell>
          <cell r="B3158" t="str">
            <v>FILL ADAPTOR RECHARGE 1 IN. ANSUL</v>
          </cell>
        </row>
        <row r="3159">
          <cell r="A3159" t="str">
            <v>NOVEC-570579-00</v>
          </cell>
          <cell r="B3159" t="str">
            <v>TOP ADAPTOR ASSEMBLY 1 IN. ANSUL</v>
          </cell>
        </row>
        <row r="3160">
          <cell r="A3160" t="str">
            <v>NOVEC-570580-00</v>
          </cell>
          <cell r="B3160" t="str">
            <v>WARNING PLATE FOR USE OUTSIDE ANSUL 570580</v>
          </cell>
        </row>
        <row r="3161">
          <cell r="A3161" t="str">
            <v>NOVEC-570581-00</v>
          </cell>
          <cell r="B3161" t="str">
            <v>INACTIVO</v>
          </cell>
        </row>
        <row r="3162">
          <cell r="A3162" t="str">
            <v>NOVEC-570584-00</v>
          </cell>
          <cell r="B3162" t="str">
            <v>O-RING KIT (3 PCS) 2 IN ANSUL</v>
          </cell>
        </row>
        <row r="3163">
          <cell r="A3163" t="str">
            <v>NOVEC-570585</v>
          </cell>
          <cell r="B3163" t="str">
            <v>( iNACTIVO )</v>
          </cell>
        </row>
        <row r="3164">
          <cell r="A3164" t="str">
            <v>NOVEC-570585-00</v>
          </cell>
          <cell r="B3164" t="str">
            <v>LOW PESSURE SWITCH ANSUL570585</v>
          </cell>
        </row>
        <row r="3165">
          <cell r="A3165" t="str">
            <v>NOVEC-570586</v>
          </cell>
          <cell r="B3165" t="str">
            <v>TANK SIZE 343L</v>
          </cell>
        </row>
        <row r="3166">
          <cell r="A3166" t="str">
            <v>NOVEC-570586-00</v>
          </cell>
          <cell r="B3166" t="str">
            <v>850LB TANK AND ASSEMBLY EMPTY ANSUL</v>
          </cell>
        </row>
        <row r="3167">
          <cell r="A3167" t="str">
            <v>NOVEC-570589-00</v>
          </cell>
          <cell r="B3167" t="str">
            <v>LIQUID LEVEL INDICATOR FOR 450 LB ANSUL 570589</v>
          </cell>
        </row>
        <row r="3168">
          <cell r="A3168" t="str">
            <v>NOVEC-570592-00</v>
          </cell>
          <cell r="B3168" t="str">
            <v>FILL ADAPTOR RECHARGE 2 IN. ANSUL</v>
          </cell>
        </row>
        <row r="3169">
          <cell r="A3169" t="str">
            <v>NOVEC-570598-00</v>
          </cell>
          <cell r="B3169" t="str">
            <v>TOP CAP ANSUL</v>
          </cell>
        </row>
        <row r="3170">
          <cell r="A3170" t="str">
            <v>NOVEC-570599-00</v>
          </cell>
          <cell r="B3170" t="str">
            <v>O-RING KIT 3 IN ANSUL</v>
          </cell>
        </row>
        <row r="3171">
          <cell r="A3171" t="str">
            <v>NOVEC-570601-00</v>
          </cell>
          <cell r="B3171" t="str">
            <v>PISTON ASSEMBLY 3 IN ANSUL</v>
          </cell>
        </row>
        <row r="3172">
          <cell r="A3172" t="str">
            <v>NOVEC-570602</v>
          </cell>
          <cell r="B3172" t="str">
            <v>1/2 NOZZLE BRASS - 360 DEGREE ANSUL 570602</v>
          </cell>
        </row>
        <row r="3173">
          <cell r="A3173" t="str">
            <v>NOVEC-570603-00</v>
          </cell>
          <cell r="B3173" t="str">
            <v>NOZZLO BRASS-360 DEGREE 3/4</v>
          </cell>
        </row>
        <row r="3174">
          <cell r="A3174" t="str">
            <v>NOVEC-570604-00</v>
          </cell>
          <cell r="B3174" t="str">
            <v>1 NOZZLE BRASS - 360º ANSUL570604</v>
          </cell>
        </row>
        <row r="3175">
          <cell r="A3175" t="str">
            <v>NOVEC-570605-00</v>
          </cell>
          <cell r="B3175" t="str">
            <v>1.1/4NOZZLE BRASS - 360º ANSUL570605</v>
          </cell>
        </row>
        <row r="3176">
          <cell r="A3176" t="str">
            <v>NOVEC-570606-00</v>
          </cell>
          <cell r="B3176" t="str">
            <v>1.1/2  NOZZLE BRASS - 360ºANSUL</v>
          </cell>
        </row>
        <row r="3177">
          <cell r="A3177" t="str">
            <v>NOVEC-570607-00</v>
          </cell>
          <cell r="B3177" t="str">
            <v>2NOZZLE BRASS- 360 DEGREE ANSUL</v>
          </cell>
        </row>
        <row r="3178">
          <cell r="A3178" t="str">
            <v>NOVEC-570607-000</v>
          </cell>
          <cell r="B3178" t="str">
            <v>1 1/2 NOZZLE BRASS-360 DEGREE</v>
          </cell>
        </row>
        <row r="3179">
          <cell r="A3179" t="str">
            <v>NOVEC-570633</v>
          </cell>
          <cell r="B3179" t="str">
            <v>TANK SIZE 16L</v>
          </cell>
        </row>
        <row r="3180">
          <cell r="A3180" t="str">
            <v>NOVEC-570634</v>
          </cell>
          <cell r="B3180" t="str">
            <v>TANK SIZE 32L</v>
          </cell>
        </row>
        <row r="3181">
          <cell r="A3181" t="str">
            <v>NOVEC-570634-00</v>
          </cell>
          <cell r="B3181" t="str">
            <v>90 LB TANK AND VALVE ASSEMBLY ANSUL570634</v>
          </cell>
        </row>
        <row r="3182">
          <cell r="A3182" t="str">
            <v>NOVEC-570635</v>
          </cell>
          <cell r="B3182" t="str">
            <v xml:space="preserve">TANK SIZE 8L </v>
          </cell>
        </row>
        <row r="3183">
          <cell r="A3183" t="str">
            <v>NOVEC-570635-00</v>
          </cell>
          <cell r="B3183" t="str">
            <v>20 LB TANK AND VALVE ASSEMBLY ANSUL570635</v>
          </cell>
        </row>
        <row r="3184">
          <cell r="A3184" t="str">
            <v>NOVEC-570638</v>
          </cell>
          <cell r="B3184" t="str">
            <v>TANK SIZE 52L</v>
          </cell>
        </row>
        <row r="3185">
          <cell r="A3185" t="str">
            <v>NOVEC-570638-00</v>
          </cell>
          <cell r="B3185" t="str">
            <v>TANK &amp; VALVE ASSEMBLY, 140 LB, EMPTY P/N 570638</v>
          </cell>
        </row>
        <row r="3186">
          <cell r="A3186" t="str">
            <v>NOVEC-570639</v>
          </cell>
          <cell r="B3186" t="str">
            <v>TANK SIZE 106L</v>
          </cell>
        </row>
        <row r="3187">
          <cell r="A3187" t="str">
            <v>NOVEC-570639-00</v>
          </cell>
          <cell r="B3187" t="str">
            <v>280LB TANK AND VALVE ASSEMBLY ANSUL570639</v>
          </cell>
        </row>
        <row r="3188">
          <cell r="A3188" t="str">
            <v>NOVEC-570640</v>
          </cell>
          <cell r="B3188" t="str">
            <v>TANK SIZE 147L</v>
          </cell>
        </row>
        <row r="3189">
          <cell r="A3189" t="str">
            <v>NOVEC-570640-00</v>
          </cell>
          <cell r="B3189" t="str">
            <v>390 LB TANK AND VALVE ASSEMBLY ANSUL570640</v>
          </cell>
        </row>
        <row r="3190">
          <cell r="A3190" t="str">
            <v>NOVEC-570641</v>
          </cell>
          <cell r="B3190" t="str">
            <v>TANK SIZE 180L</v>
          </cell>
        </row>
        <row r="3191">
          <cell r="A3191" t="str">
            <v>NOVEC-570641-00</v>
          </cell>
          <cell r="B3191" t="str">
            <v>450 LB TANK AND VALVE ASSEMBLY - ANSUL</v>
          </cell>
        </row>
        <row r="3192">
          <cell r="A3192" t="str">
            <v>NOVEC-570650</v>
          </cell>
          <cell r="B3192" t="str">
            <v>AGENT NOVEC FIRST FILLING</v>
          </cell>
        </row>
        <row r="3193">
          <cell r="A3193" t="str">
            <v>NOVEC-69470-000</v>
          </cell>
          <cell r="B3193" t="str">
            <v>3IN.FLARE TO 3 IN NPT.SING.TAN ANSUL</v>
          </cell>
        </row>
        <row r="3194">
          <cell r="A3194" t="str">
            <v>NOVEC-69471-000</v>
          </cell>
          <cell r="B3194" t="str">
            <v>3IN.FLARE TO 3 IN GROOVED SING ANSUL</v>
          </cell>
        </row>
        <row r="3195">
          <cell r="A3195" t="str">
            <v>NOVEC-69841-000</v>
          </cell>
          <cell r="B3195" t="str">
            <v>3 in DISCHARGE HOSE/CHECK VALVE ASSEMBLY 69841</v>
          </cell>
        </row>
        <row r="3196">
          <cell r="A3196" t="str">
            <v>NOVEC-69891-000</v>
          </cell>
          <cell r="B3196" t="str">
            <v>FILL ADAPTOR RECHARGE 3 IN. ANSUL</v>
          </cell>
        </row>
        <row r="3197">
          <cell r="A3197" t="str">
            <v>NOVEC-69990-000</v>
          </cell>
          <cell r="B3197" t="str">
            <v>3 IN FLEXIBLE DISCHARGE HOSE ANSUL</v>
          </cell>
        </row>
        <row r="3198">
          <cell r="A3198" t="str">
            <v>NOVEC-73597-00</v>
          </cell>
          <cell r="B3198" t="str">
            <v>ACTUATION HOSE 16in 1/4in  NPT x 7/16-20in F FLARE</v>
          </cell>
        </row>
        <row r="3199">
          <cell r="A3199" t="str">
            <v>NOVEC-76496-000</v>
          </cell>
          <cell r="B3199" t="str">
            <v>SWITCH, MAIN/RESERVE, SURFACE MOUNT</v>
          </cell>
        </row>
        <row r="3200">
          <cell r="A3200" t="str">
            <v>NOVEC-76498-000</v>
          </cell>
          <cell r="B3200" t="str">
            <v>SWITCH, MAINTENANCE, SURFACE MOUNT</v>
          </cell>
        </row>
        <row r="3201">
          <cell r="A3201" t="str">
            <v>NOVEC-98440-000</v>
          </cell>
          <cell r="B3201" t="str">
            <v>NOVEC AGENT FACTORY FILL PER ANSUL</v>
          </cell>
        </row>
        <row r="3202">
          <cell r="A3202" t="str">
            <v>NOVEC-99791-000</v>
          </cell>
          <cell r="B3202" t="str">
            <v>SIGN WARNING ENTRANCE SPANISH JANUS</v>
          </cell>
        </row>
        <row r="3203">
          <cell r="A3203" t="str">
            <v>NOVEC-99792-000</v>
          </cell>
          <cell r="B3203" t="str">
            <v>SIGN WARNING EXIT LEAVE SPANISH JANUS</v>
          </cell>
        </row>
        <row r="3204">
          <cell r="A3204" t="str">
            <v>NOVEC-SRL-00</v>
          </cell>
          <cell r="B3204" t="str">
            <v>AGENT NOVEC SRL</v>
          </cell>
        </row>
        <row r="3205">
          <cell r="A3205" t="str">
            <v>NOVEC-SUMINISTROS</v>
          </cell>
          <cell r="B3205" t="str">
            <v>SUMINISTROS PROD. NOVEC 1230</v>
          </cell>
        </row>
        <row r="3206">
          <cell r="A3206" t="str">
            <v>NOVEC-VISITA-00</v>
          </cell>
          <cell r="B3206" t="str">
            <v xml:space="preserve">VISITA TERRENO </v>
          </cell>
        </row>
        <row r="3207">
          <cell r="A3207" t="str">
            <v>PERNOHEX5/8X3</v>
          </cell>
          <cell r="B3207" t="str">
            <v>PERNO HEX G-2 NC 5/8 X3 ZINC</v>
          </cell>
        </row>
        <row r="3208">
          <cell r="A3208" t="str">
            <v>PINT Epox Ral 3000 B</v>
          </cell>
          <cell r="B3208" t="str">
            <v>(INACTIVO)</v>
          </cell>
        </row>
        <row r="3209">
          <cell r="A3209" t="str">
            <v>PINT Epox Ral3000 A</v>
          </cell>
          <cell r="B3209" t="str">
            <v>(INACTIVO)</v>
          </cell>
        </row>
        <row r="3210">
          <cell r="A3210" t="str">
            <v>PINTEPOXSW-SM</v>
          </cell>
          <cell r="B3210" t="str">
            <v>PINTURA EPOXICA COMPUESTO A+B+DIL (SM)</v>
          </cell>
        </row>
        <row r="3211">
          <cell r="A3211" t="str">
            <v>POSTE-INDICADOR</v>
          </cell>
          <cell r="B3211" t="str">
            <v xml:space="preserve">POSTE INDICADOR PARA VALVULA </v>
          </cell>
        </row>
        <row r="3212">
          <cell r="A3212" t="str">
            <v>PRE-SOSTATO-1/2</v>
          </cell>
          <cell r="B3212" t="str">
            <v>PRESOSTATO 1/2</v>
          </cell>
        </row>
        <row r="3213">
          <cell r="A3213" t="str">
            <v>PROY-FITF</v>
          </cell>
          <cell r="B3213" t="str">
            <v>PROYECTO INTERLINEAS</v>
          </cell>
        </row>
        <row r="3214">
          <cell r="A3214" t="str">
            <v>PUESTASENMARCHA</v>
          </cell>
          <cell r="B3214" t="str">
            <v xml:space="preserve">PUESTA EN MARCHA BOMBA </v>
          </cell>
        </row>
        <row r="3215">
          <cell r="A3215" t="str">
            <v>PVC-C900DR14-04</v>
          </cell>
          <cell r="B3215" t="str">
            <v>TUBERIA AWWA C900  DR14  BLUE 4 LARGO 6 MTS.</v>
          </cell>
        </row>
        <row r="3216">
          <cell r="A3216" t="str">
            <v>PVC-C900DR14-06</v>
          </cell>
          <cell r="B3216" t="str">
            <v>TUBERIA AWWA C900  DR14  BLUE 6 LARGO 6 MTS.</v>
          </cell>
        </row>
        <row r="3217">
          <cell r="A3217" t="str">
            <v>PVC-C900DR14-08</v>
          </cell>
          <cell r="B3217" t="str">
            <v>TUBERIA AWWA C900  DR14  BLUE 8 LARGO 6 MTS.</v>
          </cell>
        </row>
        <row r="3218">
          <cell r="A3218" t="str">
            <v>PVC-C900DR14-10</v>
          </cell>
          <cell r="B3218" t="str">
            <v>TUBERIA AWWA C900  DR14  BLUE 10 LARGO 6 MTS.</v>
          </cell>
        </row>
        <row r="3219">
          <cell r="A3219" t="str">
            <v>PVC-C900DR18-04</v>
          </cell>
          <cell r="B3219" t="str">
            <v>TUBERIA AWWA C900  235  PSI  DR18 BLUE 4 LARGO 6 MTS.</v>
          </cell>
        </row>
        <row r="3220">
          <cell r="A3220" t="str">
            <v>PVC-C900DR18-06</v>
          </cell>
          <cell r="B3220" t="str">
            <v>TUBERIA AWWA C900  235  PSI  DR18 BLUE 6 LARGO 6 MTS.</v>
          </cell>
        </row>
        <row r="3221">
          <cell r="A3221" t="str">
            <v>PVC-C900DR18-08</v>
          </cell>
          <cell r="B3221" t="str">
            <v>TUBERIA AWWA C900  235  PSI  DR18 BLUE 8 LARGO 6 MTS.</v>
          </cell>
        </row>
        <row r="3222">
          <cell r="A3222" t="str">
            <v>PVC-C900DR18-10</v>
          </cell>
          <cell r="B3222" t="str">
            <v>TUBERIA AWWA C900  235  PSI  DR18 BLUE 10 LARGO 6 MTS.</v>
          </cell>
        </row>
        <row r="3223">
          <cell r="A3223" t="str">
            <v>PVC-MJB4504</v>
          </cell>
          <cell r="B3223" t="str">
            <v>Codo 45° Ductile Iron MJ 4</v>
          </cell>
        </row>
        <row r="3224">
          <cell r="A3224" t="str">
            <v>PVC-MJB4506</v>
          </cell>
          <cell r="B3224" t="str">
            <v>Codo 45° Ductile Iron MJ 6</v>
          </cell>
        </row>
        <row r="3225">
          <cell r="A3225" t="str">
            <v>PVC-MJB4508</v>
          </cell>
          <cell r="B3225" t="str">
            <v>Codo 45° Ductile Iron MJ 8</v>
          </cell>
        </row>
        <row r="3226">
          <cell r="A3226" t="str">
            <v>PVC-MJB4510</v>
          </cell>
          <cell r="B3226" t="str">
            <v>Codo 45° Ductile Iron MJ 10</v>
          </cell>
        </row>
        <row r="3227">
          <cell r="A3227" t="str">
            <v>PVC-MJB9004</v>
          </cell>
          <cell r="B3227" t="str">
            <v>Codo 90° Ductile Iron MJ 4</v>
          </cell>
        </row>
        <row r="3228">
          <cell r="A3228" t="str">
            <v>PVC-MJB9006</v>
          </cell>
          <cell r="B3228" t="str">
            <v>Codo 90° Ductile Iron MJ 6</v>
          </cell>
        </row>
        <row r="3229">
          <cell r="A3229" t="str">
            <v>PVC-MJB9008</v>
          </cell>
          <cell r="B3229" t="str">
            <v>Codo 90° Ductile Iron MJ 8</v>
          </cell>
        </row>
        <row r="3230">
          <cell r="A3230" t="str">
            <v>PVC-MJB9010</v>
          </cell>
          <cell r="B3230" t="str">
            <v>Codo 90° Ductile Iron MJ 10</v>
          </cell>
        </row>
        <row r="3231">
          <cell r="A3231" t="str">
            <v>PVC-MJC04</v>
          </cell>
          <cell r="B3231" t="str">
            <v>Tapa Solid Ductile Iron MJ 4</v>
          </cell>
        </row>
        <row r="3232">
          <cell r="A3232" t="str">
            <v>PVC-MJC06</v>
          </cell>
          <cell r="B3232" t="str">
            <v>Tapa Solid Ductile Iron MJ 6</v>
          </cell>
        </row>
        <row r="3233">
          <cell r="A3233" t="str">
            <v>PVC-MJC08</v>
          </cell>
          <cell r="B3233" t="str">
            <v>Tapa Solid Ductile Iron MJ 8</v>
          </cell>
        </row>
        <row r="3234">
          <cell r="A3234" t="str">
            <v>PVC-MJFA04</v>
          </cell>
          <cell r="B3234" t="str">
            <v>Adaptador Dúctil Iron MJ x FE MJFA04</v>
          </cell>
        </row>
        <row r="3235">
          <cell r="A3235" t="str">
            <v>PVC-MJFA06</v>
          </cell>
          <cell r="B3235" t="str">
            <v>Adaptador Dúctil Iron MJ x FE MJFA06</v>
          </cell>
        </row>
        <row r="3236">
          <cell r="A3236" t="str">
            <v>PVC-MJFA08</v>
          </cell>
          <cell r="B3236" t="str">
            <v>Adaptador Dúctil Iron MJ x FE MJFA08</v>
          </cell>
        </row>
        <row r="3237">
          <cell r="A3237" t="str">
            <v>PVC-MJFA10</v>
          </cell>
          <cell r="B3237" t="str">
            <v>Adaptador Dúctil Iron MJ x FE MJFA 10</v>
          </cell>
        </row>
        <row r="3238">
          <cell r="A3238" t="str">
            <v>PVC-MJR0604</v>
          </cell>
          <cell r="B3238" t="str">
            <v>Reduccion Ductile Iron MJ 6X4</v>
          </cell>
        </row>
        <row r="3239">
          <cell r="A3239" t="str">
            <v>PVC-MJR0804</v>
          </cell>
          <cell r="B3239" t="str">
            <v>Reduccion Ductile Iron MJ 8X4</v>
          </cell>
        </row>
        <row r="3240">
          <cell r="A3240" t="str">
            <v>PVC-MJR0806</v>
          </cell>
          <cell r="B3240" t="str">
            <v>Reduccion Ductile Iron MJ 8X6</v>
          </cell>
        </row>
        <row r="3241">
          <cell r="A3241" t="str">
            <v>PVC-MJR1004</v>
          </cell>
          <cell r="B3241" t="str">
            <v>Reduccion Ductile Iron MJ 10X4</v>
          </cell>
        </row>
        <row r="3242">
          <cell r="A3242" t="str">
            <v>PVC-MJR1006</v>
          </cell>
          <cell r="B3242" t="str">
            <v>Reduccion Ductile Iron MJ 10X6</v>
          </cell>
        </row>
        <row r="3243">
          <cell r="A3243" t="str">
            <v>PVC-MJR1008</v>
          </cell>
          <cell r="B3243" t="str">
            <v>Reduccion Ductile Iron MJ 10X8</v>
          </cell>
        </row>
        <row r="3244">
          <cell r="A3244" t="str">
            <v>PVC-MJT0404</v>
          </cell>
          <cell r="B3244" t="str">
            <v>Tee Normal Ductile Iron MJ  4</v>
          </cell>
        </row>
        <row r="3245">
          <cell r="A3245" t="str">
            <v>PVC-MJT0604</v>
          </cell>
          <cell r="B3245" t="str">
            <v>Tee Reduccion Ductile Iron MJ 6X4</v>
          </cell>
        </row>
        <row r="3246">
          <cell r="A3246" t="str">
            <v>PVC-MJT0606</v>
          </cell>
          <cell r="B3246" t="str">
            <v>Tee Normal Ductile Iron MJ  6</v>
          </cell>
        </row>
        <row r="3247">
          <cell r="A3247" t="str">
            <v>PVC-MJT0804</v>
          </cell>
          <cell r="B3247" t="str">
            <v>Tee Reduccion Ductile Iron MJ  8X4</v>
          </cell>
        </row>
        <row r="3248">
          <cell r="A3248" t="str">
            <v>PVC-MJT0806</v>
          </cell>
          <cell r="B3248" t="str">
            <v>Tee Reduccion Ductile Iron MJ  8X6</v>
          </cell>
        </row>
        <row r="3249">
          <cell r="A3249" t="str">
            <v>PVC-MJT0808</v>
          </cell>
          <cell r="B3249" t="str">
            <v>Tee Normal Ductile Iron MJ  8</v>
          </cell>
        </row>
        <row r="3250">
          <cell r="A3250" t="str">
            <v>PVC-MJT1004</v>
          </cell>
          <cell r="B3250" t="str">
            <v>Tee Reduccion Ductile Iron MJ  10X4</v>
          </cell>
        </row>
        <row r="3251">
          <cell r="A3251" t="str">
            <v>PVC-MJT1006</v>
          </cell>
          <cell r="B3251" t="str">
            <v>Tee Reduccion Ductile Iron MJ  10X6</v>
          </cell>
        </row>
        <row r="3252">
          <cell r="A3252" t="str">
            <v>PVC-MJT1008</v>
          </cell>
          <cell r="B3252" t="str">
            <v>Tee Reduccion Ductile Iron MJ  10X8</v>
          </cell>
        </row>
        <row r="3253">
          <cell r="A3253" t="str">
            <v>PVC-MJT1010</v>
          </cell>
          <cell r="B3253" t="str">
            <v>Tee Normal Ductile Iron MJ 10</v>
          </cell>
        </row>
        <row r="3254">
          <cell r="A3254" t="str">
            <v>PVC-PRC1104</v>
          </cell>
          <cell r="B3254" t="str">
            <v>Pipe Restrainers PVC C900 Bell Series 1100 FM  4</v>
          </cell>
        </row>
        <row r="3255">
          <cell r="A3255" t="str">
            <v>PVC-PRC1106</v>
          </cell>
          <cell r="B3255" t="str">
            <v>Pipe Restrainers PVC C900 Bell Series 1100 FM  6</v>
          </cell>
        </row>
        <row r="3256">
          <cell r="A3256" t="str">
            <v>PVC-PRC1108</v>
          </cell>
          <cell r="B3256" t="str">
            <v>Pipe Restrainers PVC C900 Bell Series 1100 FM  8</v>
          </cell>
        </row>
        <row r="3257">
          <cell r="A3257" t="str">
            <v>PVC-PRC1110</v>
          </cell>
          <cell r="B3257" t="str">
            <v>Pipe Restrainers PVC C900 Bell Series 1100 FM  10</v>
          </cell>
        </row>
        <row r="3258">
          <cell r="A3258" t="str">
            <v>PVC-PVC-MJT1004</v>
          </cell>
          <cell r="B3258" t="str">
            <v>Tee Reduccion Ductile Iron MJ  10X4</v>
          </cell>
        </row>
        <row r="3259">
          <cell r="A3259" t="str">
            <v>PVC-PVCPK4004</v>
          </cell>
          <cell r="B3259" t="str">
            <v>Stargrip Restraint MJ PVC Pipe Series 4000 UL/FM  4</v>
          </cell>
        </row>
        <row r="3260">
          <cell r="A3260" t="str">
            <v>PVC-PVCPK4006</v>
          </cell>
          <cell r="B3260" t="str">
            <v>Stargrip Restraint MJ PVC Pipe Series 4000 UL/FM  6</v>
          </cell>
        </row>
        <row r="3261">
          <cell r="A3261" t="str">
            <v>PVC-PVCPK4008</v>
          </cell>
          <cell r="B3261" t="str">
            <v>Stargrip Restraint MJ PVC Pipe Series 4000 UL/FM  8</v>
          </cell>
        </row>
        <row r="3262">
          <cell r="A3262" t="str">
            <v>PVC-PVCPK4010</v>
          </cell>
          <cell r="B3262" t="str">
            <v>Stargrip Restraint MJ PVC Pipe Series 4000 UL/FM  10</v>
          </cell>
        </row>
        <row r="3263">
          <cell r="A3263" t="str">
            <v>R102-14985</v>
          </cell>
          <cell r="B3263" t="str">
            <v>LOCK BAR CAD PLATED (14985)</v>
          </cell>
        </row>
        <row r="3264">
          <cell r="A3264" t="str">
            <v>R102-15618-0000</v>
          </cell>
          <cell r="B3264" t="str">
            <v>COCKING LEVER W/LOCK BAR (15618)</v>
          </cell>
        </row>
        <row r="3265">
          <cell r="A3265" t="str">
            <v>R102-15733-0000</v>
          </cell>
          <cell r="B3265" t="str">
            <v>AIR CYLINDER ASSEMBLY (15733)</v>
          </cell>
        </row>
        <row r="3266">
          <cell r="A3266" t="str">
            <v>R102-15821-0000</v>
          </cell>
          <cell r="B3266" t="str">
            <v>WR-50 WIRE ROPE, STAINLESS STEEL, 11/6 CABLE - 15mts (15821)</v>
          </cell>
        </row>
        <row r="3267">
          <cell r="A3267" t="str">
            <v>R102-24915-0000</v>
          </cell>
          <cell r="B3267" t="str">
            <v>BREAK ROD - 1Ud. = 1 Break Rod</v>
          </cell>
        </row>
        <row r="3268">
          <cell r="A3268" t="str">
            <v>R102-24916-0000</v>
          </cell>
          <cell r="B3268" t="str">
            <v>TEST LINK - 1 Ud. (24916)</v>
          </cell>
        </row>
        <row r="3269">
          <cell r="A3269" t="str">
            <v>R102-25937</v>
          </cell>
          <cell r="B3269" t="str">
            <v>GAS VALVE, 2 1/2 in. (25937)</v>
          </cell>
        </row>
        <row r="3270">
          <cell r="A3270" t="str">
            <v>R102-25938</v>
          </cell>
          <cell r="B3270" t="str">
            <v>GAS VALVE, Mechanical, 3 in. (25938)</v>
          </cell>
        </row>
        <row r="3271">
          <cell r="A3271" t="str">
            <v>R102-415670-000</v>
          </cell>
          <cell r="B3271" t="str">
            <v>PULLEY ELBOW - Set Screw Type - 1 Ud. (415671)</v>
          </cell>
        </row>
        <row r="3272">
          <cell r="A3272" t="str">
            <v>R102-415671-000</v>
          </cell>
          <cell r="B3272" t="str">
            <v>( INACTIVO )</v>
          </cell>
        </row>
        <row r="3273">
          <cell r="A3273" t="str">
            <v>R102-417911-000</v>
          </cell>
          <cell r="B3273" t="str">
            <v>BURSTING DISC 1unidad = 1 Disc (417911)</v>
          </cell>
        </row>
        <row r="3274">
          <cell r="A3274" t="str">
            <v>R102-417911-0000</v>
          </cell>
          <cell r="B3274" t="str">
            <v>BURSTING DISC 1unidad = 1 Disc (INACTIVO)</v>
          </cell>
        </row>
        <row r="3275">
          <cell r="A3275" t="str">
            <v>R102-418511-000</v>
          </cell>
          <cell r="B3275" t="str">
            <v>HOSE/GROMMET PACKAGE (418511)</v>
          </cell>
        </row>
        <row r="3276">
          <cell r="A3276" t="str">
            <v>R102-418569-000</v>
          </cell>
          <cell r="B3276" t="str">
            <v>SWIVEL ADAPTOR ANSUL (423572)</v>
          </cell>
        </row>
        <row r="3277">
          <cell r="A3277" t="str">
            <v>R102-419334-000</v>
          </cell>
          <cell r="B3277" t="str">
            <v>1/2 N  NOZZLE ASSEMBLY (419345)  (INACTIVO)</v>
          </cell>
        </row>
        <row r="3278">
          <cell r="A3278" t="str">
            <v>R102-419335-000</v>
          </cell>
          <cell r="B3278" t="str">
            <v>1N NOZZLE ASSEMBLY (419346)  (INACTIVO)</v>
          </cell>
        </row>
        <row r="3279">
          <cell r="A3279" t="str">
            <v>R102-419336</v>
          </cell>
          <cell r="B3279" t="str">
            <v>1W P25 NOZZLE ASSEMBLY  (INACTIVO)</v>
          </cell>
        </row>
        <row r="3280">
          <cell r="A3280" t="str">
            <v>R102-419337-000</v>
          </cell>
          <cell r="B3280" t="str">
            <v>2W NOZZLE ASSEMBLY (419348)  (INACTIVO)</v>
          </cell>
        </row>
        <row r="3281">
          <cell r="A3281" t="str">
            <v>R102-419338-000</v>
          </cell>
          <cell r="B3281" t="str">
            <v>3N NOZZLE ANSUL ( 419338 )  (INACTIVO)</v>
          </cell>
        </row>
        <row r="3282">
          <cell r="A3282" t="str">
            <v>R102-419339-000</v>
          </cell>
          <cell r="B3282" t="str">
            <v>230 NOZZLE (INACTIVO)</v>
          </cell>
        </row>
        <row r="3283">
          <cell r="A3283" t="str">
            <v>R102-419340-000</v>
          </cell>
          <cell r="B3283" t="str">
            <v>245 NOZZLE ANSUL  (INACTIVO)</v>
          </cell>
        </row>
        <row r="3284">
          <cell r="A3284" t="str">
            <v>R102-419341-000</v>
          </cell>
          <cell r="B3284" t="str">
            <v>260 NOZZLE ASSEMBLY - 1 Ud. = 1 Nozzle (443333)</v>
          </cell>
        </row>
        <row r="3285">
          <cell r="A3285" t="str">
            <v>R102-419342-000</v>
          </cell>
          <cell r="B3285" t="str">
            <v>290 NOZZLE ASSEMBLY - 1 Ud. = 1 Nozzle (443335)</v>
          </cell>
        </row>
        <row r="3286">
          <cell r="A3286" t="str">
            <v>R102-419346-000</v>
          </cell>
          <cell r="B3286" t="str">
            <v>( INACTIVO )</v>
          </cell>
        </row>
        <row r="3287">
          <cell r="A3287" t="str">
            <v>R102-419347-000</v>
          </cell>
          <cell r="B3287" t="str">
            <v>1W NOZZLE ASSEMBLY (25 PK) ANSUL419347  (INACTIVO)</v>
          </cell>
        </row>
        <row r="3288">
          <cell r="A3288" t="str">
            <v>R102-419347-0000</v>
          </cell>
          <cell r="B3288" t="str">
            <v>INACTIVO</v>
          </cell>
        </row>
        <row r="3289">
          <cell r="A3289" t="str">
            <v>R102-419348-000</v>
          </cell>
          <cell r="B3289" t="str">
            <v>( INACTIVO )</v>
          </cell>
        </row>
        <row r="3290">
          <cell r="A3290" t="str">
            <v>R102-419348-0000</v>
          </cell>
          <cell r="B3290" t="str">
            <v>(INACTIVO)</v>
          </cell>
        </row>
        <row r="3291">
          <cell r="A3291" t="str">
            <v>R102-419349-000</v>
          </cell>
          <cell r="B3291" t="str">
            <v>INACTIVO</v>
          </cell>
        </row>
        <row r="3292">
          <cell r="A3292" t="str">
            <v>R102-419349-0000</v>
          </cell>
          <cell r="B3292" t="str">
            <v>INACTIVO</v>
          </cell>
        </row>
        <row r="3293">
          <cell r="A3293" t="str">
            <v>R102-419350-000</v>
          </cell>
          <cell r="B3293" t="str">
            <v>( INACTIVO )</v>
          </cell>
        </row>
        <row r="3294">
          <cell r="A3294" t="str">
            <v>R102-419351-000</v>
          </cell>
          <cell r="B3294" t="str">
            <v>( INACTIVO )</v>
          </cell>
        </row>
        <row r="3295">
          <cell r="A3295" t="str">
            <v>R102-419351-0000</v>
          </cell>
          <cell r="B3295" t="str">
            <v>(INACTIVO)</v>
          </cell>
        </row>
        <row r="3296">
          <cell r="A3296" t="str">
            <v>R102-419352-000</v>
          </cell>
          <cell r="B3296" t="str">
            <v>( INACTIVO )</v>
          </cell>
        </row>
        <row r="3297">
          <cell r="A3297" t="str">
            <v>R102-419352-0000</v>
          </cell>
          <cell r="B3297" t="str">
            <v>( INACTIVO )</v>
          </cell>
        </row>
        <row r="3298">
          <cell r="A3298" t="str">
            <v>R102-419353-000</v>
          </cell>
          <cell r="B3298" t="str">
            <v>( INACTIVO )</v>
          </cell>
        </row>
        <row r="3299">
          <cell r="A3299" t="str">
            <v>R102-423250-000</v>
          </cell>
          <cell r="B3299" t="str">
            <v>PULLEY ELBOW 1und = 1 Pulley  (INACTIVO)</v>
          </cell>
        </row>
        <row r="3300">
          <cell r="A3300" t="str">
            <v>R102-423251-000</v>
          </cell>
          <cell r="B3300" t="str">
            <v>PULLEY ELBOW -  Compression Type - 1 Ud. (423251)</v>
          </cell>
        </row>
        <row r="3301">
          <cell r="A3301" t="str">
            <v>R102-423253-000</v>
          </cell>
          <cell r="B3301" t="str">
            <v>HOOD SEAL ADAPTOR - 1 Ud. (423253)</v>
          </cell>
        </row>
        <row r="3302">
          <cell r="A3302" t="str">
            <v>R102-423429-000</v>
          </cell>
          <cell r="B3302" t="str">
            <v>CARTRIDGE, NITROG LT-20-R (423429)</v>
          </cell>
        </row>
        <row r="3303">
          <cell r="A3303" t="str">
            <v>R102-423435-000</v>
          </cell>
          <cell r="B3303" t="str">
            <v>CARTRIDGE, NITROG LT-30-R - 1Ud. (423435)</v>
          </cell>
        </row>
        <row r="3304">
          <cell r="A3304" t="str">
            <v>R102-423491-000</v>
          </cell>
          <cell r="B3304" t="str">
            <v>CARTRIDGE,NITROG LT-A-101-30 ANSUL423491</v>
          </cell>
        </row>
        <row r="3305">
          <cell r="A3305" t="str">
            <v>R102-423493-000</v>
          </cell>
          <cell r="B3305" t="str">
            <v>CARTRIDGE,NITROG DB.TNK DOT/TC (423493)</v>
          </cell>
        </row>
        <row r="3306">
          <cell r="A3306" t="str">
            <v>R102-423572-000</v>
          </cell>
          <cell r="B3306" t="str">
            <v>SWIVEL ADAPTOR ANSUL 1adap=1un (INACTIVO)</v>
          </cell>
        </row>
        <row r="3307">
          <cell r="A3307" t="str">
            <v>R102-423878-000</v>
          </cell>
          <cell r="B3307" t="str">
            <v>SWITCH - 21 AMP ELECTRICAL SPDT (423878)</v>
          </cell>
        </row>
        <row r="3308">
          <cell r="A3308" t="str">
            <v>R102-427979-000</v>
          </cell>
          <cell r="B3308" t="str">
            <v>PULL TEE - 1 Ud. (427929)</v>
          </cell>
        </row>
        <row r="3309">
          <cell r="A3309" t="str">
            <v>R102-428311</v>
          </cell>
          <cell r="B3309" t="str">
            <v>SWITCH - ALARM INITIATING SPDT (428311)</v>
          </cell>
        </row>
        <row r="3310">
          <cell r="A3310" t="str">
            <v>R102-429850</v>
          </cell>
          <cell r="B3310" t="str">
            <v>ACTUATOR, REGULATED ASSEMBLY (429850)</v>
          </cell>
        </row>
        <row r="3311">
          <cell r="A3311" t="str">
            <v>R102-429853-000</v>
          </cell>
          <cell r="B3311" t="str">
            <v>AUTOMAN MECHANICAL REG. RELEASE, ANSUL  (429853)</v>
          </cell>
        </row>
        <row r="3312">
          <cell r="A3312" t="str">
            <v>R102-429862-000</v>
          </cell>
          <cell r="B3312" t="str">
            <v>( INACTIVO )</v>
          </cell>
        </row>
        <row r="3313">
          <cell r="A3313" t="str">
            <v>R102-429862-0000</v>
          </cell>
          <cell r="B3313" t="str">
            <v>TANK ASSEMBLY 3.0 GALLON (UL/ULC) SS.  (429862)</v>
          </cell>
        </row>
        <row r="3314">
          <cell r="A3314" t="str">
            <v>R102-429864-000</v>
          </cell>
          <cell r="B3314" t="str">
            <v>TANK ASSEMBLY 1.5 GALLON (UL/ULC) SS. (429864)</v>
          </cell>
        </row>
        <row r="3315">
          <cell r="A3315" t="str">
            <v>R102-429870-000</v>
          </cell>
          <cell r="B3315" t="str">
            <v>SINGLE TANK ENCLOSURE, S.S. (429870)</v>
          </cell>
        </row>
        <row r="3316">
          <cell r="A3316" t="str">
            <v>R102-429872-000</v>
          </cell>
          <cell r="B3316" t="str">
            <v>DUAL TANK ENCLOSURE, SS. (429782)</v>
          </cell>
        </row>
        <row r="3317">
          <cell r="A3317" t="str">
            <v>R102-430299-000</v>
          </cell>
          <cell r="B3317" t="str">
            <v>3.0 MECH RELEASE UL/ULC( 429853-429862 ) (CONJUNTO)</v>
          </cell>
        </row>
        <row r="3318">
          <cell r="A3318" t="str">
            <v>R102-430299-0000</v>
          </cell>
          <cell r="B3318" t="str">
            <v>( INACTIVO )</v>
          </cell>
        </row>
        <row r="3319">
          <cell r="A3319" t="str">
            <v>R102-430300-000</v>
          </cell>
          <cell r="B3319" t="str">
            <v xml:space="preserve">1.5 MECH RELEASE UL/ULC CMKT (CONJUNTO) </v>
          </cell>
        </row>
        <row r="3320">
          <cell r="A3320" t="str">
            <v>R102-430309-000</v>
          </cell>
          <cell r="B3320" t="str">
            <v>3 GALTANK W/REG.ACT. UL/ULC (CONJUNTO)</v>
          </cell>
        </row>
        <row r="3321">
          <cell r="A3321" t="str">
            <v>R102-430317-000</v>
          </cell>
          <cell r="B3321" t="str">
            <v>3 GALTANK&amp;SS ENCLOSURE UL/ULC (CONJUNTO)</v>
          </cell>
        </row>
        <row r="3322">
          <cell r="A3322" t="str">
            <v>R102-430324</v>
          </cell>
          <cell r="B3322" t="str">
            <v>6 GALLON UL/ULC COMP (CONJUNTO)</v>
          </cell>
        </row>
        <row r="3323">
          <cell r="A3323" t="str">
            <v>R102-432843-000</v>
          </cell>
          <cell r="B3323" t="str">
            <v>K-GUARD K01-2 UL PACKED ANSUL432843 (INACTIVO)</v>
          </cell>
        </row>
        <row r="3324">
          <cell r="A3324" t="str">
            <v>R102-434347-000</v>
          </cell>
          <cell r="B3324" t="str">
            <v>INSERTOS TUBO FLEXIBLE ROJO</v>
          </cell>
        </row>
        <row r="3325">
          <cell r="A3325" t="str">
            <v>R102-434525-000</v>
          </cell>
          <cell r="B3325" t="str">
            <v xml:space="preserve">FLEXIBLE CONDUIT CABLE ROJO - 1un = 1mts (434525) </v>
          </cell>
        </row>
        <row r="3326">
          <cell r="A3326" t="str">
            <v>R102-434618-000</v>
          </cell>
          <cell r="B3326" t="str">
            <v>REMOTE MANUAL PULL STATION (434618)</v>
          </cell>
        </row>
        <row r="3327">
          <cell r="A3327" t="str">
            <v>R102-434707-0</v>
          </cell>
          <cell r="B3327" t="str">
            <v>BLOW-OFF CAP 1unidad = 1 Tapa (434707)</v>
          </cell>
        </row>
        <row r="3328">
          <cell r="A3328" t="str">
            <v>R102-434707-000</v>
          </cell>
          <cell r="B3328" t="str">
            <v>SS BLOW-OFF CAP  1unidad = 1 Bolsa  (INACTIVO)</v>
          </cell>
        </row>
        <row r="3329">
          <cell r="A3329" t="str">
            <v>R102-434707-0000</v>
          </cell>
          <cell r="B3329" t="str">
            <v>PULLEY TEE R102 ANSUL (INACTIVO)</v>
          </cell>
        </row>
        <row r="3330">
          <cell r="A3330" t="str">
            <v>R102-434909</v>
          </cell>
          <cell r="B3330" t="str">
            <v>K-GUARD K01-3 ULC (439654)</v>
          </cell>
        </row>
        <row r="3331">
          <cell r="A3331" t="str">
            <v>R102-435546-000</v>
          </cell>
          <cell r="B3331" t="str">
            <v>DETECTOR, TERMINAL (SCISSOR LINKAGE ) - 1 Ud. (440495)</v>
          </cell>
        </row>
        <row r="3332">
          <cell r="A3332" t="str">
            <v>R102-435547-000</v>
          </cell>
          <cell r="B3332" t="str">
            <v>DETECTOR, SERIES ( SCISSOR LINKAGE ) - 1 Ud. (435548)</v>
          </cell>
        </row>
        <row r="3333">
          <cell r="A3333" t="str">
            <v>R102-435548-000</v>
          </cell>
          <cell r="B3333" t="str">
            <v>SERIES DET (435547) 1und = 1Series Det  (INACTIVO)</v>
          </cell>
        </row>
        <row r="3334">
          <cell r="A3334" t="str">
            <v>R102-435979-000</v>
          </cell>
          <cell r="B3334" t="str">
            <v>ACCESORIOS DE ALIVIO TUBO FLEX ROJO</v>
          </cell>
        </row>
        <row r="3335">
          <cell r="A3335" t="str">
            <v>R102-436063-000</v>
          </cell>
          <cell r="B3335" t="str">
            <v>CONDUIT OFFSET ASSEMBLY - 1 Ud. (436063)</v>
          </cell>
        </row>
        <row r="3336">
          <cell r="A3336" t="str">
            <v>R102-436150-000</v>
          </cell>
          <cell r="B3336" t="str">
            <v>CLIP  PARA TUBO FLEXIBLE ROJO</v>
          </cell>
        </row>
        <row r="3337">
          <cell r="A3337" t="str">
            <v>R102-436228</v>
          </cell>
          <cell r="B3337" t="str">
            <v xml:space="preserve">REDUCING COUPLING 3/8 X 1/2 </v>
          </cell>
        </row>
        <row r="3338">
          <cell r="A3338" t="str">
            <v>R102-439087</v>
          </cell>
          <cell r="B3338" t="str">
            <v>FUSIBLE LINK 138° C/280° (SL)  1un = 1 Fusible (43908)</v>
          </cell>
        </row>
        <row r="3339">
          <cell r="A3339" t="str">
            <v>R102-439088</v>
          </cell>
          <cell r="B3339" t="str">
            <v>FUSIBLE LINK 182° C/360° (SL)  1un = 1 Fusible (439088)</v>
          </cell>
        </row>
        <row r="3340">
          <cell r="A3340" t="str">
            <v>R102-439089-000</v>
          </cell>
          <cell r="B3340" t="str">
            <v>FUSIBLE LINK 232° C/450° (SL)  1un = 1 Fusible (439089)</v>
          </cell>
        </row>
        <row r="3341">
          <cell r="A3341" t="str">
            <v>R102-439231-000</v>
          </cell>
          <cell r="B3341" t="str">
            <v>FUSIBLE LINK A-PC STYLE 450°F (232°C)</v>
          </cell>
        </row>
        <row r="3342">
          <cell r="A3342" t="str">
            <v>R102-439232-000</v>
          </cell>
          <cell r="B3342" t="str">
            <v>FUSIBLE LINK A-PC STYLE 500°F (260°C)</v>
          </cell>
        </row>
        <row r="3343">
          <cell r="A3343" t="str">
            <v>R102-439515-000</v>
          </cell>
          <cell r="B3343" t="str">
            <v>DETECTOR TIJERA 10P</v>
          </cell>
        </row>
        <row r="3344">
          <cell r="A3344" t="str">
            <v>R102-439837</v>
          </cell>
          <cell r="B3344" t="str">
            <v>1/2 N NOZZLE ASSEMBLY - 1 Ud. = 1 Nozzle (443321)</v>
          </cell>
        </row>
        <row r="3345">
          <cell r="A3345" t="str">
            <v>R102-439861-000</v>
          </cell>
          <cell r="B3345" t="str">
            <v>BLOW-OFF CAP - New Metal - 1unidad = 1 Tapa (439861)</v>
          </cell>
        </row>
        <row r="3346">
          <cell r="A3346" t="str">
            <v>R102-439877-000</v>
          </cell>
          <cell r="B3346" t="str">
            <v>R-102 Nozzle Aiming Device (439877)</v>
          </cell>
        </row>
        <row r="3347">
          <cell r="A3347" t="str">
            <v>R102-441041-000</v>
          </cell>
          <cell r="B3347" t="str">
            <v>Cocking Lever with Lock Pin (Mechanical/Electrical Automan)</v>
          </cell>
        </row>
        <row r="3348">
          <cell r="A3348" t="str">
            <v>R102-441042-000</v>
          </cell>
          <cell r="B3348" t="str">
            <v>SHORT COCKING LEVER/LOCK PIN, SHIP ASSY</v>
          </cell>
        </row>
        <row r="3349">
          <cell r="A3349" t="str">
            <v>R102-443317-000</v>
          </cell>
          <cell r="B3349" t="str">
            <v>1N NOZZLE ASSEMBLY - 1 Ud. = 1 Nozzle (443317)</v>
          </cell>
        </row>
        <row r="3350">
          <cell r="A3350" t="str">
            <v>R102-443323-000</v>
          </cell>
          <cell r="B3350" t="str">
            <v>1W NOZZLE ASSEMBLY - 1 Ud. = 1 Nozzle (443323)</v>
          </cell>
        </row>
        <row r="3351">
          <cell r="A3351" t="str">
            <v>R102-443325-000</v>
          </cell>
          <cell r="B3351" t="str">
            <v>2W NOZZLE ASSEMBLY - 1 Ud. = 1 Nozzle (443325)</v>
          </cell>
        </row>
        <row r="3352">
          <cell r="A3352" t="str">
            <v>R102-443327-000</v>
          </cell>
          <cell r="B3352" t="str">
            <v>3N  NOZZLE ASSEMBLY - 1 Ud. (443327)</v>
          </cell>
        </row>
        <row r="3353">
          <cell r="A3353" t="str">
            <v>R102-443329-000</v>
          </cell>
          <cell r="B3353" t="str">
            <v>230 NOZZLE ASSEMBLY - 1 Ud. = 1 Nozzle (443329)</v>
          </cell>
        </row>
        <row r="3354">
          <cell r="A3354" t="str">
            <v>R102-443331-000</v>
          </cell>
          <cell r="B3354" t="str">
            <v>245 NOZZLE ASSEMBLY - 1 Ud. = 1 Nozzle (443331)</v>
          </cell>
        </row>
        <row r="3355">
          <cell r="A3355" t="str">
            <v>R102-443337-000</v>
          </cell>
          <cell r="B3355" t="str">
            <v>2120 NOZZLE ASSEMBLY - 1 Ud. = 1 Nozzle (443337)</v>
          </cell>
        </row>
        <row r="3356">
          <cell r="A3356" t="str">
            <v>R102-550122-000</v>
          </cell>
          <cell r="B3356" t="str">
            <v>WC-100 - OVAL SLEEVE  1 unidad =  1 Oval (550122)</v>
          </cell>
        </row>
        <row r="3357">
          <cell r="A3357" t="str">
            <v>R102-550367-000</v>
          </cell>
          <cell r="B3357" t="str">
            <v>FUSIBLE LINK  450 deg.F (HL Style) (INACTIVO)</v>
          </cell>
        </row>
        <row r="3358">
          <cell r="A3358" t="str">
            <v>R102-55598-0000</v>
          </cell>
          <cell r="B3358" t="str">
            <v>GAS VALVE, 3/4  in. (55598)</v>
          </cell>
        </row>
        <row r="3359">
          <cell r="A3359" t="str">
            <v>R102-55601-0000</v>
          </cell>
          <cell r="B3359" t="str">
            <v>GAS VALVE , 1 in. (55601)</v>
          </cell>
        </row>
        <row r="3360">
          <cell r="A3360" t="str">
            <v>R102-55604-0000</v>
          </cell>
          <cell r="B3360" t="str">
            <v>GAS VALVE,  1 1/4 in. (55604)</v>
          </cell>
        </row>
        <row r="3361">
          <cell r="A3361" t="str">
            <v>R102-55607-0000</v>
          </cell>
          <cell r="B3361" t="str">
            <v>GAS VALVE, 1 1/2 in. (55607)</v>
          </cell>
        </row>
        <row r="3362">
          <cell r="A3362" t="str">
            <v>R102-55610-0000</v>
          </cell>
          <cell r="B3362" t="str">
            <v>GAS VALVE,  2 in. (55610)</v>
          </cell>
        </row>
        <row r="3363">
          <cell r="A3363" t="str">
            <v>R102-55813-0000</v>
          </cell>
          <cell r="B3363" t="str">
            <v>1/2 COMPRESSION CONNECTOR ANSUL55813</v>
          </cell>
        </row>
        <row r="3364">
          <cell r="A3364" t="str">
            <v>R102-56972</v>
          </cell>
          <cell r="B3364" t="str">
            <v>Regulator Test Kit</v>
          </cell>
        </row>
        <row r="3365">
          <cell r="A3365" t="str">
            <v>R102-77284</v>
          </cell>
          <cell r="B3365" t="str">
            <v>QUIK SEAL ADAPTOR 3/8 ANSUL (77285)</v>
          </cell>
        </row>
        <row r="3366">
          <cell r="A3366" t="str">
            <v>R102-77286-000</v>
          </cell>
          <cell r="B3366" t="str">
            <v>QUIK SEAL ADAPTOR 1/2 ANSUL (77287)</v>
          </cell>
        </row>
        <row r="3367">
          <cell r="A3367" t="str">
            <v>R102-77287-0000</v>
          </cell>
          <cell r="B3367" t="str">
            <v>( INACTIVO )</v>
          </cell>
        </row>
        <row r="3368">
          <cell r="A3368" t="str">
            <v>R102-79372-0000</v>
          </cell>
          <cell r="B3368" t="str">
            <v>LPH ANSULEX 3 GAL  (79372)</v>
          </cell>
        </row>
        <row r="3369">
          <cell r="A3369" t="str">
            <v>R102-79372-03-00</v>
          </cell>
          <cell r="B3369" t="str">
            <v>( INACTIVO )</v>
          </cell>
        </row>
        <row r="3370">
          <cell r="A3370" t="str">
            <v>R102-79630000-000</v>
          </cell>
          <cell r="B3370" t="str">
            <v>STAINLESS STEEL CABLE (150MTS)ANSUL (INACTIVO)</v>
          </cell>
        </row>
        <row r="3371">
          <cell r="A3371" t="str">
            <v>R102-79653-0000</v>
          </cell>
          <cell r="B3371" t="str">
            <v>WR-500 WIRE ROPE, STAINLESS STEEL CABLE - 150mts - (79653)</v>
          </cell>
        </row>
        <row r="3372">
          <cell r="A3372" t="str">
            <v>R102-79694-0000</v>
          </cell>
          <cell r="B3372" t="str">
            <v>LPH ANSULEX 1.5 GAL (79694)</v>
          </cell>
        </row>
        <row r="3373">
          <cell r="A3373" t="str">
            <v>R102-BUJEINOX-1MX3/8</v>
          </cell>
          <cell r="B3373" t="str">
            <v xml:space="preserve">BUJE REDUC NPT INOX 1/2 X 3/8 </v>
          </cell>
        </row>
        <row r="3374">
          <cell r="A3374" t="str">
            <v>R102-CAN 304-5/8</v>
          </cell>
          <cell r="B3374" t="str">
            <v>TUBERIA 304 5/8 INOX (15.88mm)</v>
          </cell>
        </row>
        <row r="3375">
          <cell r="A3375" t="str">
            <v>R102-CAN EMT 1/2</v>
          </cell>
          <cell r="B3375" t="str">
            <v>CAÑERIA EMT 1/2</v>
          </cell>
        </row>
        <row r="3376">
          <cell r="A3376" t="str">
            <v>R102-CANSCH403/8INOX</v>
          </cell>
          <cell r="B3376" t="str">
            <v>CAÑERIA SCH40 INOX 3/8</v>
          </cell>
        </row>
        <row r="3377">
          <cell r="A3377" t="str">
            <v>R102-CAN-SCH403/8NEG</v>
          </cell>
          <cell r="B3377" t="str">
            <v>CAÑERIA SCH40 Negra 3/8</v>
          </cell>
        </row>
        <row r="3378">
          <cell r="A3378" t="str">
            <v>R102-COD45INOX-3/8</v>
          </cell>
          <cell r="B3378" t="str">
            <v xml:space="preserve">CODO 45 NPT INOX 3/8 </v>
          </cell>
        </row>
        <row r="3379">
          <cell r="A3379" t="str">
            <v>R102-COD90INOX-3/8</v>
          </cell>
          <cell r="B3379" t="str">
            <v xml:space="preserve">CODO 90 NPT INOX 3/8 </v>
          </cell>
        </row>
        <row r="3380">
          <cell r="A3380" t="str">
            <v>R102-CONEMT-0M</v>
          </cell>
          <cell r="B3380" t="str">
            <v>CONECTOR DE COMPRESION DE 1/2 EMT</v>
          </cell>
        </row>
        <row r="3381">
          <cell r="A3381" t="str">
            <v>R102-F407-CL304</v>
          </cell>
          <cell r="B3381" t="str">
            <v>CUPLA  1/2  ADAPTER  FIG.407 CLASE 304 (INACTIVO)</v>
          </cell>
        </row>
        <row r="3382">
          <cell r="A3382" t="str">
            <v>R102-F442-CL304</v>
          </cell>
          <cell r="B3382" t="str">
            <v>TEE 1/2  FIG.442 CLASE 304 (INACTIVO)</v>
          </cell>
        </row>
        <row r="3383">
          <cell r="A3383" t="str">
            <v>R102-F468-CL304</v>
          </cell>
          <cell r="B3383" t="str">
            <v>CODO 90  1/2  FIG.468 CLASE 304 (INACTIVO)</v>
          </cell>
        </row>
        <row r="3384">
          <cell r="A3384" t="str">
            <v>R102-F476-CL304</v>
          </cell>
          <cell r="B3384" t="str">
            <v>CUPLA  1/2  ADAPTER HILO EXT FIG.476 CLASE 304 (INACTIVO)</v>
          </cell>
        </row>
        <row r="3385">
          <cell r="A3385" t="str">
            <v>R102-F478-CL304</v>
          </cell>
          <cell r="B3385" t="str">
            <v>TEE 1/2  ADAPTER HILO INTERIOR  FIG.478 CLASE 304 (INACTIVO)</v>
          </cell>
        </row>
        <row r="3386">
          <cell r="A3386" t="str">
            <v>R102-F478-CL304- TEE</v>
          </cell>
          <cell r="B3386" t="str">
            <v>TEE 1/2  ADAPTER HILO EXTERIOR  CLASE 304 (INACTIVO)</v>
          </cell>
        </row>
        <row r="3387">
          <cell r="A3387" t="str">
            <v>R102-F479-CL304</v>
          </cell>
          <cell r="B3387" t="str">
            <v>CUPLA  1/2  ADAPTER HILO INT FIG.479 CLASE 304 (INACTIVO)</v>
          </cell>
        </row>
        <row r="3388">
          <cell r="A3388" t="str">
            <v>R102-INSUMOMONT</v>
          </cell>
          <cell r="B3388" t="str">
            <v xml:space="preserve">INSUMOS PARA MONTAJE </v>
          </cell>
        </row>
        <row r="3389">
          <cell r="A3389" t="str">
            <v>R102-MON 04-010</v>
          </cell>
          <cell r="B3389" t="str">
            <v>R102 MONTAJE BK P. ARAUCO</v>
          </cell>
        </row>
        <row r="3390">
          <cell r="A3390" t="str">
            <v>R102-MON 04-012</v>
          </cell>
          <cell r="B3390" t="str">
            <v>R102 MONTAJE BK MALL PLAZA NORTE 04-012</v>
          </cell>
        </row>
        <row r="3391">
          <cell r="A3391" t="str">
            <v>R102-MON 04-043</v>
          </cell>
          <cell r="B3391" t="str">
            <v>R102 MONTAJE BK MACHALI</v>
          </cell>
        </row>
        <row r="3392">
          <cell r="A3392" t="str">
            <v>R102-MON 04-045</v>
          </cell>
          <cell r="B3392" t="str">
            <v>R102 MONTAJE BK DREAMS (TEMUCO)</v>
          </cell>
        </row>
        <row r="3393">
          <cell r="A3393" t="str">
            <v>R102-MON 04-046</v>
          </cell>
          <cell r="B3393" t="str">
            <v>R102 MONTAJE BK PORTAL TEMUCO</v>
          </cell>
        </row>
        <row r="3394">
          <cell r="A3394" t="str">
            <v>R102-MON 04-047</v>
          </cell>
          <cell r="B3394" t="str">
            <v>R102 MONTAJE BK BALMACEDA</v>
          </cell>
        </row>
        <row r="3395">
          <cell r="A3395" t="str">
            <v>R102-MON 04-048</v>
          </cell>
          <cell r="B3395" t="str">
            <v>BK MALL PLAZA LA SERENA 04-048</v>
          </cell>
        </row>
        <row r="3396">
          <cell r="A3396" t="str">
            <v>R102-MON 04-049</v>
          </cell>
          <cell r="B3396" t="str">
            <v>R102 MONTAJE BK QUILLOTA 04-049</v>
          </cell>
        </row>
        <row r="3397">
          <cell r="A3397" t="str">
            <v>R102-MON 05-004</v>
          </cell>
          <cell r="B3397" t="str">
            <v>R102 MONTAJE SB MALL VIVO LOS TRAPENSES</v>
          </cell>
        </row>
        <row r="3398">
          <cell r="A3398" t="str">
            <v>R102-MON 10-001</v>
          </cell>
          <cell r="B3398" t="str">
            <v>R102 MONTAJE ASLAN</v>
          </cell>
        </row>
        <row r="3399">
          <cell r="A3399" t="str">
            <v>R102-MON 10-002</v>
          </cell>
          <cell r="B3399" t="str">
            <v>R102 MONTAJE DOMINO ARAUCO QUILICURA</v>
          </cell>
        </row>
        <row r="3400">
          <cell r="A3400" t="str">
            <v>R102-MON 10-003</v>
          </cell>
          <cell r="B3400" t="str">
            <v>R102 MONTAJE LA CAFETTERIA (IQ.)</v>
          </cell>
        </row>
        <row r="3401">
          <cell r="A3401" t="str">
            <v>R102-MON 10-004</v>
          </cell>
          <cell r="B3401" t="str">
            <v>R102 MONTAJE STREAT-BURGER (P. ARAUCO)</v>
          </cell>
        </row>
        <row r="3402">
          <cell r="A3402" t="str">
            <v>R102-MON 10-005</v>
          </cell>
          <cell r="B3402" t="str">
            <v>TELETON ANTOFAGASTA (INV. JOFAL)</v>
          </cell>
        </row>
        <row r="3403">
          <cell r="A3403" t="str">
            <v>R102-MON 10-006</v>
          </cell>
          <cell r="B3403" t="str">
            <v>CARL´S Jr EL BOSQUE</v>
          </cell>
        </row>
        <row r="3404">
          <cell r="A3404" t="str">
            <v>R102-MON 10-007</v>
          </cell>
          <cell r="B3404" t="str">
            <v>R102 MONTAJE STREAT BURGER MALL VIVO LOS TRAPENSES</v>
          </cell>
        </row>
        <row r="3405">
          <cell r="A3405" t="str">
            <v>R102-MON 10-008</v>
          </cell>
          <cell r="B3405" t="str">
            <v>R102 MONTAJE JOHNNY ROCKETS MALL MARINA ARAUCO 10-008</v>
          </cell>
        </row>
        <row r="3406">
          <cell r="A3406" t="str">
            <v>R102-MON 10-009</v>
          </cell>
          <cell r="B3406" t="str">
            <v>R102 MONTAJE LA MECHADA NACIONAL MALL PLAZA EGAÑA 10-009</v>
          </cell>
        </row>
        <row r="3407">
          <cell r="A3407" t="str">
            <v>R102-MON 10-010</v>
          </cell>
          <cell r="B3407" t="str">
            <v>LA MECHADA NACIONAL MALL PLAZA OESTE 10-010</v>
          </cell>
        </row>
        <row r="3408">
          <cell r="A3408" t="str">
            <v>R102-MON 10-011</v>
          </cell>
          <cell r="B3408" t="str">
            <v>CARLS JR MALL PLAZA LOS DOMINICOS (CORACHI)</v>
          </cell>
        </row>
        <row r="3409">
          <cell r="A3409" t="str">
            <v>R102-MON 10-012</v>
          </cell>
          <cell r="B3409" t="str">
            <v>R102 MONTAJE CARLS JR MALL PLAZA VESPUCIO</v>
          </cell>
        </row>
        <row r="3410">
          <cell r="A3410" t="str">
            <v>R102-MON 10-013</v>
          </cell>
          <cell r="B3410" t="str">
            <v>R102 MONTAJE CARLS JR MALL PLAZA OESTE - TERRAZA</v>
          </cell>
        </row>
        <row r="3411">
          <cell r="A3411" t="str">
            <v>R102-MON 12-001</v>
          </cell>
          <cell r="B3411" t="str">
            <v>R102 MONTAJE COCINA PRINCIPAL 1 12-001</v>
          </cell>
        </row>
        <row r="3412">
          <cell r="A3412" t="str">
            <v>R102-MON 12-002</v>
          </cell>
          <cell r="B3412" t="str">
            <v>R102 MONTAJE COCINA PRINCIPAL 2 12-002</v>
          </cell>
        </row>
        <row r="3413">
          <cell r="A3413" t="str">
            <v>R102-MON 12-003</v>
          </cell>
          <cell r="B3413" t="str">
            <v>R102 MONTAJE COCINA PRINCIPAL 3 12-003</v>
          </cell>
        </row>
        <row r="3414">
          <cell r="A3414" t="str">
            <v>R102-MON 12-004</v>
          </cell>
          <cell r="B3414" t="str">
            <v>R102 MONTAJE SOLUNA TORRE B 12-004</v>
          </cell>
        </row>
        <row r="3415">
          <cell r="A3415" t="str">
            <v>R102-MON 12-005</v>
          </cell>
          <cell r="B3415" t="str">
            <v>R102 MONTAJE SOLUNA TORRE C 12-005</v>
          </cell>
        </row>
        <row r="3416">
          <cell r="A3416" t="str">
            <v>R102-MON 12-006</v>
          </cell>
          <cell r="B3416" t="str">
            <v>R102 MONTAJE COCINA PRINCIPAL REPOSTERIA 12-006</v>
          </cell>
        </row>
        <row r="3417">
          <cell r="A3417" t="str">
            <v>R102-MONTAJE</v>
          </cell>
          <cell r="B3417" t="str">
            <v>R102 MONTAJE</v>
          </cell>
        </row>
        <row r="3418">
          <cell r="A3418" t="str">
            <v>R102-NIPINOX-3/8</v>
          </cell>
          <cell r="B3418" t="str">
            <v>NIPLE TUERCA NPT INOX 3/8</v>
          </cell>
        </row>
        <row r="3419">
          <cell r="A3419" t="str">
            <v>R102-SIGA-CT1</v>
          </cell>
          <cell r="B3419" t="str">
            <v>MODULO DE MONITOREO SIMPLE- EDWARDS EST</v>
          </cell>
        </row>
        <row r="3420">
          <cell r="A3420" t="str">
            <v>R102-SUMINISTROS</v>
          </cell>
          <cell r="B3420" t="str">
            <v xml:space="preserve">SUMINISTROS PROD. R102 </v>
          </cell>
        </row>
        <row r="3421">
          <cell r="A3421" t="str">
            <v>R102-TAPINOX-3/8</v>
          </cell>
          <cell r="B3421" t="str">
            <v>TAPON/NIPLE T.NPT INOX 3/8</v>
          </cell>
        </row>
        <row r="3422">
          <cell r="A3422" t="str">
            <v>R102-TEEINXNPT-3/8</v>
          </cell>
          <cell r="B3422" t="str">
            <v>TEE NPT INOX 3/8</v>
          </cell>
        </row>
        <row r="3423">
          <cell r="A3423" t="str">
            <v>R102-UNIAMEINOX-3/8</v>
          </cell>
          <cell r="B3423" t="str">
            <v>UNION AMER.  NPT INOX 3/8</v>
          </cell>
        </row>
        <row r="3424">
          <cell r="A3424" t="str">
            <v>R102-UNIEMT-0M</v>
          </cell>
          <cell r="B3424" t="str">
            <v>UNION EMT DE 1/2</v>
          </cell>
        </row>
        <row r="3425">
          <cell r="A3425" t="str">
            <v>RB-MR-2320PS</v>
          </cell>
          <cell r="B3425" t="str">
            <v>MR-2320,MR-2300-6L(D) POWER SUPPLY</v>
          </cell>
        </row>
        <row r="3426">
          <cell r="A3426" t="str">
            <v>RE-750H</v>
          </cell>
          <cell r="B3426" t="str">
            <v xml:space="preserve">PHONE &amp; RED BOX </v>
          </cell>
        </row>
        <row r="3427">
          <cell r="A3427" t="str">
            <v>ROTA-026200102</v>
          </cell>
          <cell r="B3427" t="str">
            <v>3LB SINGLE NOZZLE 227 UL/FM APPROVED/L44</v>
          </cell>
        </row>
        <row r="3428">
          <cell r="A3428" t="str">
            <v>ROTA-026200103</v>
          </cell>
          <cell r="B3428" t="str">
            <v xml:space="preserve">Nozzle 7lb / brass / 3/8  NPT / 8 holes Ø2,2 / Ø25 / L47 / </v>
          </cell>
        </row>
        <row r="3429">
          <cell r="A3429" t="str">
            <v>ROTA-026200105</v>
          </cell>
          <cell r="B3429" t="str">
            <v>14 LB 2 NOZZLES 227  UL/FM APPROVED</v>
          </cell>
        </row>
        <row r="3430">
          <cell r="A3430" t="str">
            <v>ROTA-026200106</v>
          </cell>
          <cell r="B3430" t="str">
            <v>7LB 2 NOZZLES NOVEC 1230 UL/FM/L47</v>
          </cell>
        </row>
        <row r="3431">
          <cell r="A3431" t="str">
            <v>ROTA-026200107</v>
          </cell>
          <cell r="B3431" t="str">
            <v>14LB NOZZLES UL/FM/L56</v>
          </cell>
        </row>
        <row r="3432">
          <cell r="A3432" t="str">
            <v>ROTA-026200108</v>
          </cell>
          <cell r="B3432" t="str">
            <v>14 LB SINGLE NOZZLES NOVEC 1230 UL/FM APPROVED</v>
          </cell>
        </row>
        <row r="3433">
          <cell r="A3433" t="str">
            <v>ROTA-026200109</v>
          </cell>
          <cell r="B3433" t="str">
            <v>14 LB 2 NOZZLES 227 NOVEC 1230 UL/FM APPROVED</v>
          </cell>
        </row>
        <row r="3434">
          <cell r="A3434" t="str">
            <v>ROTA-026200110</v>
          </cell>
          <cell r="B3434" t="str">
            <v>3LB SINGLE NOZZLE NOVEC UL/FM/L44</v>
          </cell>
        </row>
        <row r="3435">
          <cell r="A3435" t="str">
            <v>ROTA-026200111</v>
          </cell>
          <cell r="B3435" t="str">
            <v>7LB SINGLE NOZZLE NOVEC 1230 UL/FM/L47</v>
          </cell>
        </row>
        <row r="3436">
          <cell r="A3436" t="str">
            <v>ROTA-028000284</v>
          </cell>
          <cell r="B3436" t="str">
            <v>FIREDETEC LABEL</v>
          </cell>
        </row>
        <row r="3437">
          <cell r="A3437" t="str">
            <v>ROTA-028200191</v>
          </cell>
          <cell r="B3437" t="str">
            <v>MANO/1/8NPT 1230/0-700PSI</v>
          </cell>
        </row>
        <row r="3438">
          <cell r="A3438" t="str">
            <v>ROTA-028255048</v>
          </cell>
          <cell r="B3438" t="str">
            <v>Pressure switch / 5BAR / M10X1 / SPDT</v>
          </cell>
        </row>
        <row r="3439">
          <cell r="A3439" t="str">
            <v>ROTA-029510056</v>
          </cell>
          <cell r="B3439" t="str">
            <v>FIREDETEC  END OF LINE PLUG</v>
          </cell>
        </row>
        <row r="3440">
          <cell r="A3440" t="str">
            <v>ROTA-029900168</v>
          </cell>
          <cell r="B3440" t="str">
            <v>PRESSURE SWITCH N/O W/ ADAPTER</v>
          </cell>
        </row>
        <row r="3441">
          <cell r="A3441" t="str">
            <v>ROTA-029900178</v>
          </cell>
          <cell r="B3441" t="str">
            <v>PRESSURE SWITCH N/C W/ ADAPTER</v>
          </cell>
        </row>
        <row r="3442">
          <cell r="A3442" t="str">
            <v>ROTA-26200102</v>
          </cell>
          <cell r="B3442" t="str">
            <v>3 LB 227 SINGLE NOZZLE 1/4  NPT 306-A6-1</v>
          </cell>
        </row>
        <row r="3443">
          <cell r="A3443" t="str">
            <v>ROTA-26200104</v>
          </cell>
          <cell r="B3443" t="str">
            <v>7 LB 227 SINGLE NOZZLE 3/8  NPT 306-A6-1</v>
          </cell>
        </row>
        <row r="3444">
          <cell r="A3444" t="str">
            <v>ROTA-26200107</v>
          </cell>
          <cell r="B3444" t="str">
            <v>14 LB 227 SINGLE NOZZLE 3/8  NPT 306-F6-1</v>
          </cell>
        </row>
        <row r="3445">
          <cell r="A3445" t="str">
            <v>ROTA-28000257</v>
          </cell>
          <cell r="B3445" t="str">
            <v>Label fdt HFC-227 3,18 kg</v>
          </cell>
        </row>
        <row r="3446">
          <cell r="A3446" t="str">
            <v>ROTA-28000261</v>
          </cell>
          <cell r="B3446" t="str">
            <v>LABEL / FDT / HFC-227 CE approved 6,35KG cylinder / indirect</v>
          </cell>
        </row>
        <row r="3447">
          <cell r="A3447" t="str">
            <v>ROTA-28000265</v>
          </cell>
          <cell r="B3447" t="str">
            <v>LABEL / FDT / HFC-227 CE approved 1,36KG cylinder / direct /</v>
          </cell>
        </row>
        <row r="3448">
          <cell r="A3448" t="str">
            <v>ROTA-28000266</v>
          </cell>
          <cell r="B3448" t="str">
            <v>LABEL / FDT / HFC-227 CE approved 3,18KG cylinder / direct /</v>
          </cell>
        </row>
        <row r="3449">
          <cell r="A3449" t="str">
            <v>ROTA-28000337</v>
          </cell>
          <cell r="B3449" t="str">
            <v>LABEL/FDT/HFC-227 CE approved 1,36KG cylinder/direc 14LBNove</v>
          </cell>
        </row>
        <row r="3450">
          <cell r="A3450" t="str">
            <v>ROTA-28000338</v>
          </cell>
          <cell r="B3450" t="str">
            <v>LABEL/FDT/HFC-227 CE approved 1,36KG cylinder/direct 3LBNove</v>
          </cell>
        </row>
        <row r="3451">
          <cell r="A3451" t="str">
            <v>ROTA-28000339</v>
          </cell>
          <cell r="B3451" t="str">
            <v>LABEL/FDT/HFC-227 CE approved 1,36KG cylinder/direc 7LBNovec</v>
          </cell>
        </row>
        <row r="3452">
          <cell r="A3452" t="str">
            <v>ROTA-28200190</v>
          </cell>
          <cell r="B3452" t="str">
            <v xml:space="preserve">Pressure gauge for FM-200 / 1/8  NPT male / Ø37,5 / Scale </v>
          </cell>
        </row>
        <row r="3453">
          <cell r="A3453" t="str">
            <v>ROTA-28200191</v>
          </cell>
          <cell r="B3453" t="str">
            <v xml:space="preserve">Pressure gauge for NOVEC™ 1230 / 1/8  NPT male / Ø37,5 / </v>
          </cell>
        </row>
        <row r="3454">
          <cell r="A3454" t="str">
            <v>ROTA-28255003</v>
          </cell>
          <cell r="B3454" t="str">
            <v>Pressure switch / 8BAR / M10X1 / SPDT</v>
          </cell>
        </row>
        <row r="3455">
          <cell r="A3455" t="str">
            <v>ROTA-29200088</v>
          </cell>
          <cell r="B3455" t="str">
            <v>Pressure relief device / Brass NP / G1/4  / 600 Psi</v>
          </cell>
        </row>
        <row r="3456">
          <cell r="A3456" t="str">
            <v>ROTA-29200091</v>
          </cell>
          <cell r="B3456" t="str">
            <v>PRESSURE RELIEF DEVICE / BRASS NP / G 1/4 480 PSI.</v>
          </cell>
        </row>
        <row r="3457">
          <cell r="A3457" t="str">
            <v>ROTA-29510056</v>
          </cell>
          <cell r="B3457" t="str">
            <v>EOL PLUG</v>
          </cell>
        </row>
        <row r="3458">
          <cell r="A3458" t="str">
            <v>ROTA-B04420127</v>
          </cell>
          <cell r="B3458" t="str">
            <v xml:space="preserve">SOLENOID ACTUATOR FOR FIREDETEC, 24 V DC </v>
          </cell>
        </row>
        <row r="3459">
          <cell r="A3459" t="str">
            <v>ROTA-B04420128</v>
          </cell>
          <cell r="B3459" t="str">
            <v xml:space="preserve">FIREV DETEC END OF LINE ADAPTER </v>
          </cell>
        </row>
        <row r="3460">
          <cell r="A3460" t="str">
            <v>ROTA-B07004004</v>
          </cell>
          <cell r="B3460" t="str">
            <v>FIREDETEC TUBE CE CYLINDER 1.36KG/33BAR</v>
          </cell>
        </row>
        <row r="3461">
          <cell r="A3461" t="str">
            <v>ROTA-B07004005</v>
          </cell>
          <cell r="B3461" t="str">
            <v>FIREDETEC TUBE CE CYLINDER 3.18KG/33BAR</v>
          </cell>
        </row>
        <row r="3462">
          <cell r="A3462" t="str">
            <v>ROTA-B07004500</v>
          </cell>
          <cell r="B3462" t="str">
            <v>SYSTEM 3 LB FM 200, FILLED SYSTEM DLP</v>
          </cell>
        </row>
        <row r="3463">
          <cell r="A3463" t="str">
            <v>ROTA-B07004504</v>
          </cell>
          <cell r="B3463" t="str">
            <v>1.36KG - 3LB / VL DLP/ BRACKET FM-200 KIT FILLED</v>
          </cell>
        </row>
        <row r="3464">
          <cell r="A3464" t="str">
            <v>ROTA-B07004505</v>
          </cell>
          <cell r="B3464" t="str">
            <v>3.18KG - 7LB  HFC227 KIT FM-200 FILLED</v>
          </cell>
        </row>
        <row r="3465">
          <cell r="A3465" t="str">
            <v>ROTA-B07004516</v>
          </cell>
          <cell r="B3465" t="str">
            <v>CYL. DOT 3 LBS VALVE DLP NOVEC 1230 FILLED</v>
          </cell>
        </row>
        <row r="3466">
          <cell r="A3466" t="str">
            <v>ROTA-B07004516-0</v>
          </cell>
          <cell r="B3466" t="str">
            <v>CYL. DOT 3 LBS VALVE DLP NOVEC 1230 FILLED KIT</v>
          </cell>
        </row>
        <row r="3467">
          <cell r="A3467" t="str">
            <v>ROTA-B07004517-0</v>
          </cell>
          <cell r="B3467" t="str">
            <v>CYL. DOT 7 LBS VALVE DLP NOVEC 1230 FILLED KIT</v>
          </cell>
        </row>
        <row r="3468">
          <cell r="A3468" t="str">
            <v>ROTA-B07014012</v>
          </cell>
          <cell r="B3468" t="str">
            <v>ACTUATION, FIREDETEC TUBE</v>
          </cell>
        </row>
        <row r="3469">
          <cell r="A3469" t="str">
            <v>ROTA-B07014013</v>
          </cell>
          <cell r="B3469" t="str">
            <v>FIREDETEC TUBE CE CYLINDER 3.18KG/31.5BAR</v>
          </cell>
        </row>
        <row r="3470">
          <cell r="A3470" t="str">
            <v>ROTA-B07014014</v>
          </cell>
          <cell r="B3470" t="str">
            <v>FIREDETEC TUBE CE CYLINDER 1.36KG/31.5BAR</v>
          </cell>
        </row>
        <row r="3471">
          <cell r="A3471" t="str">
            <v>ROTA-B07014500</v>
          </cell>
          <cell r="B3471" t="str">
            <v>FIREDETEC 3 LB SYSTEM HFC-227,FILLED-ILP</v>
          </cell>
        </row>
        <row r="3472">
          <cell r="A3472" t="str">
            <v>ROTA-B07014501</v>
          </cell>
          <cell r="B3472" t="str">
            <v>FIREDETEC 7 LB SYSTEM HFC-227, FILLED-ILP</v>
          </cell>
        </row>
        <row r="3473">
          <cell r="A3473" t="str">
            <v>ROTA-B07014502</v>
          </cell>
          <cell r="B3473" t="str">
            <v>FIREDETEC 14 LB SYSTEM HFC-227, FILLED - ILP</v>
          </cell>
        </row>
        <row r="3474">
          <cell r="A3474" t="str">
            <v>ROTA-B07014512</v>
          </cell>
          <cell r="B3474" t="str">
            <v>6.35KG 14 LB FOR HFC227 EMPTY KIT FM-200</v>
          </cell>
        </row>
        <row r="3475">
          <cell r="A3475" t="str">
            <v>ROTA-B07014513</v>
          </cell>
          <cell r="B3475" t="str">
            <v>3.18KG - 7LB / VL ILP / HFC227 FM-200 FILLED INDIRECT</v>
          </cell>
        </row>
        <row r="3476">
          <cell r="A3476" t="str">
            <v>ROTA-B07014514</v>
          </cell>
          <cell r="B3476" t="str">
            <v>1.36KG - 3LB / VL ILP / FM-200 FILLED INDIRECT</v>
          </cell>
        </row>
        <row r="3477">
          <cell r="A3477" t="str">
            <v>ROTA-B07014526</v>
          </cell>
          <cell r="B3477" t="str">
            <v>6.35KG 14 LB FOR HFC227 EMPTY KIT NOVEC</v>
          </cell>
        </row>
        <row r="3478">
          <cell r="A3478" t="str">
            <v>ROTA-B07502000</v>
          </cell>
          <cell r="B3478" t="str">
            <v>FIREDETEC SENSOR TUBE FILLING KIT DHP / CYL CE 2.7L N2</v>
          </cell>
        </row>
        <row r="3479">
          <cell r="A3479" t="str">
            <v>ROTA-B07502002</v>
          </cell>
          <cell r="B3479" t="str">
            <v>SENSOR TUBE DEMO KIT IHP KIT, N2 LUX</v>
          </cell>
        </row>
        <row r="3480">
          <cell r="A3480" t="str">
            <v>ROTA-B07502003</v>
          </cell>
          <cell r="B3480" t="str">
            <v>Cylinder 5kg System CO2 Direct (Euro)</v>
          </cell>
        </row>
        <row r="3481">
          <cell r="A3481" t="str">
            <v>ROTA-B07502501</v>
          </cell>
          <cell r="B3481" t="str">
            <v>SYSTEM DHP / CYL. CE / 2KG / CO2 / FILLED</v>
          </cell>
        </row>
        <row r="3482">
          <cell r="A3482" t="str">
            <v>ROTA-B07502503</v>
          </cell>
          <cell r="B3482" t="str">
            <v>SYSTEM DHP / CYL. CE / 5KG / CO2 / FILLED</v>
          </cell>
        </row>
        <row r="3483">
          <cell r="A3483" t="str">
            <v>ROTA-B07504500</v>
          </cell>
          <cell r="B3483" t="str">
            <v>System IHP/Cyl. CE/E. Cabinet/5 kg/CO2/Filled</v>
          </cell>
        </row>
        <row r="3484">
          <cell r="A3484" t="str">
            <v>ROTA-B07504504</v>
          </cell>
          <cell r="B3484" t="str">
            <v>SYSTEM IHP / CYL. CE / E CABINET / 10KG / CO2 / FILLED</v>
          </cell>
        </row>
        <row r="3485">
          <cell r="A3485" t="str">
            <v>ROTA-B07506004</v>
          </cell>
          <cell r="B3485" t="str">
            <v>VL ILP / 3.17 kg-7 lb / 1 noz / HFC-227 KIT</v>
          </cell>
        </row>
        <row r="3486">
          <cell r="A3486" t="str">
            <v>ROTA-B07506005</v>
          </cell>
          <cell r="B3486" t="str">
            <v xml:space="preserve">System ILP / Cyl. CE /  E.Cabinet / 6,35kg-14lb / 1 noz. / </v>
          </cell>
        </row>
        <row r="3487">
          <cell r="A3487" t="str">
            <v>ROTA-B07507004</v>
          </cell>
          <cell r="B3487" t="str">
            <v>1.36KG HFC227 ALL PURPOSE DIRECT KIT</v>
          </cell>
        </row>
        <row r="3488">
          <cell r="A3488" t="str">
            <v>ROTA-B07507005</v>
          </cell>
          <cell r="B3488" t="str">
            <v xml:space="preserve">FDT - System DLP / Cyl. CE / 3,17kg-7lb / HFC-227 / empty   </v>
          </cell>
        </row>
        <row r="3489">
          <cell r="A3489" t="str">
            <v>ROTA-B07507007</v>
          </cell>
          <cell r="B3489" t="str">
            <v>3.18KG HFC227 ALL PURPOSE DIRECT KIT</v>
          </cell>
        </row>
        <row r="3490">
          <cell r="A3490" t="str">
            <v>ROTA-B07800002</v>
          </cell>
          <cell r="B3490" t="str">
            <v>FIREDETEC TUBING 328 PIES (1 CARRETE)</v>
          </cell>
        </row>
        <row r="3491">
          <cell r="A3491" t="str">
            <v>ROTA-B07800002 MTS</v>
          </cell>
          <cell r="B3491" t="str">
            <v>FIREDETEC TUBING, RED PER FOOT (PIES)</v>
          </cell>
        </row>
        <row r="3492">
          <cell r="A3492" t="str">
            <v>ROTA-B07800015</v>
          </cell>
          <cell r="B3492" t="str">
            <v>FireDETEC - sensor tubing / Ø6X1 / (1bolsa= Largo 10Mts)</v>
          </cell>
        </row>
        <row r="3493">
          <cell r="A3493" t="str">
            <v>ROTA-B07800017</v>
          </cell>
          <cell r="B3493" t="str">
            <v>RED TUBING 25 FEET</v>
          </cell>
        </row>
        <row r="3494">
          <cell r="A3494" t="str">
            <v>ROTA-B07800018</v>
          </cell>
          <cell r="B3494" t="str">
            <v>RED TUBING 50 FEET</v>
          </cell>
        </row>
        <row r="3495">
          <cell r="A3495" t="str">
            <v>ROTA-B07800019</v>
          </cell>
          <cell r="B3495" t="str">
            <v>RED TUBING 10 MTS.</v>
          </cell>
        </row>
        <row r="3496">
          <cell r="A3496" t="str">
            <v>ROTA-B07810005</v>
          </cell>
          <cell r="B3496" t="str">
            <v>FILLING ADAPTER</v>
          </cell>
        </row>
        <row r="3497">
          <cell r="A3497" t="str">
            <v>ROTA-B07810026</v>
          </cell>
          <cell r="B3497" t="str">
            <v>END OF LINE ADAPTER</v>
          </cell>
        </row>
        <row r="3498">
          <cell r="A3498" t="str">
            <v>ROTA-B07830005</v>
          </cell>
          <cell r="B3498" t="str">
            <v>THROUGH-PANEL FASTENER / 06 /PA</v>
          </cell>
        </row>
        <row r="3499">
          <cell r="A3499" t="str">
            <v>ROTA-B07831006</v>
          </cell>
          <cell r="B3499" t="str">
            <v>QUICK CONNECTION / ELBOW / 06 / BRASS NP / EPDM</v>
          </cell>
        </row>
        <row r="3500">
          <cell r="A3500" t="str">
            <v>ROTA-B07831007</v>
          </cell>
          <cell r="B3500" t="str">
            <v>TEE DE CONECCION</v>
          </cell>
        </row>
        <row r="3501">
          <cell r="A3501" t="str">
            <v>ROTA-B07850046</v>
          </cell>
          <cell r="B3501" t="str">
            <v>PRESSURE SWITCH MANIFOLD/5/NPUTS</v>
          </cell>
        </row>
        <row r="3502">
          <cell r="A3502" t="str">
            <v>ROTA-B07860001</v>
          </cell>
          <cell r="B3502" t="str">
            <v>THROUGH PANEL PROTECTOR</v>
          </cell>
        </row>
        <row r="3503">
          <cell r="A3503" t="str">
            <v>ROTA-B07860005</v>
          </cell>
          <cell r="B3503" t="str">
            <v>SELF ADHESIVE CABLE BINDING TIE FOR SENSOR TUBE ATTACHMENT</v>
          </cell>
        </row>
        <row r="3504">
          <cell r="A3504" t="str">
            <v>ROTA-B09026001</v>
          </cell>
          <cell r="B3504" t="str">
            <v xml:space="preserve">FDT- System Compact Line Engine / TPED / 7L / empty / agen  </v>
          </cell>
        </row>
        <row r="3505">
          <cell r="A3505" t="str">
            <v>ROTA-B7507005</v>
          </cell>
          <cell r="B3505" t="str">
            <v>3.18KG HFC227 ALL PURPOSE DIRECT KIT</v>
          </cell>
        </row>
        <row r="3506">
          <cell r="A3506" t="str">
            <v>ROTA-SUMINISTROS</v>
          </cell>
          <cell r="B3506" t="str">
            <v>SUMINISTROS PROD. FIREDETEC</v>
          </cell>
        </row>
        <row r="3507">
          <cell r="A3507" t="str">
            <v>SDFGFDGDF</v>
          </cell>
          <cell r="B3507" t="str">
            <v xml:space="preserve">RED CN GV/GV UL/FM 2X 1 </v>
          </cell>
        </row>
        <row r="3508">
          <cell r="A3508" t="str">
            <v>SEAL-454703ARE</v>
          </cell>
          <cell r="B3508" t="str">
            <v>2 X 18 AWG SOLID UNSHIELDED CMR/FPLR RED (SIN)</v>
          </cell>
        </row>
        <row r="3509">
          <cell r="A3509" t="str">
            <v>SEAL-454703UNH</v>
          </cell>
          <cell r="B3509" t="str">
            <v>2 X 18 AWG SOLID Sin Blindaje 305mts Libre HALOGENO</v>
          </cell>
        </row>
        <row r="3510">
          <cell r="A3510" t="str">
            <v>SEAL-454718ARE</v>
          </cell>
          <cell r="B3510" t="str">
            <v>2 X 14 AWG SOLID sin blindaje CMR / FPLR RED (SIN) (305 MTS.</v>
          </cell>
        </row>
        <row r="3511">
          <cell r="A3511" t="str">
            <v>SEAL-454718UNH</v>
          </cell>
          <cell r="B3511" t="str">
            <v>2 X 14 AWG SOLID Sin Blindaje 305mts Libre HALOGENO UL</v>
          </cell>
        </row>
        <row r="3512">
          <cell r="A3512" t="str">
            <v>SEAL-454722ARE</v>
          </cell>
          <cell r="B3512" t="str">
            <v>2 X 18 AWG SOLID SHIELDED CMR/FPLR RED (CON)</v>
          </cell>
        </row>
        <row r="3513">
          <cell r="A3513" t="str">
            <v>SEAL-454722SNH</v>
          </cell>
          <cell r="B3513" t="str">
            <v>2 X 18 AWG SOLID Con Blindaje 305mts Libre HALOGENO</v>
          </cell>
        </row>
        <row r="3514">
          <cell r="A3514" t="str">
            <v>SEAL-454726ARE</v>
          </cell>
          <cell r="B3514" t="str">
            <v>2 X 14 AWG SOLID BLINDADO CMR / FPLR ROJO (CON) (305 mts.)</v>
          </cell>
        </row>
        <row r="3515">
          <cell r="A3515" t="str">
            <v>SEAL-454726SNH</v>
          </cell>
          <cell r="B3515" t="str">
            <v>2 X 14 AWG SOLID Con Blindaje 305mts Libre HALOGENO</v>
          </cell>
        </row>
        <row r="3516">
          <cell r="A3516" t="str">
            <v>SEAL-454731ARE</v>
          </cell>
          <cell r="B3516" t="str">
            <v>2 X 16 AWG SOLID UNSHIELDED CMR/FPLR RED (SIN)</v>
          </cell>
        </row>
        <row r="3517">
          <cell r="A3517" t="str">
            <v>SEAL-454731UNH</v>
          </cell>
          <cell r="B3517" t="str">
            <v>2 X 16 AWG SOLID Sin Blindaje 305mts Libre HALOGENO</v>
          </cell>
        </row>
        <row r="3518">
          <cell r="A3518" t="str">
            <v>SEAL-454736ARE</v>
          </cell>
          <cell r="B3518" t="str">
            <v>2 X 16 AWG SOLID SHIELDED CMR/FPLR RED (CON)</v>
          </cell>
        </row>
        <row r="3519">
          <cell r="A3519" t="str">
            <v>SEAL-454736SNH</v>
          </cell>
          <cell r="B3519" t="str">
            <v>2 X 16 AWG SOLID Con Blindaje 305mts Libre HALOGENO</v>
          </cell>
        </row>
        <row r="3520">
          <cell r="A3520" t="str">
            <v>SEAL-454932AYW</v>
          </cell>
          <cell r="B3520" t="str">
            <v xml:space="preserve">CARD ACC COMP SHLD 18/6, 18/4, 22/4 &amp; 16/2 CMP REEL </v>
          </cell>
        </row>
        <row r="3521">
          <cell r="A3521" t="str">
            <v>SEAL-AE0510-000</v>
          </cell>
          <cell r="B3521" t="str">
            <v xml:space="preserve">PAR TRENZ.N18 S/BLINL/HALOGENO </v>
          </cell>
        </row>
        <row r="3522">
          <cell r="A3522" t="str">
            <v>SEAL-AE0520-000</v>
          </cell>
          <cell r="B3522" t="str">
            <v xml:space="preserve">PAR TRENZ.N16 S/BLINL/HALOGENO </v>
          </cell>
        </row>
        <row r="3523">
          <cell r="A3523" t="str">
            <v>SEAL-AL0510-000</v>
          </cell>
          <cell r="B3523" t="str">
            <v xml:space="preserve">PAR TRENZADO Nº18 SIN BLINDAJE </v>
          </cell>
        </row>
        <row r="3524">
          <cell r="A3524" t="str">
            <v>SEAL-AL0520-000</v>
          </cell>
          <cell r="B3524" t="str">
            <v xml:space="preserve">PAR TRENZADO Nº16 SIN BLINDAJE </v>
          </cell>
        </row>
        <row r="3525">
          <cell r="A3525" t="str">
            <v>SEAL-AL5100-000</v>
          </cell>
          <cell r="B3525" t="str">
            <v xml:space="preserve">PAR TRENZADO Nº18 CON BLINDAJE </v>
          </cell>
        </row>
        <row r="3526">
          <cell r="A3526" t="str">
            <v>SEAL-AL5200-000</v>
          </cell>
          <cell r="B3526" t="str">
            <v xml:space="preserve">PAR TRENZADO Nº16 CON BLINDAJE </v>
          </cell>
        </row>
        <row r="3527">
          <cell r="A3527" t="str">
            <v>SEAL-BDN305-FPLR</v>
          </cell>
          <cell r="B3527" t="str">
            <v>PAR TRENZADO 2X18 CON BLINDAJE</v>
          </cell>
        </row>
        <row r="3528">
          <cell r="A3528" t="str">
            <v>SEAL-BND2X16-CP</v>
          </cell>
          <cell r="B3528" t="str">
            <v>PAR TRENZADO N° 16 CON PANTALLA 305 MT FPLR</v>
          </cell>
        </row>
        <row r="3529">
          <cell r="A3529" t="str">
            <v>SEAL-BND2X16-SP</v>
          </cell>
          <cell r="B3529" t="str">
            <v>PAR TRENZADO N° 16 SIN PANTALLA 305 MT FPLR</v>
          </cell>
        </row>
        <row r="3530">
          <cell r="A3530" t="str">
            <v>SEAL-BND2X18-CP</v>
          </cell>
          <cell r="B3530" t="str">
            <v>PAR TRENZADO N° 18 CON PANTALLA 305 MT FPLR</v>
          </cell>
        </row>
        <row r="3531">
          <cell r="A3531" t="str">
            <v>SEAL-BND2X18-SP</v>
          </cell>
          <cell r="B3531" t="str">
            <v>PAR TRENZADO N° 18 SIN PANTALLA 305 MT FPLR</v>
          </cell>
        </row>
        <row r="3532">
          <cell r="A3532" t="str">
            <v>SEAL-CCI2X16-FPLR</v>
          </cell>
          <cell r="B3532" t="str">
            <v>2 X 16 AWG FPLR SHIELED</v>
          </cell>
        </row>
        <row r="3533">
          <cell r="A3533" t="str">
            <v>SEAL-CCI2X18-FPLR</v>
          </cell>
          <cell r="B3533" t="str">
            <v xml:space="preserve">2 X 18 AWG FPLR UNSHIELED </v>
          </cell>
        </row>
        <row r="3534">
          <cell r="A3534" t="str">
            <v>SEAL-I0604016</v>
          </cell>
          <cell r="B3534" t="str">
            <v>CONECTOR P/PARTIDO</v>
          </cell>
        </row>
        <row r="3535">
          <cell r="A3535" t="str">
            <v>SEAL-N0134001</v>
          </cell>
          <cell r="B3535" t="str">
            <v>CABLE DESNUDO #2/0 AWG 19 HEBRAS</v>
          </cell>
        </row>
        <row r="3536">
          <cell r="A3536" t="str">
            <v>SEAL-TX6000</v>
          </cell>
          <cell r="B3536" t="str">
            <v xml:space="preserve">CABLE UTP CAT.6 UNIFILAR AZUL - PANDUIT 23 AWG TX6000. </v>
          </cell>
        </row>
        <row r="3537">
          <cell r="A3537" t="str">
            <v>SEAP-A1012A</v>
          </cell>
          <cell r="B3537" t="str">
            <v xml:space="preserve">POWER CONVERTER </v>
          </cell>
        </row>
        <row r="3538">
          <cell r="A3538" t="str">
            <v>SEAP-A1203A</v>
          </cell>
          <cell r="B3538" t="str">
            <v>POWER SUPPLY FOR INPUT/OUTPUT</v>
          </cell>
        </row>
        <row r="3539">
          <cell r="A3539" t="str">
            <v>SEAP-A1215A</v>
          </cell>
          <cell r="B3539" t="str">
            <v>SENSOR CABLE HEATING TESTING TOOL</v>
          </cell>
        </row>
        <row r="3540">
          <cell r="A3540" t="str">
            <v>SEAP-C1000A</v>
          </cell>
          <cell r="B3540" t="str">
            <v>DTS CONFIGURATOR</v>
          </cell>
        </row>
        <row r="3541">
          <cell r="A3541" t="str">
            <v>SEAP-C1021A</v>
          </cell>
          <cell r="B3541" t="str">
            <v>SMARTVISION FIRE</v>
          </cell>
        </row>
        <row r="3542">
          <cell r="A3542" t="str">
            <v>SEAP-N4387B-002</v>
          </cell>
          <cell r="B3542" t="str">
            <v>LINEAR HEAT DETECTION SYSTEM DTS</v>
          </cell>
        </row>
        <row r="3543">
          <cell r="A3543" t="str">
            <v>SEAP-N4387B-051</v>
          </cell>
          <cell r="B3543" t="str">
            <v>INTEGRATED RELAY BOARD</v>
          </cell>
        </row>
        <row r="3544">
          <cell r="A3544" t="str">
            <v>SEAP--N4387B-060</v>
          </cell>
          <cell r="B3544" t="str">
            <v>INTEGRATED MODBUS TCP/IP INTERFACE</v>
          </cell>
        </row>
        <row r="3545">
          <cell r="A3545" t="str">
            <v>SEAP-N4387B-200</v>
          </cell>
          <cell r="B3545" t="str">
            <v>2 SENSOR CHANNELS</v>
          </cell>
        </row>
        <row r="3546">
          <cell r="A3546" t="str">
            <v>SEAP-N438XX-HW2D</v>
          </cell>
          <cell r="B3546" t="str">
            <v>OUTDOOR HOUSING - IP66 STD. DISPLAY</v>
          </cell>
        </row>
        <row r="3547">
          <cell r="A3547" t="str">
            <v>SEAP-S2000A</v>
          </cell>
          <cell r="B3547" t="str">
            <v>SENSOR CABLE - SAFETY FRNC (m)</v>
          </cell>
        </row>
        <row r="3548">
          <cell r="A3548" t="str">
            <v>SEAP-S2000A-999</v>
          </cell>
          <cell r="B3548" t="str">
            <v>CABLE DRUM</v>
          </cell>
        </row>
        <row r="3549">
          <cell r="A3549" t="str">
            <v>SEAP-S2006A</v>
          </cell>
          <cell r="B3549" t="str">
            <v>E2000 8º APC PIGTAIL</v>
          </cell>
        </row>
        <row r="3550">
          <cell r="A3550" t="str">
            <v>SECA-2000ASB-00</v>
          </cell>
          <cell r="B3550" t="str">
            <v xml:space="preserve">SA-2000-II ASSEMBLY </v>
          </cell>
        </row>
        <row r="3551">
          <cell r="A3551" t="str">
            <v>SECA-2000ASBIV0</v>
          </cell>
          <cell r="B3551" t="str">
            <v xml:space="preserve">SA-2000-IV ASSEMBLY </v>
          </cell>
        </row>
        <row r="3552">
          <cell r="A3552" t="str">
            <v>SECA-2000-CNV-0</v>
          </cell>
          <cell r="B3552" t="str">
            <v xml:space="preserve">RS-232/RS-422 CONVERTER </v>
          </cell>
        </row>
        <row r="3553">
          <cell r="A3553" t="str">
            <v>SECA-25S-000000</v>
          </cell>
          <cell r="B3553" t="str">
            <v xml:space="preserve">TESTER DETECTOR HUMO </v>
          </cell>
        </row>
        <row r="3554">
          <cell r="A3554" t="str">
            <v>SECA-DS-100-000</v>
          </cell>
          <cell r="B3554" t="str">
            <v xml:space="preserve">DOOR STRIKE FAIL-SECURE </v>
          </cell>
        </row>
        <row r="3555">
          <cell r="A3555" t="str">
            <v>SECA-DS-101-000</v>
          </cell>
          <cell r="B3555" t="str">
            <v xml:space="preserve">DOOR STRIKE FAIL-SAFE </v>
          </cell>
        </row>
        <row r="3556">
          <cell r="A3556" t="str">
            <v>SECA-FSD-751LP1</v>
          </cell>
          <cell r="B3556" t="str">
            <v xml:space="preserve">DETECTOR DE DUCTO </v>
          </cell>
        </row>
        <row r="3557">
          <cell r="A3557" t="str">
            <v>SECA-FSL-851-00</v>
          </cell>
          <cell r="B3557" t="str">
            <v xml:space="preserve">DETECTOR LASER INTELIGENTE </v>
          </cell>
        </row>
        <row r="3558">
          <cell r="A3558" t="str">
            <v>SECA-GD1SPCPROI</v>
          </cell>
          <cell r="B3558" t="str">
            <v xml:space="preserve">DETECTOR DE GAS DE PROPANO </v>
          </cell>
        </row>
        <row r="3559">
          <cell r="A3559" t="str">
            <v>SECA-IS2535-000</v>
          </cell>
          <cell r="B3559" t="str">
            <v>DETECTOR DE MOVIMIENTO 300 SMR</v>
          </cell>
        </row>
        <row r="3560">
          <cell r="A3560" t="str">
            <v>SECA-ML-300-SMR</v>
          </cell>
          <cell r="B3560" t="str">
            <v xml:space="preserve">MAGNETIC LOCK 300 LIBRAS </v>
          </cell>
        </row>
        <row r="3561">
          <cell r="A3561" t="str">
            <v>SECA-ML600/SHEA</v>
          </cell>
          <cell r="B3561" t="str">
            <v xml:space="preserve">MAGNETIC LOCK OF CEILING </v>
          </cell>
        </row>
        <row r="3562">
          <cell r="A3562" t="str">
            <v>SECA-ML600/SMR</v>
          </cell>
          <cell r="B3562" t="str">
            <v xml:space="preserve">MAGNETIC LOCK 600 LIBRAS </v>
          </cell>
        </row>
        <row r="3563">
          <cell r="A3563" t="str">
            <v>SECA-NBAC-0106L</v>
          </cell>
          <cell r="B3563" t="str">
            <v xml:space="preserve">CABLE DE EXTENCION PARA SENSOR </v>
          </cell>
        </row>
        <row r="3564">
          <cell r="A3564" t="str">
            <v>SECA-NBDC000001</v>
          </cell>
          <cell r="B3564" t="str">
            <v xml:space="preserve">CABLE PARA APC NETBOLTZ </v>
          </cell>
        </row>
        <row r="3565">
          <cell r="A3565" t="str">
            <v>SECA-NBDC000002</v>
          </cell>
          <cell r="B3565" t="str">
            <v xml:space="preserve">SWITCH DE PUERTA </v>
          </cell>
        </row>
        <row r="3566">
          <cell r="A3566" t="str">
            <v>SECA-NBFD01000B</v>
          </cell>
          <cell r="B3566" t="str">
            <v xml:space="preserve">SENSOR DE FLUIDOS APC NETBOLTZ </v>
          </cell>
        </row>
        <row r="3567">
          <cell r="A3567" t="str">
            <v>SECA-NBHS010000</v>
          </cell>
          <cell r="B3567" t="str">
            <v xml:space="preserve">SENSOR DE HUMEDAD APC NETBOLTZ </v>
          </cell>
        </row>
        <row r="3568">
          <cell r="A3568" t="str">
            <v>SECA-NBTS010000</v>
          </cell>
          <cell r="B3568" t="str">
            <v xml:space="preserve">SENSOR DE TEMPERATURA APC NETB </v>
          </cell>
        </row>
        <row r="3569">
          <cell r="A3569" t="str">
            <v>SECA-NBWL050000</v>
          </cell>
          <cell r="B3569" t="str">
            <v xml:space="preserve">CAMARA NETBOLTZ </v>
          </cell>
        </row>
        <row r="3570">
          <cell r="A3570" t="str">
            <v>SECA-N-CAC-5X-0</v>
          </cell>
          <cell r="B3570" t="str">
            <v xml:space="preserve">CONVERTIDOR </v>
          </cell>
        </row>
        <row r="3571">
          <cell r="A3571" t="str">
            <v>SECA-NC-BATT-8V</v>
          </cell>
          <cell r="B3571" t="str">
            <v xml:space="preserve">BATTERY DE 8 VOLT. </v>
          </cell>
        </row>
        <row r="3572">
          <cell r="A3572" t="str">
            <v>SECA-PI-RW400-0</v>
          </cell>
          <cell r="B3572" t="str">
            <v xml:space="preserve">LECTORES DE PROXIMIDAD </v>
          </cell>
        </row>
        <row r="3573">
          <cell r="A3573" t="str">
            <v>SECA-PI-RWK-400</v>
          </cell>
          <cell r="B3573" t="str">
            <v xml:space="preserve">LECTORES DE PROXIMIDAD KEYPAD </v>
          </cell>
        </row>
        <row r="3574">
          <cell r="A3574" t="str">
            <v>SECA-PR-PROX-PR</v>
          </cell>
          <cell r="B3574" t="str">
            <v>LECTOR DE PROXIMIDAD SERIAL PVC</v>
          </cell>
        </row>
        <row r="3575">
          <cell r="A3575" t="str">
            <v>SECA-PVC-H-1-00</v>
          </cell>
          <cell r="B3575" t="str">
            <v xml:space="preserve">TARJETA DE PROXIMIDAD ISO </v>
          </cell>
        </row>
        <row r="3576">
          <cell r="A3576" t="str">
            <v>SECA-PX-4-H-000</v>
          </cell>
          <cell r="B3576" t="str">
            <v xml:space="preserve">PROXIMITY CARD 34 BIT </v>
          </cell>
        </row>
        <row r="3577">
          <cell r="A3577" t="str">
            <v>SECA-PX-A-1-000</v>
          </cell>
          <cell r="B3577" t="str">
            <v xml:space="preserve">PROXIMITY CARD 26 BIT </v>
          </cell>
        </row>
        <row r="3578">
          <cell r="A3578" t="str">
            <v>SECA-PX-A-1-37-</v>
          </cell>
          <cell r="B3578" t="str">
            <v xml:space="preserve">PROXIMITY CARD 37 BIT </v>
          </cell>
        </row>
        <row r="3579">
          <cell r="A3579" t="str">
            <v>SECA-PX-H-1-000</v>
          </cell>
          <cell r="B3579" t="str">
            <v xml:space="preserve">PROXIMITY CARD II </v>
          </cell>
        </row>
        <row r="3580">
          <cell r="A3580" t="str">
            <v>SECA-PX-MIF1430</v>
          </cell>
          <cell r="B3580" t="str">
            <v xml:space="preserve">TARJETA DE PROXIMIDAD MIFARE </v>
          </cell>
        </row>
        <row r="3581">
          <cell r="A3581" t="str">
            <v>SECA-S-1-000000</v>
          </cell>
          <cell r="B3581" t="str">
            <v xml:space="preserve">KIT SUPRESOR DE RUIDO </v>
          </cell>
        </row>
        <row r="3582">
          <cell r="A3582" t="str">
            <v>SECA-SA-10-0000</v>
          </cell>
          <cell r="B3582" t="str">
            <v xml:space="preserve">PROXIMITY READER MULLION </v>
          </cell>
        </row>
        <row r="3583">
          <cell r="A3583" t="str">
            <v>SECA-SA-DB-1-00</v>
          </cell>
          <cell r="B3583" t="str">
            <v xml:space="preserve">ELECTRIC BOLT W/LOCK &amp; DOOR </v>
          </cell>
        </row>
        <row r="3584">
          <cell r="A3584" t="str">
            <v>SECA-SA-DC-110-</v>
          </cell>
          <cell r="B3584" t="str">
            <v>CHAPA MAGNETICA DS-110</v>
          </cell>
        </row>
        <row r="3585">
          <cell r="A3585" t="str">
            <v>SECA-SA-DS-100</v>
          </cell>
          <cell r="B3585" t="str">
            <v>CHAPA MAGNETICA DS 100</v>
          </cell>
        </row>
        <row r="3586">
          <cell r="A3586" t="str">
            <v>SECA-SA-DS-110</v>
          </cell>
          <cell r="B3586" t="str">
            <v>CHAPA MAGNETICA (INACTIVO)</v>
          </cell>
        </row>
        <row r="3587">
          <cell r="A3587" t="str">
            <v>SECA-SA-LP-1-5-</v>
          </cell>
          <cell r="B3587" t="str">
            <v xml:space="preserve">FUENTE ALIMENTACION 1.5 AMPERE </v>
          </cell>
        </row>
        <row r="3588">
          <cell r="A3588" t="str">
            <v>SECA-SA-MD-1-G-</v>
          </cell>
          <cell r="B3588" t="str">
            <v xml:space="preserve">REQUEST TO EXIT SNSR </v>
          </cell>
        </row>
        <row r="3589">
          <cell r="A3589" t="str">
            <v>SECA-SAPRO-U1-0</v>
          </cell>
          <cell r="B3589" t="str">
            <v xml:space="preserve">SAPRO ACCESS CONTROL SOFTWARE </v>
          </cell>
        </row>
        <row r="3590">
          <cell r="A3590" t="str">
            <v>SECA-SA-RTE-1-0</v>
          </cell>
          <cell r="B3590" t="str">
            <v xml:space="preserve">REQUEST TO EXIT BUTTON </v>
          </cell>
        </row>
        <row r="3591">
          <cell r="A3591" t="str">
            <v>SECA-SA-RTE-7-0</v>
          </cell>
          <cell r="B3591" t="str">
            <v xml:space="preserve">PUSHBUTTON 2SQUARE GREEN </v>
          </cell>
        </row>
        <row r="3592">
          <cell r="A3592" t="str">
            <v>SECA-SA-TINY-00</v>
          </cell>
          <cell r="B3592" t="str">
            <v>LECTOR DE PROXIMIDAD SERIAL</v>
          </cell>
        </row>
        <row r="3593">
          <cell r="A3593" t="str">
            <v>SECA-SA-WRO-1-0</v>
          </cell>
          <cell r="B3593" t="str">
            <v xml:space="preserve">RECEPTOR INALAMBRICO </v>
          </cell>
        </row>
        <row r="3594">
          <cell r="A3594" t="str">
            <v>SECA-SA-WT-2-00</v>
          </cell>
          <cell r="B3594" t="str">
            <v xml:space="preserve">TRANSMISOR INALAMBRICO </v>
          </cell>
        </row>
        <row r="3595">
          <cell r="A3595" t="str">
            <v>SECA-SS5601P-00</v>
          </cell>
          <cell r="B3595" t="str">
            <v>DETECTOR TERMICO CONVENCIONAL10</v>
          </cell>
        </row>
        <row r="3596">
          <cell r="A3596" t="str">
            <v>SECA-SS5601P-000</v>
          </cell>
          <cell r="B3596" t="str">
            <v>( INACTIVO )</v>
          </cell>
        </row>
        <row r="3597">
          <cell r="A3597" t="str">
            <v>SECA-ST-10-0000</v>
          </cell>
          <cell r="B3597" t="str">
            <v xml:space="preserve">TUBO DE DETECTOR DE DUCTO </v>
          </cell>
        </row>
        <row r="3598">
          <cell r="A3598" t="str">
            <v>SECA-STACC2000-</v>
          </cell>
          <cell r="B3598" t="str">
            <v xml:space="preserve">STAR ACCESS 2000 SOFTWARE </v>
          </cell>
        </row>
        <row r="3599">
          <cell r="A3599" t="str">
            <v>SECA-TCPIP-1-00</v>
          </cell>
          <cell r="B3599" t="str">
            <v xml:space="preserve">SERIAL TCPIP SERVER </v>
          </cell>
        </row>
        <row r="3600">
          <cell r="A3600" t="str">
            <v>SECA-USB-CNV-00</v>
          </cell>
          <cell r="B3600" t="str">
            <v xml:space="preserve">RS-485/RS-422 NETWORK </v>
          </cell>
        </row>
        <row r="3601">
          <cell r="A3601" t="str">
            <v>SECA-WIN-000000</v>
          </cell>
          <cell r="B3601" t="str">
            <v xml:space="preserve">SOFTWARE WIN-PACK </v>
          </cell>
        </row>
        <row r="3602">
          <cell r="A3602" t="str">
            <v>SECA-WPSE-00000</v>
          </cell>
          <cell r="B3602" t="str">
            <v xml:space="preserve">SOFTWARE WIN PAK SE </v>
          </cell>
        </row>
        <row r="3603">
          <cell r="A3603" t="str">
            <v>SECA-X-1-000000</v>
          </cell>
          <cell r="B3603" t="str">
            <v xml:space="preserve">TRANSFORME STARACCESS </v>
          </cell>
        </row>
        <row r="3604">
          <cell r="A3604" t="str">
            <v>SEDI-10702-00</v>
          </cell>
          <cell r="B3604" t="str">
            <v>ETIQUETA PARA PUNTO DE MUESTREO (152 X ROLLO)</v>
          </cell>
        </row>
        <row r="3605">
          <cell r="A3605" t="str">
            <v>SEDI-10703-00</v>
          </cell>
          <cell r="B3605" t="str">
            <v>ETIQUETA PARA TUBERIA (152 X ROLLO)</v>
          </cell>
        </row>
        <row r="3606">
          <cell r="A3606" t="str">
            <v>SEDI-1134-25MA-</v>
          </cell>
          <cell r="B3606" t="str">
            <v>UNIT TO PIPE ADAPTOR SAFE1134-25MA</v>
          </cell>
        </row>
        <row r="3607">
          <cell r="A3607" t="str">
            <v>SEDI-1134-25MA0</v>
          </cell>
          <cell r="B3607" t="str">
            <v>( INACTIVO )</v>
          </cell>
        </row>
        <row r="3608">
          <cell r="A3608" t="str">
            <v>SEDI-1134-25MA-C3/4</v>
          </cell>
          <cell r="B3608" t="str">
            <v>ADAPTADOR SISTEMA DE ASPIRACION CON COPLA 3/4</v>
          </cell>
        </row>
        <row r="3609">
          <cell r="A3609" t="str">
            <v>SEDI-3726869A-000000</v>
          </cell>
          <cell r="B3609" t="str">
            <v>WATER BOTTLE</v>
          </cell>
        </row>
        <row r="3610">
          <cell r="A3610" t="str">
            <v>SEDI-5141046</v>
          </cell>
          <cell r="B3610" t="str">
            <v xml:space="preserve">PARTES Y PIEZAS PRO100 </v>
          </cell>
        </row>
        <row r="3611">
          <cell r="A3611" t="str">
            <v>SEDI-5141652-00</v>
          </cell>
          <cell r="B3611" t="str">
            <v>CLOUD CHAMBER FILTER SAFE5141652</v>
          </cell>
        </row>
        <row r="3612">
          <cell r="A3612" t="str">
            <v>SEDI-5141652-0000</v>
          </cell>
          <cell r="B3612" t="str">
            <v>CLOUD CHAMBER FILTER SAFE5141652</v>
          </cell>
        </row>
        <row r="3613">
          <cell r="A3613" t="str">
            <v>SEDI-5142157A-0</v>
          </cell>
          <cell r="B3613" t="str">
            <v>ROTARY VACUUM PUMP ASSEMBLY SAFE5142157A</v>
          </cell>
        </row>
        <row r="3614">
          <cell r="A3614" t="str">
            <v>SEDI-6198696-00</v>
          </cell>
          <cell r="B3614" t="str">
            <v>TCP/IP NETWORK CARD SAFE6198696</v>
          </cell>
        </row>
        <row r="3615">
          <cell r="A3615" t="str">
            <v>SEDI-AS1140</v>
          </cell>
          <cell r="B3615" t="str">
            <v>LIGHT SCATTERING SENSOR AND BASE</v>
          </cell>
        </row>
        <row r="3616">
          <cell r="A3616" t="str">
            <v>SEDI-ASD720-000</v>
          </cell>
          <cell r="B3616" t="str">
            <v>ASPIRATING SMOKE DETECTOR SAFEASD720</v>
          </cell>
        </row>
        <row r="3617">
          <cell r="A3617" t="str">
            <v>SEDI-FA0157P04-00000</v>
          </cell>
          <cell r="B3617" t="str">
            <v>SAMPLE LINE &amp; WATER FILL TUBING</v>
          </cell>
        </row>
        <row r="3618">
          <cell r="A3618" t="str">
            <v>SEDI-FA0157P10-0000</v>
          </cell>
          <cell r="B3618" t="str">
            <v>WATER LINE FITTING</v>
          </cell>
        </row>
        <row r="3619">
          <cell r="A3619" t="str">
            <v>SEDI-FA0157P11-0000</v>
          </cell>
          <cell r="B3619" t="str">
            <v>WATER BOTTLE FITTING LOCK NUT</v>
          </cell>
        </row>
        <row r="3620">
          <cell r="A3620" t="str">
            <v>SEDI-FA0157P19</v>
          </cell>
          <cell r="B3620" t="str">
            <v>WATER BOTTLE FITTING</v>
          </cell>
        </row>
        <row r="3621">
          <cell r="A3621" t="str">
            <v>SEDI-FUENTEPODE</v>
          </cell>
          <cell r="B3621" t="str">
            <v>FUENTE PODER AL300ULEX-220</v>
          </cell>
        </row>
        <row r="3622">
          <cell r="A3622" t="str">
            <v>SEDI-GD1400</v>
          </cell>
          <cell r="B3622" t="str">
            <v>Ammonia Inline Detector</v>
          </cell>
        </row>
        <row r="3623">
          <cell r="A3623" t="str">
            <v>SEDI-INSUMOSINS</v>
          </cell>
          <cell r="B3623" t="str">
            <v>inactivo</v>
          </cell>
        </row>
        <row r="3624">
          <cell r="A3624" t="str">
            <v>SEDI-PRO100-000</v>
          </cell>
          <cell r="B3624" t="str">
            <v xml:space="preserve">PANEL SAFE PRO100 MINI UL/FM </v>
          </cell>
        </row>
        <row r="3625">
          <cell r="A3625" t="str">
            <v>SEDI-PRO200+000</v>
          </cell>
          <cell r="B3625" t="str">
            <v>INACTIVO</v>
          </cell>
        </row>
        <row r="3626">
          <cell r="A3626" t="str">
            <v>SEDI-PRO200-000</v>
          </cell>
          <cell r="B3626" t="str">
            <v xml:space="preserve">PANEL SAFE PRO200 </v>
          </cell>
        </row>
        <row r="3627">
          <cell r="A3627" t="str">
            <v>SEDI-PRO200D+00</v>
          </cell>
          <cell r="B3627" t="str">
            <v>INACTIVO</v>
          </cell>
        </row>
        <row r="3628">
          <cell r="A3628" t="str">
            <v>SEDI-PRO200D-00</v>
          </cell>
          <cell r="B3628" t="str">
            <v xml:space="preserve">PANEL SAFE PRO200D (C/DISPLAY) </v>
          </cell>
        </row>
        <row r="3629">
          <cell r="A3629" t="str">
            <v>SEDI-PRO200DSC-0</v>
          </cell>
          <cell r="B3629" t="str">
            <v>INACTIVO</v>
          </cell>
        </row>
        <row r="3630">
          <cell r="A3630" t="str">
            <v>SEDI-PRODSC-000</v>
          </cell>
          <cell r="B3630" t="str">
            <v xml:space="preserve">PANEL SAFE PRODSC HAST 4 ZONAS </v>
          </cell>
        </row>
        <row r="3631">
          <cell r="A3631" t="str">
            <v>SEDI-PROLACATOR-0</v>
          </cell>
          <cell r="B3631" t="str">
            <v>PROLOCATOR</v>
          </cell>
        </row>
        <row r="3632">
          <cell r="A3632" t="str">
            <v>SEDI-PROLOCATOR</v>
          </cell>
          <cell r="B3632" t="str">
            <v>Portable Air Sampling Fire Detector</v>
          </cell>
        </row>
        <row r="3633">
          <cell r="A3633" t="str">
            <v>SEDI-PRONET</v>
          </cell>
          <cell r="B3633" t="str">
            <v>TCP/IP NETWORK CARD</v>
          </cell>
        </row>
        <row r="3634">
          <cell r="A3634" t="str">
            <v>SEDI-PROREMOTE-</v>
          </cell>
          <cell r="B3634" t="str">
            <v xml:space="preserve">PRO REMOTE (DISPLAY) </v>
          </cell>
        </row>
        <row r="3635">
          <cell r="A3635" t="str">
            <v>SEDI-RG1110-00</v>
          </cell>
          <cell r="B3635" t="str">
            <v>CONECTOR DE ALIVIO DE TENSION</v>
          </cell>
        </row>
        <row r="3636">
          <cell r="A3636" t="str">
            <v>SEDI-RG1114C-0</v>
          </cell>
          <cell r="B3636" t="str">
            <v>CINTURON PLASTICO LOOP CABLE TIES PACK 100 UNI.</v>
          </cell>
        </row>
        <row r="3637">
          <cell r="A3637" t="str">
            <v>SEDI-RG1120C-0</v>
          </cell>
          <cell r="B3637" t="str">
            <v>CABLE TRAY CLIP, NYLON 6.6 PACK 100 UNI.</v>
          </cell>
        </row>
        <row r="3638">
          <cell r="A3638" t="str">
            <v>SEDI-RG1122X-0</v>
          </cell>
          <cell r="B3638" t="str">
            <v>SOPORTE ´´L´´ NYLON PACK 10 UNI.</v>
          </cell>
        </row>
        <row r="3639">
          <cell r="A3639" t="str">
            <v>SEDI-RG1123C-0</v>
          </cell>
          <cell r="B3639" t="str">
            <v>MONTURA DE SUPERFICIE UNIVERSAL PACK 100 UNI.</v>
          </cell>
        </row>
        <row r="3640">
          <cell r="A3640" t="str">
            <v>SEDI-RG1126-0</v>
          </cell>
          <cell r="B3640" t="str">
            <v>KIT DE EMPALME.</v>
          </cell>
        </row>
        <row r="3641">
          <cell r="A3641" t="str">
            <v>SEDI-RG5222-00</v>
          </cell>
          <cell r="B3641" t="str">
            <v>CAJA DE COXION NEMA 4X SUSTITUYE LA TC1000</v>
          </cell>
        </row>
        <row r="3642">
          <cell r="A3642" t="str">
            <v>SEDI-RG5223-00</v>
          </cell>
          <cell r="B3642" t="str">
            <v>ACOPLE RAPIDO PARA TUBERIA 3/8PULG (RP5223)</v>
          </cell>
        </row>
        <row r="3643">
          <cell r="A3643" t="str">
            <v>SEDI-RP2226-00</v>
          </cell>
          <cell r="B3643" t="str">
            <v>PUNTO DE PRUEBA DE 3/4</v>
          </cell>
        </row>
        <row r="3644">
          <cell r="A3644" t="str">
            <v>SEDI-RP5202X-0</v>
          </cell>
          <cell r="B3644" t="str">
            <v>CODO DE 90° 3/4 PACK DE 10 UNI.</v>
          </cell>
        </row>
        <row r="3645">
          <cell r="A3645" t="str">
            <v>SEDI-RP5204X-0</v>
          </cell>
          <cell r="B3645" t="str">
            <v>TEE DE 3/4 PACK 10 UNI</v>
          </cell>
        </row>
        <row r="3646">
          <cell r="A3646" t="str">
            <v>SEDI-RP5205X-0</v>
          </cell>
          <cell r="B3646" t="str">
            <v>TAPON PARA TUBERIA PACK DE 10 UNI</v>
          </cell>
        </row>
        <row r="3647">
          <cell r="A3647" t="str">
            <v>SEDI-RP5206X-0</v>
          </cell>
          <cell r="B3647" t="str">
            <v>COPLE DE 3/4 PACK 10 UNI</v>
          </cell>
        </row>
        <row r="3648">
          <cell r="A3648" t="str">
            <v>SEDI-RP5207-00</v>
          </cell>
          <cell r="B3648" t="str">
            <v xml:space="preserve">ADAPTOR PIPE TO DETECTOR </v>
          </cell>
        </row>
        <row r="3649">
          <cell r="A3649" t="str">
            <v>SEDI-RP5208-00</v>
          </cell>
          <cell r="B3649" t="str">
            <v>TUERCA UNION 3/4</v>
          </cell>
        </row>
        <row r="3650">
          <cell r="A3650" t="str">
            <v>SEDI-RP5209S-0</v>
          </cell>
          <cell r="B3650" t="str">
            <v>TUBERIA DE CPVC 3/4 SCH-40 2.40 MTS C/U (UL)</v>
          </cell>
        </row>
        <row r="3651">
          <cell r="A3651" t="str">
            <v>SEDI-RP5211-00</v>
          </cell>
          <cell r="B3651" t="str">
            <v>HERRAMIENTA DE CORTE PARA PVC</v>
          </cell>
        </row>
        <row r="3652">
          <cell r="A3652" t="str">
            <v>SEDI-RP5212-00</v>
          </cell>
          <cell r="B3652" t="str">
            <v>SOPORTE PARA TUBERIA TIPO CLIP PACK 25 UNI</v>
          </cell>
        </row>
        <row r="3653">
          <cell r="A3653" t="str">
            <v>SEDI-RP5213-00</v>
          </cell>
          <cell r="B3653" t="str">
            <v>TUERCA CUADRADA PARA SOPORTE DE TUBO PACK 25 UNI.</v>
          </cell>
        </row>
        <row r="3654">
          <cell r="A3654" t="str">
            <v>SEDI-RP5214</v>
          </cell>
          <cell r="B3654" t="str">
            <v>CPVC PIPE CEMENT</v>
          </cell>
        </row>
        <row r="3655">
          <cell r="A3655" t="str">
            <v>SEDI-RP5215X</v>
          </cell>
          <cell r="B3655" t="str">
            <v>CODO DE 90° 3/4 PACK DE 10 UNI. RADIUS BEND</v>
          </cell>
        </row>
        <row r="3656">
          <cell r="A3656" t="str">
            <v>SEDI-RP5216</v>
          </cell>
          <cell r="B3656" t="str">
            <v>PUNTO DE ASPIRACION PARA CALIPAR</v>
          </cell>
        </row>
        <row r="3657">
          <cell r="A3657" t="str">
            <v>SEDI-RP5219</v>
          </cell>
          <cell r="B3657" t="str">
            <v>ROLLO DE TUBO FLEXIBLE DE 3/8 RED PIPE</v>
          </cell>
        </row>
        <row r="3658">
          <cell r="A3658" t="str">
            <v>SEDI-RP5220-00</v>
          </cell>
          <cell r="B3658" t="str">
            <v>KIT DE CAPILARES CON PUNTO DE MUESTREO DE AIRE</v>
          </cell>
        </row>
        <row r="3659">
          <cell r="A3659" t="str">
            <v>SEDI-RP7125</v>
          </cell>
          <cell r="B3659" t="str">
            <v>FILTRO DE AIRE 3/4 CON FILTRO</v>
          </cell>
        </row>
        <row r="3660">
          <cell r="A3660" t="str">
            <v>SEDI-RP7125-00</v>
          </cell>
          <cell r="B3660" t="str">
            <v>FILTRO DE AIRE 3/4 CON FILTRO</v>
          </cell>
        </row>
        <row r="3661">
          <cell r="A3661" t="str">
            <v>SEDI-RP7126-00</v>
          </cell>
          <cell r="B3661" t="str">
            <v>FILTRO DE REEMPLAZO</v>
          </cell>
        </row>
        <row r="3662">
          <cell r="A3662" t="str">
            <v>SEDI-RS7065S-00</v>
          </cell>
          <cell r="B3662" t="str">
            <v xml:space="preserve">ARMELLA ROSCADA ACERO INOXIDABLE RS7065S			</v>
          </cell>
        </row>
        <row r="3663">
          <cell r="A3663" t="str">
            <v>SEDI-RS7067C-00</v>
          </cell>
          <cell r="B3663" t="str">
            <v xml:space="preserve">ARANDELA AISLANTE INSULATING GROMMET PACK 100 UNI RS7067C			</v>
          </cell>
        </row>
        <row r="3664">
          <cell r="A3664" t="str">
            <v>SEDI-RS7069S-00</v>
          </cell>
          <cell r="B3664" t="str">
            <v>TENSOR DE ACERO INOXIDABLE RS7069S</v>
          </cell>
        </row>
        <row r="3665">
          <cell r="A3665" t="str">
            <v>SEDI-TC100-00</v>
          </cell>
          <cell r="B3665" t="str">
            <v>STRAIN RELIEF CONNECTOR - SAFE</v>
          </cell>
        </row>
        <row r="3666">
          <cell r="A3666" t="str">
            <v>SEDI-TC1000-00</v>
          </cell>
          <cell r="B3666" t="str">
            <v>J/ELR-BOX - STANDAR - SAFE</v>
          </cell>
        </row>
        <row r="3667">
          <cell r="A3667" t="str">
            <v>SEDI-TC1019-00</v>
          </cell>
          <cell r="B3667" t="str">
            <v>PEGAMENTODE MONTURA DE SUPERFICIE .</v>
          </cell>
        </row>
        <row r="3668">
          <cell r="A3668" t="str">
            <v>SEDI-TC1030SS-0</v>
          </cell>
          <cell r="B3668" t="str">
            <v>ARMELLA ROSCADA ACERO INOXIDABLE RS7065S</v>
          </cell>
        </row>
        <row r="3669">
          <cell r="A3669" t="str">
            <v>SEDI-TC1032C-00</v>
          </cell>
          <cell r="B3669" t="str">
            <v>ARANDELA AISLANTE INSULATING GROMMET PACK 100 UNI RG7067C</v>
          </cell>
        </row>
        <row r="3670">
          <cell r="A3670" t="str">
            <v>SEDI-TC1033SS-0</v>
          </cell>
          <cell r="B3670" t="str">
            <v>TENSOR DE ACERO INOXIDABLE RG7069S</v>
          </cell>
        </row>
        <row r="3671">
          <cell r="A3671" t="str">
            <v>SEDI-TC155a-000</v>
          </cell>
          <cell r="B3671" t="str">
            <v xml:space="preserve">THERMO CABLE 68ºC 153M (500FT) </v>
          </cell>
        </row>
        <row r="3672">
          <cell r="A3672" t="str">
            <v>SEDI-TC155b-000</v>
          </cell>
          <cell r="B3672" t="str">
            <v xml:space="preserve">THERMOCABLE 68ºC 458M (1500FT) </v>
          </cell>
        </row>
        <row r="3673">
          <cell r="A3673" t="str">
            <v>SEDI-TC155c-000</v>
          </cell>
          <cell r="B3673" t="str">
            <v xml:space="preserve">THERMOCABLE 68ºC 915M (3000FT) </v>
          </cell>
        </row>
        <row r="3674">
          <cell r="A3674" t="str">
            <v>SEDI-TC155C-MT</v>
          </cell>
          <cell r="B3674" t="str">
            <v>THERMOCABLE 68ºC 915 MTS</v>
          </cell>
        </row>
        <row r="3675">
          <cell r="A3675" t="str">
            <v>SEDI-TC155NG-000</v>
          </cell>
          <cell r="B3675" t="str">
            <v>THERMO CABLE 68ºC 153M (500FT) TC-155-NG</v>
          </cell>
        </row>
        <row r="3676">
          <cell r="A3676" t="str">
            <v>SEDI-TC155P</v>
          </cell>
          <cell r="B3676" t="str">
            <v>THERMO CABLE 68ºC 153M (500FT) POLIPROPILENO</v>
          </cell>
        </row>
        <row r="3677">
          <cell r="A3677" t="str">
            <v>SEDI-TC172a-000</v>
          </cell>
          <cell r="B3677" t="str">
            <v xml:space="preserve">THERMO CABLE 78ºC 153M (500FT) </v>
          </cell>
        </row>
        <row r="3678">
          <cell r="A3678" t="str">
            <v>SEDI-TC172b-000</v>
          </cell>
          <cell r="B3678" t="str">
            <v xml:space="preserve">THERMOCABLE 78ºC 458M (1500FT) </v>
          </cell>
        </row>
        <row r="3679">
          <cell r="A3679" t="str">
            <v>SEDI-TC172c-000</v>
          </cell>
          <cell r="B3679" t="str">
            <v xml:space="preserve">THERMOCABLE 78ºC 915M (3000FT) </v>
          </cell>
        </row>
        <row r="3680">
          <cell r="A3680" t="str">
            <v>SEDI-TC190-0000</v>
          </cell>
          <cell r="B3680" t="str">
            <v xml:space="preserve">THERMO CABLE 88ºC 153M (500FT) </v>
          </cell>
        </row>
        <row r="3681">
          <cell r="A3681" t="str">
            <v>SEDI-TC190c-00</v>
          </cell>
          <cell r="B3681" t="str">
            <v>THERMO CABLE 88°C 915 M. (3000FT)</v>
          </cell>
        </row>
        <row r="3682">
          <cell r="A3682" t="str">
            <v>SEDI-TC190NG</v>
          </cell>
          <cell r="B3682" t="str">
            <v>THERMO CABLE NYLON 88ºC 153M (500FT) + GUIDEWIRE</v>
          </cell>
        </row>
        <row r="3683">
          <cell r="A3683" t="str">
            <v>SEDI-TC200a-000</v>
          </cell>
          <cell r="B3683" t="str">
            <v xml:space="preserve">THERMO CABLE 105ºC 153M(500FT) </v>
          </cell>
        </row>
        <row r="3684">
          <cell r="A3684" t="str">
            <v>SEDI-TC220-000</v>
          </cell>
          <cell r="B3684" t="str">
            <v xml:space="preserve">THERMO CABLE 105ºC 153M (500FT) </v>
          </cell>
        </row>
        <row r="3685">
          <cell r="A3685" t="str">
            <v>SEDI-TC365N</v>
          </cell>
          <cell r="B3685" t="str">
            <v xml:space="preserve">THERMO CABLE 185ºC 153M (500FT) </v>
          </cell>
        </row>
        <row r="3686">
          <cell r="A3686" t="str">
            <v>SEDI-TCIDIST-00</v>
          </cell>
          <cell r="B3686" t="str">
            <v xml:space="preserve">MOD LOCALIZAD D DISTANCIA P/TC </v>
          </cell>
        </row>
        <row r="3687">
          <cell r="A3687" t="str">
            <v>SEDT-302EPM194-</v>
          </cell>
          <cell r="B3687" t="str">
            <v xml:space="preserve">194º F EXPLOSION PROOF </v>
          </cell>
        </row>
        <row r="3688">
          <cell r="A3688" t="str">
            <v>SEDT-30-3003</v>
          </cell>
          <cell r="B3688" t="str">
            <v>Optical Smoke Detector, Explosion Proof not FM or ULC Approv</v>
          </cell>
        </row>
        <row r="3689">
          <cell r="A3689" t="str">
            <v>SEDT-5100-02-IT-A1</v>
          </cell>
          <cell r="B3689" t="str">
            <v>SENSOR DE HIDROGENO EXPLOSION PROOF</v>
          </cell>
        </row>
        <row r="3690">
          <cell r="A3690" t="str">
            <v>SEDT-AA-120E-00</v>
          </cell>
          <cell r="B3690" t="str">
            <v xml:space="preserve">AMPLIFICADOR DE 120 WATT </v>
          </cell>
        </row>
        <row r="3691">
          <cell r="A3691" t="str">
            <v>SEDT-ABS-1TB-00</v>
          </cell>
          <cell r="B3691" t="str">
            <v xml:space="preserve">ANNUNCIATOT SURFACE BOX </v>
          </cell>
        </row>
        <row r="3692">
          <cell r="A3692" t="str">
            <v>SEDT-AFAWS-BX-0</v>
          </cell>
          <cell r="B3692" t="str">
            <v>CAJA MET/ TELEFONOAFAWS-BX NOTIFIER</v>
          </cell>
        </row>
        <row r="3693">
          <cell r="A3693" t="str">
            <v>SEDT-AFAWS-LS-0</v>
          </cell>
          <cell r="B3693" t="str">
            <v>PUERTA MET/ TELEFONOAFAWS-LS NOTIFIER</v>
          </cell>
        </row>
        <row r="3694">
          <cell r="A3694" t="str">
            <v>SEDT-AFAWS-TEL-</v>
          </cell>
          <cell r="B3694" t="str">
            <v>TELEFONO CON CORDONAFAWS-TEL NOTIFIER</v>
          </cell>
        </row>
        <row r="3695">
          <cell r="A3695" t="str">
            <v>SEDT-AMPS-24E-0</v>
          </cell>
          <cell r="B3695" t="str">
            <v xml:space="preserve">FUENTE DE ALIM 240 VAC REMOTA </v>
          </cell>
        </row>
        <row r="3696">
          <cell r="A3696" t="str">
            <v>SEDT-B501-00000</v>
          </cell>
          <cell r="B3696" t="str">
            <v xml:space="preserve">CINTELLGENTDETECYOR BASES </v>
          </cell>
        </row>
        <row r="3697">
          <cell r="A3697" t="str">
            <v>SEDT-B710LPBP-0</v>
          </cell>
          <cell r="B3697" t="str">
            <v xml:space="preserve">BASES CAJAS DE 10 UNIDADES </v>
          </cell>
        </row>
        <row r="3698">
          <cell r="A3698" t="str">
            <v>SEDT-BAT-12120-</v>
          </cell>
          <cell r="B3698" t="str">
            <v>BATERIA 12V X 12 AMP BAT-12120 NOTIFIER</v>
          </cell>
        </row>
        <row r="3699">
          <cell r="A3699" t="str">
            <v>SEDT-BAT-12180-</v>
          </cell>
          <cell r="B3699" t="str">
            <v>BATERIA 12V X 18 AMP BAT-12180 NOTIFIER</v>
          </cell>
        </row>
        <row r="3700">
          <cell r="A3700" t="str">
            <v>SEDT-BMP-1-0000</v>
          </cell>
          <cell r="B3700" t="str">
            <v xml:space="preserve">BLANK MODULE DRESS PLATE </v>
          </cell>
        </row>
        <row r="3701">
          <cell r="A3701" t="str">
            <v>SEDT-BP2-4-0000</v>
          </cell>
          <cell r="B3701" t="str">
            <v xml:space="preserve">BATTERY DRESS PANEL FOR CAB-4 </v>
          </cell>
        </row>
        <row r="3702">
          <cell r="A3702" t="str">
            <v>SEDT-BP-4-00000</v>
          </cell>
          <cell r="B3702" t="str">
            <v xml:space="preserve">DRESS PLATE PARA BATERIA </v>
          </cell>
        </row>
        <row r="3703">
          <cell r="A3703" t="str">
            <v>SEDT-CA-1-00000</v>
          </cell>
          <cell r="B3703" t="str">
            <v xml:space="preserve">CHASIS PARA AUDIO EVACUACION </v>
          </cell>
        </row>
        <row r="3704">
          <cell r="A3704" t="str">
            <v>SEDT-CAB-4-0000</v>
          </cell>
          <cell r="B3704" t="str">
            <v xml:space="preserve">BATTERY DRESS PANEL </v>
          </cell>
        </row>
        <row r="3705">
          <cell r="A3705" t="str">
            <v>SEDT-CF-135-EXT</v>
          </cell>
          <cell r="B3705" t="str">
            <v xml:space="preserve">DETECTOR Tº C/PROTEC. EXTERIOR </v>
          </cell>
        </row>
        <row r="3706">
          <cell r="A3706" t="str">
            <v>SEDT-CHS-4L-000</v>
          </cell>
          <cell r="B3706" t="str">
            <v>CHASSIS4MB</v>
          </cell>
        </row>
        <row r="3707">
          <cell r="A3707" t="str">
            <v>SEDT-CHS-4MB-00</v>
          </cell>
          <cell r="B3707" t="str">
            <v xml:space="preserve">SEGUNDA FILA DEL CHASSIS </v>
          </cell>
        </row>
        <row r="3708">
          <cell r="A3708" t="str">
            <v>SEDT-CHS-M3-000</v>
          </cell>
          <cell r="B3708" t="str">
            <v xml:space="preserve">MONTURA DEL CHASSIS </v>
          </cell>
        </row>
        <row r="3709">
          <cell r="A3709" t="str">
            <v>SEDT-CMIC-1-000</v>
          </cell>
          <cell r="B3709" t="str">
            <v xml:space="preserve">CHASIS CON MICROFONO </v>
          </cell>
        </row>
        <row r="3710">
          <cell r="A3710" t="str">
            <v>SEDT-CPU2-3030D</v>
          </cell>
          <cell r="B3710" t="str">
            <v xml:space="preserve">NFS-3030 CENTRAL UNIT </v>
          </cell>
        </row>
        <row r="3711">
          <cell r="A3711" t="str">
            <v>SEDT-CPU2640SP-</v>
          </cell>
          <cell r="B3711" t="str">
            <v xml:space="preserve">NFS-640 CENTRAL UNIT </v>
          </cell>
        </row>
        <row r="3712">
          <cell r="A3712" t="str">
            <v>SEDT-DP-1B-0000</v>
          </cell>
          <cell r="B3712" t="str">
            <v xml:space="preserve">DRESS PLATE DE SEGUNDA FILA </v>
          </cell>
        </row>
        <row r="3713">
          <cell r="A3713" t="str">
            <v>SEDT-DPA-1-0000</v>
          </cell>
          <cell r="B3713" t="str">
            <v xml:space="preserve">DRESS PLATE PARA AUDIO EVACUAC </v>
          </cell>
        </row>
        <row r="3714">
          <cell r="A3714" t="str">
            <v>SEDT-DP-DISP-00</v>
          </cell>
          <cell r="B3714" t="str">
            <v xml:space="preserve">DRESS PLATE </v>
          </cell>
        </row>
        <row r="3715">
          <cell r="A3715" t="str">
            <v>SEDT-DPDISP2-00</v>
          </cell>
          <cell r="B3715" t="str">
            <v>DRESS PLATEA4</v>
          </cell>
        </row>
        <row r="3716">
          <cell r="A3716" t="str">
            <v>SEDT-DR-A4-0000</v>
          </cell>
          <cell r="B3716" t="str">
            <v xml:space="preserve">DOOR LOCK &amp; KEY </v>
          </cell>
        </row>
        <row r="3717">
          <cell r="A3717" t="str">
            <v>SEDT-DR-B4B-000</v>
          </cell>
          <cell r="B3717" t="str">
            <v xml:space="preserve">PUERTA, CHAPA Y LLAVE DE GABIN </v>
          </cell>
        </row>
        <row r="3718">
          <cell r="A3718" t="str">
            <v>SEDT-DR-DA-0000</v>
          </cell>
          <cell r="B3718" t="str">
            <v xml:space="preserve">ENSAMBLAJE PARA PUERTA </v>
          </cell>
        </row>
        <row r="3719">
          <cell r="A3719" t="str">
            <v>SEDT-DVC-AO-000</v>
          </cell>
          <cell r="B3719" t="str">
            <v xml:space="preserve">SALIDA ANALOGA DE AUDIO EVACUA </v>
          </cell>
        </row>
        <row r="3720">
          <cell r="A3720" t="str">
            <v>SEDT-DVC-EM-000</v>
          </cell>
          <cell r="B3720" t="str">
            <v xml:space="preserve">CENTRAL DE AUDIO EVACUACION </v>
          </cell>
        </row>
        <row r="3721">
          <cell r="A3721" t="str">
            <v>SEDT-DVC-KD-000</v>
          </cell>
          <cell r="B3721" t="str">
            <v xml:space="preserve">TECLADO DE AUDIO EVACUACION </v>
          </cell>
        </row>
        <row r="3722">
          <cell r="A3722" t="str">
            <v>SEDT-EOLR-1-000</v>
          </cell>
          <cell r="B3722" t="str">
            <v>12 O 24VOLT.RELAY MODUL EOLR-1 NOTIFIER</v>
          </cell>
        </row>
        <row r="3723">
          <cell r="A3723" t="str">
            <v>SEDT-FCM-1-0000</v>
          </cell>
          <cell r="B3723" t="str">
            <v xml:space="preserve">CONTROL MODULE </v>
          </cell>
        </row>
        <row r="3724">
          <cell r="A3724" t="str">
            <v>SEDT-FCPS-24E-0</v>
          </cell>
          <cell r="B3724" t="str">
            <v xml:space="preserve">FIELD CHATGING POWER SUPPLY </v>
          </cell>
        </row>
        <row r="3725">
          <cell r="A3725" t="str">
            <v>SEDT-FCPS-24S6E</v>
          </cell>
          <cell r="B3725" t="str">
            <v xml:space="preserve">FUENTE DE ALIMENTACIO PRICIPAL </v>
          </cell>
        </row>
        <row r="3726">
          <cell r="A3726" t="str">
            <v>SEDT-FMM-1-0000</v>
          </cell>
          <cell r="B3726" t="str">
            <v xml:space="preserve">MONITOR MODULE </v>
          </cell>
        </row>
        <row r="3727">
          <cell r="A3727" t="str">
            <v>SEDT-FMM-101-00</v>
          </cell>
          <cell r="B3727" t="str">
            <v>MINI MONITOR MODULE FMM-101 NOTIFIER</v>
          </cell>
        </row>
        <row r="3728">
          <cell r="A3728" t="str">
            <v>SEDT-FRM-1-0000</v>
          </cell>
          <cell r="B3728" t="str">
            <v xml:space="preserve">REPLAY MODULE </v>
          </cell>
        </row>
        <row r="3729">
          <cell r="A3729" t="str">
            <v>SEDT-FSP-851-00</v>
          </cell>
          <cell r="B3729" t="str">
            <v xml:space="preserve">INTELLGENT PHOTO DETECTOR </v>
          </cell>
        </row>
        <row r="3730">
          <cell r="A3730" t="str">
            <v>SEDT-FST-851R-0</v>
          </cell>
          <cell r="B3730" t="str">
            <v>INACTIVO</v>
          </cell>
        </row>
        <row r="3731">
          <cell r="A3731" t="str">
            <v>SEDT-FTM-1-0000</v>
          </cell>
          <cell r="B3731" t="str">
            <v>CONTROL MODULE PHONE FTM-1 NOTIFIER</v>
          </cell>
        </row>
        <row r="3732">
          <cell r="A3732" t="str">
            <v>SEDT-GD-1-SPC-N</v>
          </cell>
          <cell r="B3732" t="str">
            <v xml:space="preserve">DETECTOR GAS NATURAL </v>
          </cell>
        </row>
        <row r="3733">
          <cell r="A3733" t="str">
            <v>SEDT-GD-2A-0000</v>
          </cell>
          <cell r="B3733" t="str">
            <v>DETECTOR GAS STANDAR GD-2A</v>
          </cell>
        </row>
        <row r="3734">
          <cell r="A3734" t="str">
            <v>SEDT-GD-6</v>
          </cell>
          <cell r="B3734" t="str">
            <v>DETECTOR GAS COMBUSTIBLE GD-6</v>
          </cell>
        </row>
        <row r="3735">
          <cell r="A3735" t="str">
            <v>SEDT-HD-11-0000</v>
          </cell>
          <cell r="B3735" t="str">
            <v xml:space="preserve">DETECTOR DE HIDROGENO </v>
          </cell>
        </row>
        <row r="3736">
          <cell r="A3736" t="str">
            <v>SEDT-KDM-R2-000</v>
          </cell>
          <cell r="B3736" t="str">
            <v xml:space="preserve">KEYBOARD DISPLAY </v>
          </cell>
        </row>
        <row r="3737">
          <cell r="A3737" t="str">
            <v>SEDT-LCD-80-000</v>
          </cell>
          <cell r="B3737" t="str">
            <v xml:space="preserve">LCD ANNUNCIATOR </v>
          </cell>
        </row>
        <row r="3738">
          <cell r="A3738" t="str">
            <v>SEDT-LCM-320-00</v>
          </cell>
          <cell r="B3738" t="str">
            <v xml:space="preserve">LOOP PRINCIPAL </v>
          </cell>
        </row>
        <row r="3739">
          <cell r="A3739" t="str">
            <v>SEDT-LEM-320-00</v>
          </cell>
          <cell r="B3739" t="str">
            <v xml:space="preserve">LOOP DE EXPANSION </v>
          </cell>
        </row>
        <row r="3740">
          <cell r="A3740" t="str">
            <v>SEDT-NBG-12-000</v>
          </cell>
          <cell r="B3740" t="str">
            <v xml:space="preserve">SURFACE BACK-BOX FOR ALL </v>
          </cell>
        </row>
        <row r="3741">
          <cell r="A3741" t="str">
            <v>SEDT-NBG-12LR-0</v>
          </cell>
          <cell r="B3741" t="str">
            <v xml:space="preserve">DUAL ACTION STATION RELEASING </v>
          </cell>
        </row>
        <row r="3742">
          <cell r="A3742" t="str">
            <v>SEDT-NBG-12LSP</v>
          </cell>
          <cell r="B3742" t="str">
            <v xml:space="preserve">DUAL ACTION LEXAN STATION </v>
          </cell>
        </row>
        <row r="3743">
          <cell r="A3743" t="str">
            <v>SEDT-N-CAC-5X-0</v>
          </cell>
          <cell r="B3743" t="str">
            <v>CLASS A CONVERTER MOD N-CAC-5X NOTIFIER</v>
          </cell>
        </row>
        <row r="3744">
          <cell r="A3744" t="str">
            <v>SEDT-NFS-320E-0</v>
          </cell>
          <cell r="B3744" t="str">
            <v xml:space="preserve">UNIDADES DE CONTROL </v>
          </cell>
        </row>
        <row r="3745">
          <cell r="A3745" t="str">
            <v>SEDT-OPIF100SE-</v>
          </cell>
          <cell r="B3745" t="str">
            <v>DETECTOR GAS 203 SEST-INCL.OPSF13SEST &amp; 796640-1</v>
          </cell>
        </row>
        <row r="3746">
          <cell r="A3746" t="str">
            <v>SEDT-RP-1001E-0</v>
          </cell>
          <cell r="B3746" t="str">
            <v xml:space="preserve">PRE-ACTION DELUGE CONTROL </v>
          </cell>
        </row>
        <row r="3747">
          <cell r="A3747" t="str">
            <v>SEDT-RP-2001E-0</v>
          </cell>
          <cell r="B3747" t="str">
            <v>PRE-ACTION DELUGE CTL RP-2001E NOTIFIER</v>
          </cell>
        </row>
        <row r="3748">
          <cell r="A3748" t="str">
            <v>SEDT-SA-WS-1-00</v>
          </cell>
          <cell r="B3748" t="str">
            <v xml:space="preserve">SENSOR DE INUNDACION </v>
          </cell>
        </row>
        <row r="3749">
          <cell r="A3749" t="str">
            <v>SEDT-SB-1-0-000</v>
          </cell>
          <cell r="B3749" t="str">
            <v xml:space="preserve">INDOOR/ OUTDOOR BACKBOX </v>
          </cell>
        </row>
        <row r="3750">
          <cell r="A3750" t="str">
            <v>SEDT-SBB-A4-000</v>
          </cell>
          <cell r="B3750" t="str">
            <v xml:space="preserve">BACKBOX, 1 CHASSIS BLANK </v>
          </cell>
        </row>
        <row r="3751">
          <cell r="A3751" t="str">
            <v>SEDT-SBB-B4-000</v>
          </cell>
          <cell r="B3751" t="str">
            <v xml:space="preserve">CAJA PARA 2 CHASSIS NEGRO </v>
          </cell>
        </row>
        <row r="3752">
          <cell r="A3752" t="str">
            <v>SEDT-SBB-D4-000</v>
          </cell>
          <cell r="B3752" t="str">
            <v xml:space="preserve">CAJA DE ENSAMBLAJE DE CHASSIS </v>
          </cell>
        </row>
        <row r="3753">
          <cell r="A3753" t="str">
            <v>SEDT-SMP-1-0000</v>
          </cell>
          <cell r="B3753" t="str">
            <v xml:space="preserve">MODULO BLANCO DEL DRESS PLATE </v>
          </cell>
        </row>
        <row r="3754">
          <cell r="A3754" t="str">
            <v xml:space="preserve">SEFR-5000-004 </v>
          </cell>
          <cell r="B3754" t="str">
            <v>Fire-ray long range reflective kit 50 to 100 MTS</v>
          </cell>
        </row>
        <row r="3755">
          <cell r="A3755" t="str">
            <v xml:space="preserve">SEFR-5000-031 </v>
          </cell>
          <cell r="B3755" t="str">
            <v xml:space="preserve">Fire-ray Single head detector w/ 1 Reflective prism for 50m </v>
          </cell>
        </row>
        <row r="3756">
          <cell r="A3756" t="str">
            <v xml:space="preserve">SEFR-5000-103 </v>
          </cell>
          <cell r="B3756" t="str">
            <v>Fire-ray 5000 Motorized Self-alining Beam Kit UL-FM</v>
          </cell>
        </row>
        <row r="3757">
          <cell r="A3757" t="str">
            <v>SEFS-8790-33</v>
          </cell>
          <cell r="B3757" t="str">
            <v>QUICK SERVER CUSTOM CONFIGURATION-UP TO 250 POINTS</v>
          </cell>
        </row>
        <row r="3758">
          <cell r="A3758" t="str">
            <v>SEFS-8915-36-QS</v>
          </cell>
          <cell r="B3758" t="str">
            <v>ACCESORY KIT, 110/220V</v>
          </cell>
        </row>
        <row r="3759">
          <cell r="A3759" t="str">
            <v>SEFS-QS-1220-0402</v>
          </cell>
          <cell r="B3759" t="str">
            <v>QUICK SERVER, BAC NET/IP-NOTIFIER NFS 320</v>
          </cell>
        </row>
        <row r="3760">
          <cell r="A3760" t="str">
            <v>SEGT-30-3013A1N12F</v>
          </cell>
          <cell r="B3760" t="str">
            <v>EXPLOSION PROOF SMOKE DETECTOR FM APPROVALS</v>
          </cell>
        </row>
        <row r="3761">
          <cell r="A3761" t="str">
            <v>SEGT-I-9105R</v>
          </cell>
          <cell r="B3761" t="str">
            <v>REFLECTIVE BEAM DETECTOR</v>
          </cell>
        </row>
        <row r="3762">
          <cell r="A3762" t="str">
            <v>SEKP-S150-00</v>
          </cell>
          <cell r="B3762" t="str">
            <v>CONTROLLER ALARM MNS</v>
          </cell>
        </row>
        <row r="3763">
          <cell r="A3763" t="str">
            <v>SENT-ABS-2D</v>
          </cell>
          <cell r="B3763" t="str">
            <v>Surface (or semi-flush) mount backbox, black</v>
          </cell>
        </row>
        <row r="3764">
          <cell r="A3764" t="str">
            <v>SENT-AMPS-24E</v>
          </cell>
          <cell r="B3764" t="str">
            <v>ADDRESSABLE POWER SUPPLY, 240 VAC (NFS-3030)</v>
          </cell>
        </row>
        <row r="3765">
          <cell r="A3765" t="str">
            <v>SENT-B501</v>
          </cell>
          <cell r="B3765" t="str">
            <v>BASE PARA DETECTORES ( NOTIFIER )</v>
          </cell>
        </row>
        <row r="3766">
          <cell r="A3766" t="str">
            <v>SENT-BACNET-GW-3</v>
          </cell>
          <cell r="B3766" t="str">
            <v>TARJETA PROTOCOLO BACNET</v>
          </cell>
        </row>
        <row r="3767">
          <cell r="A3767" t="str">
            <v>SENT-BMP-1</v>
          </cell>
          <cell r="B3767" t="str">
            <v xml:space="preserve">Blank module dress plate </v>
          </cell>
        </row>
        <row r="3768">
          <cell r="A3768" t="str">
            <v>SENT-BP2-4</v>
          </cell>
          <cell r="B3768" t="str">
            <v xml:space="preserve">Battery Dress Panel for CAB-4 Series </v>
          </cell>
        </row>
        <row r="3769">
          <cell r="A3769" t="str">
            <v>SENT-CHS-2D</v>
          </cell>
          <cell r="B3769" t="str">
            <v xml:space="preserve">Chassis to mount NCA-2 in ABS-2D </v>
          </cell>
        </row>
        <row r="3770">
          <cell r="A3770" t="str">
            <v>SENT-CHS-M3</v>
          </cell>
          <cell r="B3770" t="str">
            <v xml:space="preserve">Mounting Chassis, 3030. </v>
          </cell>
        </row>
        <row r="3771">
          <cell r="A3771" t="str">
            <v>SENT-DP-DISP</v>
          </cell>
          <cell r="B3771" t="str">
            <v xml:space="preserve">Dress plate, display, black. </v>
          </cell>
        </row>
        <row r="3772">
          <cell r="A3772" t="str">
            <v>SENT-DR-A4</v>
          </cell>
          <cell r="B3772" t="str">
            <v xml:space="preserve">Door, lock &amp; keys. Accepts 1 chassis, black. </v>
          </cell>
        </row>
        <row r="3773">
          <cell r="A3773" t="str">
            <v>SENT-FAPT-851</v>
          </cell>
          <cell r="B3773" t="str">
            <v>ACCLIMATE INTELLIGENT PHOTO THERMAL DETECTOR (NOTIFIER)</v>
          </cell>
        </row>
        <row r="3774">
          <cell r="A3774" t="str">
            <v>SENT-FCM-1</v>
          </cell>
          <cell r="B3774" t="str">
            <v>MODULO CONTROL DIRECC. CON FLASHSCAN (NOTIFIER)</v>
          </cell>
        </row>
        <row r="3775">
          <cell r="A3775" t="str">
            <v>SENT-FCM-1-REL</v>
          </cell>
          <cell r="B3775" t="str">
            <v>ADDRESSABLE RELEASING MODULE WITH FLASHSCAN ONLY (NOTIFIER)</v>
          </cell>
        </row>
        <row r="3776">
          <cell r="A3776" t="str">
            <v>SENT-FCPS-24S6E</v>
          </cell>
          <cell r="B3776" t="str">
            <v>6.0 amps.240 VAC remote charger power supply</v>
          </cell>
        </row>
        <row r="3777">
          <cell r="A3777" t="str">
            <v>SENT-FMM-01</v>
          </cell>
          <cell r="B3777" t="str">
            <v xml:space="preserve">ADDRESSABLE MONITOR MODULE, WITH FLASHSCAN </v>
          </cell>
        </row>
        <row r="3778">
          <cell r="A3778" t="str">
            <v>SENT-FMM-101</v>
          </cell>
          <cell r="B3778" t="str">
            <v>MINI MODULO MONITOREO DERECC. CON FLASHSCAN (NOTIFIER)</v>
          </cell>
        </row>
        <row r="3779">
          <cell r="A3779" t="str">
            <v>SENT-FRM-01</v>
          </cell>
          <cell r="B3779" t="str">
            <v>MODULO DE RELE DIRECC. FLESHSCAN (NOTIFIER)</v>
          </cell>
        </row>
        <row r="3780">
          <cell r="A3780" t="str">
            <v>SENT-FSL-751</v>
          </cell>
          <cell r="B3780" t="str">
            <v>DETECTOR FOTOELECTRICO DIRECCIONABLE</v>
          </cell>
        </row>
        <row r="3781">
          <cell r="A3781" t="str">
            <v>SENT-FSP-851</v>
          </cell>
          <cell r="B3781" t="str">
            <v>DETECTOR FOTOELECTRICO INTEL. (NOTIFIER)</v>
          </cell>
        </row>
        <row r="3782">
          <cell r="A3782" t="str">
            <v>SENT-FSP-851-0</v>
          </cell>
          <cell r="B3782" t="str">
            <v>BASE PARA DETECTORES ( NOTIFIER )</v>
          </cell>
        </row>
        <row r="3783">
          <cell r="A3783" t="str">
            <v>SENT-FST-851R-0</v>
          </cell>
          <cell r="B3783" t="str">
            <v>INTELLG PHOTO DETECTOR THERMAL (NOTIFIER)</v>
          </cell>
        </row>
        <row r="3784">
          <cell r="A3784" t="str">
            <v>SENT-HS-NCM-SF</v>
          </cell>
          <cell r="B3784" t="str">
            <v>TARJETA DE RED ALTA VELOC. FIBRA MONOMODO (NOTIFIER)</v>
          </cell>
        </row>
        <row r="3785">
          <cell r="A3785" t="str">
            <v>SENT-ISO-X</v>
          </cell>
          <cell r="B3785" t="str">
            <v>MODULO AISLADOR DE LAZO SLC.</v>
          </cell>
        </row>
        <row r="3786">
          <cell r="A3786" t="str">
            <v>SENT-MODBUS-GW</v>
          </cell>
          <cell r="B3786" t="str">
            <v>TARJETA MODBUS</v>
          </cell>
        </row>
        <row r="3787">
          <cell r="A3787" t="str">
            <v>SENT-NBG-12L RA</v>
          </cell>
          <cell r="B3787" t="str">
            <v>ESTACION DE DESCARGA DOBLE ACCION CON ABORTO (NOTIFIER)</v>
          </cell>
        </row>
        <row r="3788">
          <cell r="A3788" t="str">
            <v>SENT-NBG-12L SP</v>
          </cell>
          <cell r="B3788" t="str">
            <v>EST. MANUAL CONVENCIONAL DOBLE ACCION ESPAÑOL (NOTIFIER)</v>
          </cell>
        </row>
        <row r="3789">
          <cell r="A3789" t="str">
            <v>SENT-NBG-12LXSP</v>
          </cell>
          <cell r="B3789" t="str">
            <v>ACTIVADOR MANUAL DOBLE ACCION (NOTIFIER)</v>
          </cell>
        </row>
        <row r="3790">
          <cell r="A3790" t="str">
            <v>SENT-NCA-2-SP</v>
          </cell>
          <cell r="B3790" t="str">
            <v xml:space="preserve">Network Control Annunciator-2, Spanish </v>
          </cell>
        </row>
        <row r="3791">
          <cell r="A3791" t="str">
            <v>SENT-NCM-F</v>
          </cell>
          <cell r="B3791" t="str">
            <v>Network Control Module - multi mode fiber</v>
          </cell>
        </row>
        <row r="3792">
          <cell r="A3792" t="str">
            <v>SENT-NCM-W</v>
          </cell>
          <cell r="B3792" t="str">
            <v xml:space="preserve">TARJETA DE RED CABLE NOTIFIER </v>
          </cell>
        </row>
        <row r="3793">
          <cell r="A3793" t="str">
            <v>SENT-NFS-320-SP</v>
          </cell>
          <cell r="B3793" t="str">
            <v>PANEL DE INCENDIO 1 LAZO ( NOTIFIER )</v>
          </cell>
        </row>
        <row r="3794">
          <cell r="A3794" t="str">
            <v>SENT-RP2002(E)</v>
          </cell>
          <cell r="B3794" t="str">
            <v>PANEL CONTROL DESCARGA AGENTE, 240 (V)</v>
          </cell>
        </row>
        <row r="3795">
          <cell r="A3795" t="str">
            <v>SENT-SBA-10</v>
          </cell>
          <cell r="B3795" t="str">
            <v>CAJA DE MONTAJE PARA N-ARA-10 Y NBG-12LRA (NOTIFIER)</v>
          </cell>
        </row>
        <row r="3796">
          <cell r="A3796" t="str">
            <v>SENT-SBB-A4</v>
          </cell>
          <cell r="B3796" t="str">
            <v>BACKBOX, 1 CHASSIS, BLACK</v>
          </cell>
        </row>
        <row r="3797">
          <cell r="A3797" t="str">
            <v xml:space="preserve">SENY-2X14AWGCP </v>
          </cell>
          <cell r="B3797" t="str">
            <v>2 X 14 AWG SOLID CON BLINDAJE 305 MTS (UL)</v>
          </cell>
        </row>
        <row r="3798">
          <cell r="A3798" t="str">
            <v>SENY-2X14AWGCPLSZH</v>
          </cell>
          <cell r="B3798" t="str">
            <v>2 X 14 AWG SOLID CON BLINDAJE 305 MTS LIBRE DE HALOGENO</v>
          </cell>
        </row>
        <row r="3799">
          <cell r="A3799" t="str">
            <v>SENY-2X14AWGSP</v>
          </cell>
          <cell r="B3799" t="str">
            <v>2 X 14 AWG SOLID SIN BLINDAJE 305 MTS (UL)</v>
          </cell>
        </row>
        <row r="3800">
          <cell r="A3800" t="str">
            <v>SENY-2X14AWGSPLSZH</v>
          </cell>
          <cell r="B3800" t="str">
            <v>2 X 14 AWG SOLID SIN BLINDAJE 305 MTS LIBRE DE HALOGENO</v>
          </cell>
        </row>
        <row r="3801">
          <cell r="A3801" t="str">
            <v>SENY-2X16AWGCP</v>
          </cell>
          <cell r="B3801" t="str">
            <v>2 X 16 AWG SOLID CON BLINDAJE 305 MTS (UL)</v>
          </cell>
        </row>
        <row r="3802">
          <cell r="A3802" t="str">
            <v>SENY-2X16AWGCPLSZH</v>
          </cell>
          <cell r="B3802" t="str">
            <v>2 X 16 AWG SOLID CON BLINDAJE 305 MTS LIBRE DE HALOGENO</v>
          </cell>
        </row>
        <row r="3803">
          <cell r="A3803" t="str">
            <v>SENY-2X16AWGSP</v>
          </cell>
          <cell r="B3803" t="str">
            <v>2 X 16 AWG SOLID SIN BLINDAJE 305 MTS (UL)</v>
          </cell>
        </row>
        <row r="3804">
          <cell r="A3804" t="str">
            <v>SENY-2X16AWGSPLSZH</v>
          </cell>
          <cell r="B3804" t="str">
            <v>2 X 16 AWG SOLID SIN BLINDAJE 305 MTS LIBRE DE HALOGENO</v>
          </cell>
        </row>
        <row r="3805">
          <cell r="A3805" t="str">
            <v>SENY-2X18AWGCP</v>
          </cell>
          <cell r="B3805" t="str">
            <v>2 X 18 AWG SOLID CON BLINDAJE 305 MTS (UL)</v>
          </cell>
        </row>
        <row r="3806">
          <cell r="A3806" t="str">
            <v>SENY-2X18AWGCPLSZH</v>
          </cell>
          <cell r="B3806" t="str">
            <v>2 X 18 AWG SOLID CON BLINDAJE 305 MTS LIBRE DE HALOGENO</v>
          </cell>
        </row>
        <row r="3807">
          <cell r="A3807" t="str">
            <v>SENY-2X18AWGSP</v>
          </cell>
          <cell r="B3807" t="str">
            <v>2 X 18 AWG SOLID SIN BLINDAJE 305 MTS (UL)</v>
          </cell>
        </row>
        <row r="3808">
          <cell r="A3808" t="str">
            <v>SENY-2X18AWGSPLSZH</v>
          </cell>
          <cell r="B3808" t="str">
            <v>2 X 18 AWG SOLID SIN BLINDAJE 305 MTS LIBRE DE HALOGENO</v>
          </cell>
        </row>
        <row r="3809">
          <cell r="A3809" t="str">
            <v>SEOI-5900-2-X-O</v>
          </cell>
          <cell r="B3809" t="str">
            <v>GEN II WIREFREE 4-20mA STATE TRANSMITTER Ex W// BLUE MOORE 2</v>
          </cell>
        </row>
        <row r="3810">
          <cell r="A3810" t="str">
            <v>SEOI-6900-LEL-2-O</v>
          </cell>
          <cell r="B3810" t="str">
            <v>SENSOR UNIT-GEN II 6900 IR LEL 2.4 GHz BLUE MOORE</v>
          </cell>
        </row>
        <row r="3811">
          <cell r="A3811" t="str">
            <v>SEOI-7032-AC-2-A4</v>
          </cell>
          <cell r="B3811" t="str">
            <v>MONITOR-GEN II 32-CH AC 2.4GHz</v>
          </cell>
        </row>
        <row r="3812">
          <cell r="A3812" t="str">
            <v>SEOI-7530-2.4-AC-I</v>
          </cell>
          <cell r="B3812" t="str">
            <v>GEN II WIREFREE RELAYER 2.4 GHz 120/240 AC FIBERGLASS</v>
          </cell>
        </row>
        <row r="3813">
          <cell r="A3813" t="str">
            <v>SEOI-9100-2</v>
          </cell>
          <cell r="B3813" t="str">
            <v>WIREFREE VIEW HANDHELD-GEN II 2.4 GHz</v>
          </cell>
        </row>
        <row r="3814">
          <cell r="A3814" t="str">
            <v>SEOI-PMC-24V075W1AA</v>
          </cell>
          <cell r="B3814" t="str">
            <v>PWR-DELTA PWR SUPPLY 100-240AC IN 24VDC OUT 75 WATT 3.125A</v>
          </cell>
        </row>
        <row r="3815">
          <cell r="A3815" t="str">
            <v>SERVIMANTE</v>
          </cell>
          <cell r="B3815" t="str">
            <v xml:space="preserve">NO USAR. NO </v>
          </cell>
        </row>
        <row r="3816">
          <cell r="A3816" t="str">
            <v>SESE-302-AW-135</v>
          </cell>
          <cell r="B3816" t="str">
            <v>DETECTOR TERMICO PARA EXTERIOR 302-AW-135</v>
          </cell>
        </row>
        <row r="3817">
          <cell r="A3817" t="str">
            <v>SESE-302-AW-194</v>
          </cell>
          <cell r="B3817" t="str">
            <v>DETECTOR TERMICO PARA EXTERIOR 302-AW-194</v>
          </cell>
        </row>
        <row r="3818">
          <cell r="A3818" t="str">
            <v>SESE-302-EPM135</v>
          </cell>
          <cell r="B3818" t="str">
            <v>DETECTOR TERMICO PARA EXPLOSION 302-EPM-135</v>
          </cell>
        </row>
        <row r="3819">
          <cell r="A3819" t="str">
            <v>SESE-302-EPM194</v>
          </cell>
          <cell r="B3819" t="str">
            <v xml:space="preserve">DETECTOR TERMICO PARA EXPLOSION </v>
          </cell>
        </row>
        <row r="3820">
          <cell r="A3820" t="str">
            <v>SESE-302-ET-135</v>
          </cell>
          <cell r="B3820" t="str">
            <v>TODO TIPO DE CLIMA MONTAJE VERTICAL</v>
          </cell>
        </row>
        <row r="3821">
          <cell r="A3821" t="str">
            <v>SESE-9207006-00</v>
          </cell>
          <cell r="B3821" t="str">
            <v>SIRENA MULTITONO EXTERIOR QAA5230</v>
          </cell>
        </row>
        <row r="3822">
          <cell r="A3822" t="str">
            <v>SESE-B200SR-000</v>
          </cell>
          <cell r="B3822" t="str">
            <v>BASE AUDIBLE DETECT. INTELIG. SECUTRONB200SR</v>
          </cell>
        </row>
        <row r="3823">
          <cell r="A3823" t="str">
            <v>SESE-B2010-01-0</v>
          </cell>
          <cell r="B3823" t="str">
            <v xml:space="preserve">MODULO DE SERVIDOR </v>
          </cell>
        </row>
        <row r="3824">
          <cell r="A3824" t="str">
            <v>SESE-B210LP-00000</v>
          </cell>
          <cell r="B3824" t="str">
            <v>Base para detector puntual tecnologia Laser Pinnacle</v>
          </cell>
        </row>
        <row r="3825">
          <cell r="A3825" t="str">
            <v>SESE-B501-00000</v>
          </cell>
          <cell r="B3825" t="str">
            <v xml:space="preserve">BASE PARA DETECTORES INTELIGEN </v>
          </cell>
        </row>
        <row r="3826">
          <cell r="A3826" t="str">
            <v>SESE-B501B-FTX-</v>
          </cell>
          <cell r="B3826" t="str">
            <v xml:space="preserve">BASE FILTREX </v>
          </cell>
        </row>
        <row r="3827">
          <cell r="A3827" t="str">
            <v>SESE-BA-100-000</v>
          </cell>
          <cell r="B3827" t="str">
            <v xml:space="preserve">BATERIA DE 10.0 AH </v>
          </cell>
        </row>
        <row r="3828">
          <cell r="A3828" t="str">
            <v>SESE-BA-104-000</v>
          </cell>
          <cell r="B3828" t="str">
            <v>BATERIA 4 AH - 24 VDC</v>
          </cell>
        </row>
        <row r="3829">
          <cell r="A3829" t="str">
            <v>SESE-BA-1065-000</v>
          </cell>
          <cell r="B3829" t="str">
            <v>BATERIA 7 AH - 24 VDC</v>
          </cell>
        </row>
        <row r="3830">
          <cell r="A3830" t="str">
            <v>SESE-BA-1065-12</v>
          </cell>
          <cell r="B3830" t="str">
            <v>BATERIA 12 VDC/7 AH</v>
          </cell>
        </row>
        <row r="3831">
          <cell r="A3831" t="str">
            <v>SESE-BA-110-000</v>
          </cell>
          <cell r="B3831" t="str">
            <v>BATERIA 12 AH - 24 VDC</v>
          </cell>
        </row>
        <row r="3832">
          <cell r="A3832" t="str">
            <v>SESE-BA-110-12</v>
          </cell>
          <cell r="B3832" t="str">
            <v>BATERIA 12 VDC / 12 AH</v>
          </cell>
        </row>
        <row r="3833">
          <cell r="A3833" t="str">
            <v>SESE-BA-18-00</v>
          </cell>
          <cell r="B3833" t="str">
            <v>BATERIA 18 AH - 12 V. SLA 1116</v>
          </cell>
        </row>
        <row r="3834">
          <cell r="A3834" t="str">
            <v>SESE-BA-50-00</v>
          </cell>
          <cell r="B3834" t="str">
            <v>BATERIA 50 AH - 12 V. 12500</v>
          </cell>
        </row>
        <row r="3835">
          <cell r="A3835" t="str">
            <v>SESE-BB-1002-00</v>
          </cell>
          <cell r="B3835" t="str">
            <v xml:space="preserve">GABINETE PARA ANUNCIADOR </v>
          </cell>
        </row>
        <row r="3836">
          <cell r="A3836" t="str">
            <v>SESE-BB-1008-00</v>
          </cell>
          <cell r="B3836" t="str">
            <v xml:space="preserve">PUER.MET.ANUC. SERIE 1000 8 MO </v>
          </cell>
        </row>
        <row r="3837">
          <cell r="A3837" t="str">
            <v>SESE-BB-330-000</v>
          </cell>
          <cell r="B3837" t="str">
            <v xml:space="preserve">CAJA PARA TELEFONO DE MANO </v>
          </cell>
        </row>
        <row r="3838">
          <cell r="A3838" t="str">
            <v>SESE-BB-6-00000</v>
          </cell>
          <cell r="B3838" t="str">
            <v xml:space="preserve">MODULO ADDRESSABLE DE GABINETE </v>
          </cell>
        </row>
        <row r="3839">
          <cell r="A3839" t="str">
            <v>SESE-BEAM200-00</v>
          </cell>
          <cell r="B3839" t="str">
            <v xml:space="preserve">BEAM DETECTOR INTELIGENTE </v>
          </cell>
        </row>
        <row r="3840">
          <cell r="A3840" t="str">
            <v>SESE-CF-135-EWT</v>
          </cell>
          <cell r="B3840" t="str">
            <v>DETECTOR Tº C/PROTEC. EXTERIOR 300</v>
          </cell>
        </row>
        <row r="3841">
          <cell r="A3841" t="str">
            <v>SESE-CF-135-EXT</v>
          </cell>
          <cell r="B3841" t="str">
            <v>DETECTOR Tº C/PROTEC. EXTERIOR 300</v>
          </cell>
        </row>
        <row r="3842">
          <cell r="A3842" t="str">
            <v>SESE-CFG-300-00</v>
          </cell>
          <cell r="B3842" t="str">
            <v xml:space="preserve">CABLE PARA PROGRAMACION MR2320 </v>
          </cell>
        </row>
        <row r="3843">
          <cell r="A3843" t="str">
            <v>SESE-CH-6-00000</v>
          </cell>
          <cell r="B3843" t="str">
            <v>CHASSIS6 MB</v>
          </cell>
        </row>
        <row r="3844">
          <cell r="A3844" t="str">
            <v>SESE-CR-6-00000</v>
          </cell>
          <cell r="B3844" t="str">
            <v xml:space="preserve">RELAY PARA 6 CONTROL MODULO </v>
          </cell>
        </row>
        <row r="3845">
          <cell r="A3845" t="str">
            <v>SESE-D2-0000000</v>
          </cell>
          <cell r="B3845" t="str">
            <v>DETECTOR DE DUCTO D2 SYSTEM SENSORD2</v>
          </cell>
        </row>
        <row r="3846">
          <cell r="A3846" t="str">
            <v>SESE-DH24120FPC</v>
          </cell>
          <cell r="B3846" t="str">
            <v xml:space="preserve">RETENEDOR DE PUERTA </v>
          </cell>
        </row>
        <row r="3847">
          <cell r="A3847" t="str">
            <v>SESE-DH24120GPC</v>
          </cell>
          <cell r="B3847" t="str">
            <v xml:space="preserve">RETENEDOR DE PUERTA AL PISO </v>
          </cell>
        </row>
        <row r="3848">
          <cell r="A3848" t="str">
            <v>SESE-DNR-000000</v>
          </cell>
          <cell r="B3848" t="str">
            <v xml:space="preserve">DETECTOR DE DUCTO INTELIGENTE </v>
          </cell>
        </row>
        <row r="3849">
          <cell r="A3849" t="str">
            <v>SESE-DS-8704-02</v>
          </cell>
          <cell r="B3849" t="str">
            <v xml:space="preserve">DRIVER BACNET ETERNET </v>
          </cell>
        </row>
        <row r="3850">
          <cell r="A3850" t="str">
            <v>SESE-DSPL420</v>
          </cell>
          <cell r="B3850" t="str">
            <v>DISPLAY 4 LINEAS 20 CARACTERES</v>
          </cell>
        </row>
        <row r="3851">
          <cell r="A3851" t="str">
            <v>SESE-DST3-00000</v>
          </cell>
          <cell r="B3851" t="str">
            <v xml:space="preserve">SAMPLING TUBE </v>
          </cell>
        </row>
        <row r="3852">
          <cell r="A3852" t="str">
            <v>SESE-EVAX100R/4</v>
          </cell>
          <cell r="B3852" t="str">
            <v xml:space="preserve">PANEL DE AUDIOEVACUACION </v>
          </cell>
        </row>
        <row r="3853">
          <cell r="A3853" t="str">
            <v>SESE-EVAX25R/4-</v>
          </cell>
          <cell r="B3853" t="str">
            <v xml:space="preserve">PANEL DE AUDIOEVACUACION 25 W </v>
          </cell>
        </row>
        <row r="3854">
          <cell r="A3854" t="str">
            <v>SESE-FA1025TRED</v>
          </cell>
          <cell r="B3854" t="str">
            <v xml:space="preserve">PANEL CONVENCIONAL DE 5 ZONAS </v>
          </cell>
        </row>
        <row r="3855">
          <cell r="A3855" t="str">
            <v>SESE-FA-102TRED</v>
          </cell>
          <cell r="B3855" t="str">
            <v xml:space="preserve">PANEL CONVENCIONAL DE 2 ZONAS </v>
          </cell>
        </row>
        <row r="3856">
          <cell r="A3856" t="str">
            <v>SESE-FH-100A-00</v>
          </cell>
          <cell r="B3856" t="str">
            <v xml:space="preserve">TELEFONO DE EMERGENCIA </v>
          </cell>
        </row>
        <row r="3857">
          <cell r="A3857" t="str">
            <v>SESE-FH-240W-00</v>
          </cell>
          <cell r="B3857" t="str">
            <v xml:space="preserve">LUZ ESTROBOSCOPICA MIRCOM </v>
          </cell>
        </row>
        <row r="3858">
          <cell r="A3858" t="str">
            <v>SESE-FHC-300</v>
          </cell>
          <cell r="B3858" t="str">
            <v>CAJA PARA 6 TELEFONOS PORTATILES</v>
          </cell>
        </row>
        <row r="3859">
          <cell r="A3859" t="str">
            <v>SESE-FJ-100-000</v>
          </cell>
          <cell r="B3859" t="str">
            <v xml:space="preserve">PHONE JACK </v>
          </cell>
        </row>
        <row r="3860">
          <cell r="A3860" t="str">
            <v>SESE-FS-8700-72</v>
          </cell>
          <cell r="B3860" t="str">
            <v xml:space="preserve">DRIVER BACNET </v>
          </cell>
        </row>
        <row r="3861">
          <cell r="A3861" t="str">
            <v>SESE-FS-8704-02</v>
          </cell>
          <cell r="B3861" t="str">
            <v xml:space="preserve">DRIVER PARA ETHERNET </v>
          </cell>
        </row>
        <row r="3862">
          <cell r="A3862" t="str">
            <v>SESE-FS-8704-03</v>
          </cell>
          <cell r="B3862" t="str">
            <v xml:space="preserve">MODBUS TCP/IP </v>
          </cell>
        </row>
        <row r="3863">
          <cell r="A3863" t="str">
            <v>SESE-FS-8790-10</v>
          </cell>
          <cell r="B3863" t="str">
            <v xml:space="preserve">PARA AUMENTO DE 1000 PUNTOS </v>
          </cell>
        </row>
        <row r="3864">
          <cell r="A3864" t="str">
            <v>SESE-FS-8915-28</v>
          </cell>
          <cell r="B3864" t="str">
            <v xml:space="preserve">RAIL DE MONTAJE </v>
          </cell>
        </row>
        <row r="3865">
          <cell r="A3865" t="str">
            <v>SESE-FS-B2010-1</v>
          </cell>
          <cell r="B3865" t="str">
            <v>MODULO DE SERVIDOR300A</v>
          </cell>
        </row>
        <row r="3866">
          <cell r="A3866" t="str">
            <v>SESE-FT-300A-00</v>
          </cell>
          <cell r="B3866" t="str">
            <v xml:space="preserve">CHASSIS CON TELEFONO </v>
          </cell>
        </row>
        <row r="3867">
          <cell r="A3867" t="str">
            <v>SESE-FTX-P1-000</v>
          </cell>
          <cell r="B3867" t="str">
            <v xml:space="preserve">DETECTOR FILTREX </v>
          </cell>
        </row>
        <row r="3868">
          <cell r="A3868" t="str">
            <v>SESE-GL-007K-00</v>
          </cell>
          <cell r="B3868" t="str">
            <v xml:space="preserve">VIDRIO PARA ESTACION MANUAL </v>
          </cell>
        </row>
        <row r="3869">
          <cell r="A3869" t="str">
            <v>SESE-GN-RS-232</v>
          </cell>
          <cell r="B3869" t="str">
            <v>Secutron Open GN RS-232</v>
          </cell>
        </row>
        <row r="3870">
          <cell r="A3870" t="str">
            <v>SESE-IB-104</v>
          </cell>
          <cell r="B3870" t="str">
            <v>4 IN RND FLUSH B/BOX</v>
          </cell>
        </row>
        <row r="3871">
          <cell r="A3871" t="str">
            <v>SESE-IND-2251B</v>
          </cell>
          <cell r="B3871" t="str">
            <v>DETECTOR FOTOELECTRICO INTELGE ( I )</v>
          </cell>
        </row>
        <row r="3872">
          <cell r="A3872" t="str">
            <v>SESE-IND-5251RB</v>
          </cell>
          <cell r="B3872" t="str">
            <v xml:space="preserve">DETECTOR TERMICO INTELIGENTE (IN) </v>
          </cell>
        </row>
        <row r="3873">
          <cell r="A3873" t="str">
            <v>SESE-IND-B501</v>
          </cell>
          <cell r="B3873" t="str">
            <v>BASE PARA DETECTORES INTELIGEN</v>
          </cell>
        </row>
        <row r="3874">
          <cell r="A3874" t="str">
            <v>SESE-IND-M500M</v>
          </cell>
          <cell r="B3874" t="str">
            <v>MODULO DE MONITOREO</v>
          </cell>
        </row>
        <row r="3875">
          <cell r="A3875" t="str">
            <v>SESE-IND-M500R</v>
          </cell>
          <cell r="B3875" t="str">
            <v>MODULO DE RELAY</v>
          </cell>
        </row>
        <row r="3876">
          <cell r="A3876" t="str">
            <v>SESE-IND-M500S</v>
          </cell>
          <cell r="B3876" t="str">
            <v>MODULO DE CONTROL</v>
          </cell>
        </row>
        <row r="3877">
          <cell r="A3877" t="str">
            <v>SESE-MCH-001-00</v>
          </cell>
          <cell r="B3877" t="str">
            <v xml:space="preserve">TAPA DE PANEL </v>
          </cell>
        </row>
        <row r="3878">
          <cell r="A3878" t="str">
            <v>SESE-MD-525-000</v>
          </cell>
          <cell r="B3878" t="str">
            <v xml:space="preserve">CABLE DE DETECCION A EVACUACIO </v>
          </cell>
        </row>
        <row r="3879">
          <cell r="A3879" t="str">
            <v>SESE-MISC6-2100</v>
          </cell>
          <cell r="B3879" t="str">
            <v xml:space="preserve">TRANSFORMADOR P/MR-2100R </v>
          </cell>
        </row>
        <row r="3880">
          <cell r="A3880" t="str">
            <v>SESE-MISC6-2200</v>
          </cell>
          <cell r="B3880" t="str">
            <v xml:space="preserve">TRANSFORMADOR P/MR-2200R </v>
          </cell>
        </row>
        <row r="3881">
          <cell r="A3881" t="str">
            <v>SESE-MISC6-2312</v>
          </cell>
          <cell r="B3881" t="str">
            <v xml:space="preserve">TRANSFORMADOR P/MR-2312LDR </v>
          </cell>
        </row>
        <row r="3882">
          <cell r="A3882" t="str">
            <v>SESE-MISC6-2320</v>
          </cell>
          <cell r="B3882" t="str">
            <v xml:space="preserve">TRANSFORMADOR P/MR-2320R </v>
          </cell>
        </row>
        <row r="3883">
          <cell r="A3883" t="str">
            <v>SESE-MISC6-2605</v>
          </cell>
          <cell r="B3883" t="str">
            <v xml:space="preserve">TRANSFORMADOR P/MR-2605R </v>
          </cell>
        </row>
        <row r="3884">
          <cell r="A3884" t="str">
            <v>SESE-MISC6-2900</v>
          </cell>
          <cell r="B3884" t="str">
            <v xml:space="preserve">TRANSFORMADOR P/MR-2900KR </v>
          </cell>
        </row>
        <row r="3885">
          <cell r="A3885" t="str">
            <v>SESE-MMX-2000MNS</v>
          </cell>
          <cell r="B3885" t="str">
            <v>NETWORK INTELLIGENT FIRE CLARM CONTROL CHASSIS</v>
          </cell>
        </row>
        <row r="3886">
          <cell r="A3886" t="str">
            <v>SESE-MMX-2003-12NDS</v>
          </cell>
          <cell r="B3886" t="str">
            <v>NETWORKABLE INTELLIGENT FIRE ALARM CONTROL CHASSIS</v>
          </cell>
        </row>
        <row r="3887">
          <cell r="A3887" t="str">
            <v>SESE-MMX-2017-12NDS</v>
          </cell>
          <cell r="B3887" t="str">
            <v>NETWORKABLE INTELLIGENT FIRE ALARM CONTROL CHASSIS</v>
          </cell>
        </row>
        <row r="3888">
          <cell r="A3888" t="str">
            <v>SESE-MMX-ALCN-792D</v>
          </cell>
          <cell r="B3888" t="str">
            <v>DAUGHTER BOARD FOR ALC-792M QUAD LOOP CONTROLLER MOD. CONNEC</v>
          </cell>
        </row>
        <row r="3889">
          <cell r="A3889" t="str">
            <v>SESE-MMX-ALCN-792M</v>
          </cell>
          <cell r="B3889" t="str">
            <v>NETWORK QUAD LOOP CONTROLLER MODULE</v>
          </cell>
        </row>
        <row r="3890">
          <cell r="A3890" t="str">
            <v>SESE-MMX-ANC-5000</v>
          </cell>
          <cell r="B3890" t="str">
            <v>AUDIO NETWORK CONTROLLER MOUNTS IN QMB-5000N OR 2009-12</v>
          </cell>
        </row>
        <row r="3891">
          <cell r="A3891" t="str">
            <v>SESE-MMX-AUD-SKEY</v>
          </cell>
          <cell r="B3891" t="str">
            <v>STANDALONE SYSTEM WITH AUDIO SECURITY KEY</v>
          </cell>
        </row>
        <row r="3892">
          <cell r="A3892" t="str">
            <v>SESE-MMX-BB-1001</v>
          </cell>
          <cell r="B3892" t="str">
            <v>GABINETE ANUNCIADOR MMX</v>
          </cell>
        </row>
        <row r="3893">
          <cell r="A3893" t="str">
            <v>SESE-MMX-BBX-1072ARD</v>
          </cell>
          <cell r="B3893" t="str">
            <v>BACKBOX ENCLOSURE FOR MIDSIZE MMX C/W REMOVABLE DOOR</v>
          </cell>
        </row>
        <row r="3894">
          <cell r="A3894" t="str">
            <v>SESE-MMX-BBX-FXMNSR</v>
          </cell>
          <cell r="B3894" t="str">
            <v>NOTIFICATION ENCLOSURE BLACK BACKBOX ITH INNER DOOR AND RED</v>
          </cell>
        </row>
        <row r="3895">
          <cell r="A3895" t="str">
            <v>SESE-MMX-DOX-1024DSR</v>
          </cell>
          <cell r="B3895" t="str">
            <v>UNIVERSAL DOOR FOR COMPACT BACKBOX, RED</v>
          </cell>
        </row>
        <row r="3896">
          <cell r="A3896" t="str">
            <v>SESE-MMX-DSPL-2440</v>
          </cell>
          <cell r="B3896" t="str">
            <v>GRAPHICAL MAIN DISPLAY C/W 24 LINE X 40 CHARACTER BACK -LITS</v>
          </cell>
        </row>
        <row r="3897">
          <cell r="A3897" t="str">
            <v>SESE-MMX-DSPL-2441</v>
          </cell>
          <cell r="B3897" t="str">
            <v>GRAPHICAL MAIN DISPLAY</v>
          </cell>
        </row>
        <row r="3898">
          <cell r="A3898" t="str">
            <v>SESE-MMX-MGC-LIC-BAC</v>
          </cell>
          <cell r="B3898" t="str">
            <v>Fire Alarm Network BacNET Single User License</v>
          </cell>
        </row>
        <row r="3899">
          <cell r="A3899" t="str">
            <v>SESE-MMX-MP-300</v>
          </cell>
          <cell r="B3899" t="str">
            <v>EOL RESISTOR PLATE SERIES 5000 AUDIO SYSTEM 22K 2 WATT</v>
          </cell>
        </row>
        <row r="3900">
          <cell r="A3900" t="str">
            <v>SESE-MMX-MP-302</v>
          </cell>
          <cell r="B3900" t="str">
            <v>EOL RESISTOR PLATE SERIES 5000 AUDIO SYSTEM 22K 2 WATT</v>
          </cell>
        </row>
        <row r="3901">
          <cell r="A3901" t="str">
            <v>SESE-MMX-MRI-M500FP</v>
          </cell>
          <cell r="B3901" t="str">
            <v>ADDRESSABLE FIREPHONE MODULE</v>
          </cell>
        </row>
        <row r="3902">
          <cell r="A3902" t="str">
            <v>SESE-MMX-NET-AUD-SKE</v>
          </cell>
          <cell r="B3902" t="str">
            <v>MMX NETWOK SYSTEM WITH AUDIO SECURITY KEY</v>
          </cell>
        </row>
        <row r="3903">
          <cell r="A3903" t="str">
            <v>SESE-MMX-PS-2040</v>
          </cell>
          <cell r="B3903" t="str">
            <v>NETWORK FIRE ALARM Y AUDIO POWER SUPPLY MOUNTS IN A BBX-FXMN</v>
          </cell>
        </row>
        <row r="3904">
          <cell r="A3904" t="str">
            <v>SESE-MMX-QAA-5230-70</v>
          </cell>
          <cell r="B3904" t="str">
            <v>Field Selectable 70 or 25 Volt Dual 30 Watt Amplifiers</v>
          </cell>
        </row>
        <row r="3905">
          <cell r="A3905" t="str">
            <v>SESE-MMX-QAZT-5302DS</v>
          </cell>
          <cell r="B3905" t="str">
            <v>ADDRESSABLE ZONED PAGING/FIREFIGHTER CONTROL UNIT OR BB-5008</v>
          </cell>
        </row>
        <row r="3906">
          <cell r="A3906" t="str">
            <v>SESE-MMX-QMB-5000N</v>
          </cell>
          <cell r="B3906" t="str">
            <v>NETWORK AUDIO CONTROL CHASSIS</v>
          </cell>
        </row>
        <row r="3907">
          <cell r="A3907" t="str">
            <v>SESE-MMX-QMP-5101NV</v>
          </cell>
          <cell r="B3907" t="str">
            <v>VERTICAL MOUNT C/W PAGING MICROPHONE COMMON CONT. FUNCTIONS</v>
          </cell>
        </row>
        <row r="3908">
          <cell r="A3908" t="str">
            <v>SESE-MMX-QMT-5302NV</v>
          </cell>
          <cell r="B3908" t="str">
            <v xml:space="preserve">USED WITH QAZT-5302 SELECTOR PANEL MOUNT IN BBX-FXMNS </v>
          </cell>
        </row>
        <row r="3909">
          <cell r="A3909" t="str">
            <v>SESE-MMX-RAXN-LCD</v>
          </cell>
          <cell r="B3909" t="str">
            <v>ANUNCIADOR REMOTO MMX</v>
          </cell>
        </row>
        <row r="3910">
          <cell r="A3910" t="str">
            <v>SESE-MMX-SKEY</v>
          </cell>
          <cell r="B3910" t="str">
            <v>STANDALONE SYSTEM SECURITY KEY</v>
          </cell>
        </row>
        <row r="3911">
          <cell r="A3911" t="str">
            <v>SESE-MMX-TNC-5000</v>
          </cell>
          <cell r="B3911" t="str">
            <v>TELEPHONE NETWORK CONTROLLER MODULE C/W FIRE PHONE CIRCUITS</v>
          </cell>
        </row>
        <row r="3912">
          <cell r="A3912" t="str">
            <v>SESE-MMX-UB-1024DS</v>
          </cell>
          <cell r="B3912" t="str">
            <v>UNIVERSAL BACKBOX FOR COMPACT MAIN CONTROL UNITS, BLACK</v>
          </cell>
        </row>
        <row r="3913">
          <cell r="A3913" t="str">
            <v>SESE-MMX-UIMA</v>
          </cell>
          <cell r="B3913" t="str">
            <v>UNIV. PROGRAMMING TOOL, SERIAL OR USB INTERCONNETING</v>
          </cell>
        </row>
        <row r="3914">
          <cell r="A3914" t="str">
            <v>SESE-MPS-400X</v>
          </cell>
          <cell r="B3914" t="str">
            <v>MANUAL PULL STATION, EXPLOSION PROOF KEY RESET</v>
          </cell>
        </row>
        <row r="3915">
          <cell r="A3915" t="str">
            <v>SESE-MR-2100R-0</v>
          </cell>
          <cell r="B3915" t="str">
            <v xml:space="preserve">UNIDAD DE CONTROL DE UN LAZO </v>
          </cell>
        </row>
        <row r="3916">
          <cell r="A3916" t="str">
            <v>SESE-MR-2109-2-</v>
          </cell>
          <cell r="B3916" t="str">
            <v>DRIVER MR2944/SE2000 SECUTRONMR-2109-2</v>
          </cell>
        </row>
        <row r="3917">
          <cell r="A3917" t="str">
            <v>SESE-MR-2109-3-</v>
          </cell>
          <cell r="B3917" t="str">
            <v xml:space="preserve">DRIVER MR2900/MR2644 </v>
          </cell>
        </row>
        <row r="3918">
          <cell r="A3918" t="str">
            <v>SESE-MR-2109-4-</v>
          </cell>
          <cell r="B3918" t="str">
            <v xml:space="preserve">DRIVER PARA GRAFICO DE COLOR </v>
          </cell>
        </row>
        <row r="3919">
          <cell r="A3919" t="str">
            <v>SESE-MR-2200R-0</v>
          </cell>
          <cell r="B3919" t="str">
            <v>UNIDAD DE CONTROL DE DOS LAZOS</v>
          </cell>
        </row>
        <row r="3920">
          <cell r="A3920" t="str">
            <v>SESE-MR22NTWR-0</v>
          </cell>
          <cell r="B3920" t="str">
            <v xml:space="preserve">TARJETA DE RED PARA MR-2200 </v>
          </cell>
        </row>
        <row r="3921">
          <cell r="A3921" t="str">
            <v>SESE-MR-2306-R6</v>
          </cell>
          <cell r="B3921" t="str">
            <v xml:space="preserve">TARJETA DE RELE 6 ZONAS </v>
          </cell>
        </row>
        <row r="3922">
          <cell r="A3922" t="str">
            <v>SESE-MR-2312LDR</v>
          </cell>
          <cell r="B3922" t="str">
            <v>FIRE PANEL MIRCOPR BASED SECUTRON</v>
          </cell>
        </row>
        <row r="3923">
          <cell r="A3923" t="str">
            <v>SESE-MR-2320R-0</v>
          </cell>
          <cell r="B3923" t="str">
            <v xml:space="preserve">PANEL DE DESCARGA </v>
          </cell>
        </row>
        <row r="3924">
          <cell r="A3924" t="str">
            <v>SESE-MR-2602R-0</v>
          </cell>
          <cell r="B3924" t="str">
            <v xml:space="preserve">UNIDAD CONVENCIONAL DE 2 ZONAS </v>
          </cell>
        </row>
        <row r="3925">
          <cell r="A3925" t="str">
            <v>SESE-MR-2605R-0</v>
          </cell>
          <cell r="B3925" t="str">
            <v xml:space="preserve">UNIDAD CONVENCIONAL DE 5 ZONAS </v>
          </cell>
        </row>
        <row r="3926">
          <cell r="A3926" t="str">
            <v>SESE-MR-2644R-0</v>
          </cell>
          <cell r="B3926" t="str">
            <v xml:space="preserve">LCD REMOTO </v>
          </cell>
        </row>
        <row r="3927">
          <cell r="A3927" t="str">
            <v>SESE-MR-2644SMR</v>
          </cell>
          <cell r="B3927" t="str">
            <v xml:space="preserve">CAJA ROJA DE MONTAJE </v>
          </cell>
        </row>
        <row r="3928">
          <cell r="A3928" t="str">
            <v>SESE-MR-2900-00</v>
          </cell>
          <cell r="B3928" t="str">
            <v xml:space="preserve">PANEL MR-2900 </v>
          </cell>
        </row>
        <row r="3929">
          <cell r="A3929" t="str">
            <v>SESE-MR-2900-09</v>
          </cell>
          <cell r="B3929" t="str">
            <v>INACTIVO SECUTRON</v>
          </cell>
        </row>
        <row r="3930">
          <cell r="A3930" t="str">
            <v>SESE-MR-2900-3B</v>
          </cell>
          <cell r="B3930" t="str">
            <v>ACTUALIZADOR TARJ.LAZO 2909-3B SECUTRON</v>
          </cell>
        </row>
        <row r="3931">
          <cell r="A3931" t="str">
            <v>SESE-MR-2900-8M</v>
          </cell>
          <cell r="B3931" t="str">
            <v xml:space="preserve">TARJETA DE MEMORIA </v>
          </cell>
        </row>
        <row r="3932">
          <cell r="A3932" t="str">
            <v>SESE-MR-2900KR-</v>
          </cell>
          <cell r="B3932" t="str">
            <v>PANEL MR-2900 KR C/TARJ 8 LAZO SECUTRONMR-2900KR</v>
          </cell>
        </row>
        <row r="3933">
          <cell r="A3933" t="str">
            <v>SESE-MR-2902-00</v>
          </cell>
          <cell r="B3933" t="str">
            <v>LED BOARD 24 ZONES X 3 DISPLAY MR-2902MR-2902</v>
          </cell>
        </row>
        <row r="3934">
          <cell r="A3934" t="str">
            <v>SESE-MR-2905M-0</v>
          </cell>
          <cell r="B3934" t="str">
            <v>FUENTE DE PODER PARA MR-2900KR MR-2905MMR-2905M</v>
          </cell>
        </row>
        <row r="3935">
          <cell r="A3935" t="str">
            <v>SESE-MR-2909-00</v>
          </cell>
          <cell r="B3935" t="str">
            <v xml:space="preserve">S/DETALLE2 </v>
          </cell>
        </row>
        <row r="3936">
          <cell r="A3936" t="str">
            <v>SESE-MR-2910-00</v>
          </cell>
          <cell r="B3936" t="str">
            <v xml:space="preserve">COMUNICADOR DE RED </v>
          </cell>
        </row>
        <row r="3937">
          <cell r="A3937" t="str">
            <v>SESE-MR-2910-R1</v>
          </cell>
          <cell r="B3937" t="str">
            <v xml:space="preserve">COMUNICADOR DE RED R1 </v>
          </cell>
        </row>
        <row r="3938">
          <cell r="A3938" t="str">
            <v>SESE-MR-2910-R2</v>
          </cell>
          <cell r="B3938" t="str">
            <v xml:space="preserve">COMUNICADOR DE RED R2 </v>
          </cell>
        </row>
        <row r="3939">
          <cell r="A3939" t="str">
            <v>SESE-MR-2920-00</v>
          </cell>
          <cell r="B3939" t="str">
            <v xml:space="preserve">PANEL INTELIGENTE C / IMPRESORA </v>
          </cell>
        </row>
        <row r="3940">
          <cell r="A3940" t="str">
            <v>SESE-MR-2926-00</v>
          </cell>
          <cell r="B3940" t="str">
            <v xml:space="preserve">TARJETA 8 SALIDAS PARA MR-2900 </v>
          </cell>
        </row>
        <row r="3941">
          <cell r="A3941" t="str">
            <v>SESE-MR-2928-00</v>
          </cell>
          <cell r="B3941" t="str">
            <v xml:space="preserve">TARJETA P/ DETECTORES CONVECIO </v>
          </cell>
        </row>
        <row r="3942">
          <cell r="A3942" t="str">
            <v>SESE-MR-2929-00</v>
          </cell>
          <cell r="B3942" t="str">
            <v xml:space="preserve">TARJETA DIRECCIONABLE CKT MOD </v>
          </cell>
        </row>
        <row r="3943">
          <cell r="A3943" t="str">
            <v>SESE-MR-2931-00</v>
          </cell>
          <cell r="B3943" t="str">
            <v xml:space="preserve">TARJETA MADRE PROCESADOR 2900 </v>
          </cell>
        </row>
        <row r="3944">
          <cell r="A3944" t="str">
            <v>SESE-MR-2936-00</v>
          </cell>
          <cell r="B3944" t="str">
            <v xml:space="preserve">TARJETA UNIVER 8 CIRCU CLASE B </v>
          </cell>
        </row>
        <row r="3945">
          <cell r="A3945" t="str">
            <v>SESE-MR-2938</v>
          </cell>
          <cell r="B3945" t="str">
            <v>CLASS A CONVENT. INPUT CKT MOD SECUTRONMR-2938</v>
          </cell>
        </row>
        <row r="3946">
          <cell r="A3946" t="str">
            <v>SESE-MR-2938-00</v>
          </cell>
          <cell r="B3946" t="str">
            <v>CLASS A CONVENT. INPUT CKT MOD SECUTRONMR-2938</v>
          </cell>
        </row>
        <row r="3947">
          <cell r="A3947" t="str">
            <v>SESE-MR-2944S-0</v>
          </cell>
          <cell r="B3947" t="str">
            <v xml:space="preserve">ANUNCIADOR REMOTO PARA MR-2900 </v>
          </cell>
        </row>
        <row r="3948">
          <cell r="A3948" t="str">
            <v>SESE-MRD2900CBL</v>
          </cell>
          <cell r="B3948" t="str">
            <v xml:space="preserve">CABLE PROGRAMACION MR-2900 </v>
          </cell>
        </row>
        <row r="3949">
          <cell r="A3949" t="str">
            <v>SESE-MRDL</v>
          </cell>
          <cell r="B3949" t="str">
            <v>CONEXION REMOTA PARA PANEL 2100</v>
          </cell>
        </row>
        <row r="3950">
          <cell r="A3950" t="str">
            <v>SESE-MR-GRIDII-</v>
          </cell>
          <cell r="B3950" t="str">
            <v xml:space="preserve">SOFTWARE PARA GRAFICO DE COLOR </v>
          </cell>
        </row>
        <row r="3951">
          <cell r="A3951" t="str">
            <v>SESE-MRI-2251B-</v>
          </cell>
          <cell r="B3951" t="str">
            <v xml:space="preserve">DETECTOR FOTOELECTRICO INTELIGENTE </v>
          </cell>
        </row>
        <row r="3952">
          <cell r="A3952" t="str">
            <v>SESE-MRI-2251TB</v>
          </cell>
          <cell r="B3952" t="str">
            <v>DETECTOR FOTOELECTRICO TEMP.</v>
          </cell>
        </row>
        <row r="3953">
          <cell r="A3953" t="str">
            <v>SESE-MRI2251TMB</v>
          </cell>
          <cell r="B3953" t="str">
            <v xml:space="preserve">DETECTOR MULTICRITERIO </v>
          </cell>
        </row>
        <row r="3954">
          <cell r="A3954" t="str">
            <v>SESE-MRI-5251RB</v>
          </cell>
          <cell r="B3954" t="str">
            <v xml:space="preserve">DETECTOR TERMICO INTELIGENTE </v>
          </cell>
        </row>
        <row r="3955">
          <cell r="A3955" t="str">
            <v>SESE-MRIDH200PL</v>
          </cell>
          <cell r="B3955" t="str">
            <v>DETECTOR DE DUCTOINSTLACIONES</v>
          </cell>
        </row>
        <row r="3956">
          <cell r="A3956" t="str">
            <v>SESE-MRI-M500DM</v>
          </cell>
          <cell r="B3956" t="str">
            <v xml:space="preserve">MODULO MONITOREO DE ZONA </v>
          </cell>
        </row>
        <row r="3957">
          <cell r="A3957" t="str">
            <v>SESE-MRI-M500M-</v>
          </cell>
          <cell r="B3957" t="str">
            <v xml:space="preserve">MODULO DE MONITOREO </v>
          </cell>
        </row>
        <row r="3958">
          <cell r="A3958" t="str">
            <v>SESE-MRI-M500R-</v>
          </cell>
          <cell r="B3958" t="str">
            <v xml:space="preserve">MODULO DE RELAY </v>
          </cell>
        </row>
        <row r="3959">
          <cell r="A3959" t="str">
            <v>SESE-MRI-M500s-</v>
          </cell>
          <cell r="B3959" t="str">
            <v xml:space="preserve">MODULO DE CONTROL </v>
          </cell>
        </row>
        <row r="3960">
          <cell r="A3960" t="str">
            <v>SESE-MRI-M500X-</v>
          </cell>
          <cell r="B3960" t="str">
            <v xml:space="preserve">MODULO DE RIEGO </v>
          </cell>
        </row>
        <row r="3961">
          <cell r="A3961" t="str">
            <v>SESE-MRI-M501M-</v>
          </cell>
          <cell r="B3961" t="str">
            <v xml:space="preserve">MINI-MONITOR MODULO </v>
          </cell>
        </row>
        <row r="3962">
          <cell r="A3962" t="str">
            <v>SESE-MRI-M502M-</v>
          </cell>
          <cell r="B3962" t="str">
            <v xml:space="preserve">MODULO DE MONITOREO PARA 2 ACC </v>
          </cell>
        </row>
        <row r="3963">
          <cell r="A3963" t="str">
            <v>SESE-MRM-700-00</v>
          </cell>
          <cell r="B3963" t="str">
            <v xml:space="preserve">CAJA PARA SUPERFICIE </v>
          </cell>
        </row>
        <row r="3964">
          <cell r="A3964" t="str">
            <v>SESE-MRM-700WP-</v>
          </cell>
          <cell r="B3964" t="str">
            <v xml:space="preserve">CAJA DE MONTAJE EXTERIOR </v>
          </cell>
        </row>
        <row r="3965">
          <cell r="A3965" t="str">
            <v>SESE-MRM-710ADU</v>
          </cell>
          <cell r="B3965" t="str">
            <v xml:space="preserve">ESTACION MANUAL DE INCENDIO IN </v>
          </cell>
        </row>
        <row r="3966">
          <cell r="A3966" t="str">
            <v>SESE-MRM-710U-0</v>
          </cell>
          <cell r="B3966" t="str">
            <v xml:space="preserve">ESTACION MANUAL CONVENCIONAL </v>
          </cell>
        </row>
        <row r="3967">
          <cell r="A3967" t="str">
            <v>SESE-MRM-RMS6TEXP</v>
          </cell>
          <cell r="B3967" t="str">
            <v>EXPLOSION PROOF, DPDT C/W TERMINAL BLOCK</v>
          </cell>
        </row>
        <row r="3968">
          <cell r="A3968" t="str">
            <v>SESE-MRP-NPB6A-</v>
          </cell>
          <cell r="B3968" t="str">
            <v xml:space="preserve">POWER SUPPLY BOOSTER </v>
          </cell>
        </row>
        <row r="3969">
          <cell r="A3969" t="str">
            <v>SESE-MRPVP1004Z</v>
          </cell>
          <cell r="B3969" t="str">
            <v xml:space="preserve">PANEL DE AUDIO 100 WATTS </v>
          </cell>
        </row>
        <row r="3970">
          <cell r="A3970" t="str">
            <v>SESE-MRRL4-0000</v>
          </cell>
          <cell r="B3970" t="str">
            <v xml:space="preserve">TARJETA DE RELAY ADICIONAL </v>
          </cell>
        </row>
        <row r="3971">
          <cell r="A3971" t="str">
            <v>SESE-MS-703U-00</v>
          </cell>
          <cell r="B3971" t="str">
            <v xml:space="preserve">ESTACION MANUAL COLOR AZUL </v>
          </cell>
        </row>
        <row r="3972">
          <cell r="A3972" t="str">
            <v>SESE-MV-2644R-0</v>
          </cell>
          <cell r="B3972" t="str">
            <v xml:space="preserve">ANUNCIADOR REMOTO </v>
          </cell>
        </row>
        <row r="3973">
          <cell r="A3973" t="str">
            <v>SESE-MV-2644SMR</v>
          </cell>
          <cell r="B3973" t="str">
            <v xml:space="preserve">CHASSIS PARA ANUNCIADOR REMOTO </v>
          </cell>
        </row>
        <row r="3974">
          <cell r="A3974" t="str">
            <v>SESE-MV-2700-16</v>
          </cell>
          <cell r="B3974" t="str">
            <v xml:space="preserve">PANEL DE EVACUACION 16 SWITCHE </v>
          </cell>
        </row>
        <row r="3975">
          <cell r="A3975" t="str">
            <v>SESE-MV-2700-32</v>
          </cell>
          <cell r="B3975" t="str">
            <v xml:space="preserve">PANEL DE EVACUACION 32 SWITCHE </v>
          </cell>
        </row>
        <row r="3976">
          <cell r="A3976" t="str">
            <v>SESE-MV-DP100-0</v>
          </cell>
          <cell r="B3976" t="str">
            <v xml:space="preserve">PANEL DISTRIB. 100 W. 2 SALID </v>
          </cell>
        </row>
        <row r="3977">
          <cell r="A3977" t="str">
            <v>SESE-MV-DPS100-</v>
          </cell>
          <cell r="B3977" t="str">
            <v xml:space="preserve">PANEL DISTRIB. 100 W. 1 SALID </v>
          </cell>
        </row>
        <row r="3978">
          <cell r="A3978" t="str">
            <v>SESE-MX-MBK-000</v>
          </cell>
          <cell r="B3978" t="str">
            <v xml:space="preserve">TARJETA MADRE </v>
          </cell>
        </row>
        <row r="3979">
          <cell r="A3979" t="str">
            <v>SESE-NR22INTER-0</v>
          </cell>
        </row>
        <row r="3980">
          <cell r="A3980" t="str">
            <v>SESE-NR22NTER-0</v>
          </cell>
          <cell r="B3980" t="str">
            <v xml:space="preserve">TARJETA DE RED PARA MR-2100 </v>
          </cell>
        </row>
        <row r="3981">
          <cell r="A3981" t="str">
            <v>SESE-OPENG-MINI</v>
          </cell>
          <cell r="B3981" t="str">
            <v>Open Graphic Navigator, Mini.</v>
          </cell>
        </row>
        <row r="3982">
          <cell r="A3982" t="str">
            <v>SESE-OPENGN-ENT</v>
          </cell>
          <cell r="B3982" t="str">
            <v>OPEN GN ENTERPRISE</v>
          </cell>
        </row>
        <row r="3983">
          <cell r="A3983" t="str">
            <v>SESE-PX56201144</v>
          </cell>
          <cell r="B3983" t="str">
            <v>STRB,RED LENS,24VDC,29CD, CLASS 1 DIV 1,RD (SM87)</v>
          </cell>
        </row>
        <row r="3984">
          <cell r="A3984" t="str">
            <v>SESE-PX869135-0</v>
          </cell>
          <cell r="B3984" t="str">
            <v xml:space="preserve">SIRENA MULTITONO EXTERIOR </v>
          </cell>
        </row>
        <row r="3985">
          <cell r="A3985" t="str">
            <v>SESE-QAA-5160-70/25</v>
          </cell>
          <cell r="B3985" t="str">
            <v>AMPLIFICADOR 1X60 WATSS</v>
          </cell>
        </row>
        <row r="3986">
          <cell r="A3986" t="str">
            <v>SESE-QAA5230-70</v>
          </cell>
          <cell r="B3986" t="str">
            <v xml:space="preserve">AMPLIFICADORES DE 2-30 WATT </v>
          </cell>
        </row>
        <row r="3987">
          <cell r="A3987" t="str">
            <v>SESE-QAA5415-25</v>
          </cell>
          <cell r="B3987" t="str">
            <v xml:space="preserve">AMPLIFICADORES DE 4-15 WATT </v>
          </cell>
        </row>
        <row r="3988">
          <cell r="A3988" t="str">
            <v>SESE-QAZT-5302DS</v>
          </cell>
          <cell r="B3988" t="str">
            <v>PAGING/ TELPHONE SELECTOR MOD. C/W 24 SWITCHE</v>
          </cell>
        </row>
        <row r="3989">
          <cell r="A3989" t="str">
            <v>SESE-QBB-5001-0</v>
          </cell>
          <cell r="B3989" t="str">
            <v xml:space="preserve">QX-5000 AUDIO </v>
          </cell>
        </row>
        <row r="3990">
          <cell r="A3990" t="str">
            <v>SESE-QBB-5001R</v>
          </cell>
          <cell r="B3990" t="str">
            <v>QX SERIES RED MASTER BACKBOX</v>
          </cell>
        </row>
        <row r="3991">
          <cell r="A3991" t="str">
            <v>SESE-QBC-5000B-</v>
          </cell>
          <cell r="B3991" t="str">
            <v xml:space="preserve">CARGADOR BATERIA DE AUDIO </v>
          </cell>
        </row>
        <row r="3992">
          <cell r="A3992" t="str">
            <v>SESE-QBC-5000N</v>
          </cell>
          <cell r="B3992" t="str">
            <v>AUDIO BATTERY CHARGER</v>
          </cell>
        </row>
        <row r="3993">
          <cell r="A3993" t="str">
            <v>SESE-QDV-0001-0</v>
          </cell>
          <cell r="B3993" t="str">
            <v xml:space="preserve">SHIP DIGITALIZADO DE VOZ </v>
          </cell>
        </row>
        <row r="3994">
          <cell r="A3994" t="str">
            <v>SESE-QDV-1000-0</v>
          </cell>
          <cell r="B3994" t="str">
            <v xml:space="preserve">MODULO DIGITALIZADO DE VOZ </v>
          </cell>
        </row>
        <row r="3995">
          <cell r="A3995" t="str">
            <v>SESE-QDVP-100-0</v>
          </cell>
          <cell r="B3995" t="str">
            <v xml:space="preserve">HERRAMIENTA DE PROGRACION VOZ </v>
          </cell>
        </row>
        <row r="3996">
          <cell r="A3996" t="str">
            <v>SESE-QIF-1000-0</v>
          </cell>
          <cell r="B3996" t="str">
            <v xml:space="preserve">MODULO DE INTERCONEXION AUDIO </v>
          </cell>
        </row>
        <row r="3997">
          <cell r="A3997" t="str">
            <v>SESE-QIF-2000-0</v>
          </cell>
          <cell r="B3997" t="str">
            <v xml:space="preserve">TARJETAS CON 16 ENTRADAS </v>
          </cell>
        </row>
        <row r="3998">
          <cell r="A3998" t="str">
            <v>SESE-QIF-5000B-</v>
          </cell>
          <cell r="B3998" t="str">
            <v xml:space="preserve">INTERFACE PARA FUEGO Y AUDIO </v>
          </cell>
        </row>
        <row r="3999">
          <cell r="A3999" t="str">
            <v>SESE-QMB-5000B-</v>
          </cell>
          <cell r="B3999" t="str">
            <v xml:space="preserve">TARJETA MADRE DE AUDIO </v>
          </cell>
        </row>
        <row r="4000">
          <cell r="A4000" t="str">
            <v>SESE-QMP-5100B-</v>
          </cell>
          <cell r="B4000" t="str">
            <v xml:space="preserve">ANUNCIADOR MASTER DE PAGING </v>
          </cell>
        </row>
        <row r="4001">
          <cell r="A4001" t="str">
            <v>SESE-QMT-5300A-</v>
          </cell>
          <cell r="B4001" t="str">
            <v xml:space="preserve">PANEL TELEFONIA DE EMERGENCIA </v>
          </cell>
        </row>
        <row r="4002">
          <cell r="A4002" t="str">
            <v>SESE-QMT-5302-0</v>
          </cell>
          <cell r="B4002" t="str">
            <v>PANEL TELEFONICO EMERGENCIA QMT-5302</v>
          </cell>
        </row>
        <row r="4003">
          <cell r="A4003" t="str">
            <v>SESE-QPS-5000-0</v>
          </cell>
          <cell r="B4003" t="str">
            <v xml:space="preserve">TRANSFORMADOR 240 VAC </v>
          </cell>
        </row>
        <row r="4004">
          <cell r="A4004" t="str">
            <v>SESE-QPS5000120</v>
          </cell>
          <cell r="B4004" t="str">
            <v xml:space="preserve">TRANSFORMADOR 120 VAC </v>
          </cell>
        </row>
        <row r="4005">
          <cell r="A4005" t="str">
            <v>SESE-QPS-5000N</v>
          </cell>
          <cell r="B4005" t="str">
            <v>NTWK QX-5000N POWER SUPPLY 120/240V</v>
          </cell>
        </row>
        <row r="4006">
          <cell r="A4006" t="str">
            <v>SESE-QRM-1001-0</v>
          </cell>
          <cell r="B4006" t="str">
            <v xml:space="preserve">CAMPANA CON CORTE DE RELAY </v>
          </cell>
        </row>
        <row r="4007">
          <cell r="A4007" t="str">
            <v>SESE-QZP-5101-0</v>
          </cell>
          <cell r="B4007" t="str">
            <v xml:space="preserve">PANEL SELECTOR </v>
          </cell>
        </row>
        <row r="4008">
          <cell r="A4008" t="str">
            <v>SESE-QZT-5302-0</v>
          </cell>
          <cell r="B4008" t="str">
            <v xml:space="preserve">PANEL SELECTOR 12 ZONAS TELEFO </v>
          </cell>
        </row>
        <row r="4009">
          <cell r="A4009" t="str">
            <v>SESE-RB-750-1</v>
          </cell>
          <cell r="B4009" t="str">
            <v>REPLACEMENT CORE BOARD FOR FR-320/MR-2320</v>
          </cell>
        </row>
        <row r="4010">
          <cell r="A4010" t="str">
            <v>SESE-RB-MR-2100</v>
          </cell>
          <cell r="B4010" t="str">
            <v>REPLACEMENT MAIN BOARD FOR MR 2100 FACP</v>
          </cell>
        </row>
        <row r="4011">
          <cell r="A4011" t="str">
            <v>SESE-RB-MR-2200</v>
          </cell>
          <cell r="B4011" t="str">
            <v>Replacement Main Board For MR-2200 Facp (RB-MR-2320PS)</v>
          </cell>
        </row>
        <row r="4012">
          <cell r="A4012" t="str">
            <v>SESE-RMS6TEXPKL</v>
          </cell>
          <cell r="B4012" t="str">
            <v xml:space="preserve">ESTACION MANUAL, EXPLOSION </v>
          </cell>
        </row>
        <row r="4013">
          <cell r="A4013" t="str">
            <v>SESE-RPL-TR-061</v>
          </cell>
          <cell r="B4013" t="str">
            <v>REPLECEMENT TRANSFORMER 120/220V 6AMP</v>
          </cell>
        </row>
        <row r="4014">
          <cell r="A4014" t="str">
            <v>SESE-RPL-TR-064</v>
          </cell>
          <cell r="B4014" t="str">
            <v>REPLACEMENT TRANSFORMER 120/220V 12 AMP</v>
          </cell>
        </row>
        <row r="4015">
          <cell r="A4015" t="str">
            <v>SESE-SD-2WP-000</v>
          </cell>
          <cell r="B4015" t="str">
            <v xml:space="preserve">DETECTOR CONV. FOTOELECT. 2 HILOS </v>
          </cell>
        </row>
        <row r="4016">
          <cell r="A4016" t="str">
            <v>SESE-SD-2WT-000</v>
          </cell>
          <cell r="B4016" t="str">
            <v xml:space="preserve">DETECTOR CONV.TERMICO 2 HILOS </v>
          </cell>
        </row>
        <row r="4017">
          <cell r="A4017" t="str">
            <v>SESE-SDM-240-00</v>
          </cell>
          <cell r="B4017" t="str">
            <v>LUZ ESTROBOSCOPICA C/SIRENA 3B</v>
          </cell>
        </row>
        <row r="4018">
          <cell r="A4018" t="str">
            <v>SESE-SE2909-3B-</v>
          </cell>
          <cell r="B4018" t="str">
            <v>MOD. ACTUALIZ. TARJETA MR-2909 SE2909-3B</v>
          </cell>
        </row>
        <row r="4019">
          <cell r="A4019" t="str">
            <v>SESE-SP-104A-25</v>
          </cell>
          <cell r="B4019" t="str">
            <v xml:space="preserve">PARLANTES DE EVACUACION </v>
          </cell>
        </row>
        <row r="4020">
          <cell r="A4020" t="str">
            <v>SESE-SS-2004-00</v>
          </cell>
          <cell r="B4020" t="str">
            <v xml:space="preserve">BOTON DE ABORTO </v>
          </cell>
        </row>
        <row r="4021">
          <cell r="A4021" t="str">
            <v>SESE-SSM-24-6-0</v>
          </cell>
          <cell r="B4021" t="str">
            <v>( INACTIVO )</v>
          </cell>
        </row>
        <row r="4022">
          <cell r="A4022" t="str">
            <v>SESE-ST-3-00000</v>
          </cell>
          <cell r="B4022" t="str">
            <v xml:space="preserve">TUBO DE MUESTRA </v>
          </cell>
        </row>
        <row r="4023">
          <cell r="A4023" t="str">
            <v>SESE-STI-13000NC</v>
          </cell>
          <cell r="B4023" t="str">
            <v xml:space="preserve">PROTECCION PARA EST. MANUAL </v>
          </cell>
        </row>
        <row r="4024">
          <cell r="A4024" t="str">
            <v>SESE-STI-3150</v>
          </cell>
          <cell r="B4024" t="str">
            <v>WEATHER STOPPER WITHOUT HORN AND WITH SPACER</v>
          </cell>
        </row>
        <row r="4025">
          <cell r="A4025" t="str">
            <v>SESE-STI-6500-0</v>
          </cell>
          <cell r="B4025" t="str">
            <v xml:space="preserve">PROTECCION PARA EST. MANUAL </v>
          </cell>
        </row>
        <row r="4026">
          <cell r="A4026" t="str">
            <v>SESE-STI-6505-0</v>
          </cell>
          <cell r="B4026" t="str">
            <v>CAJA PROTECCION PARA EST. MANUAL SOBREPUESTA</v>
          </cell>
        </row>
        <row r="4027">
          <cell r="A4027" t="str">
            <v>SESE-TBRO-NEMA12</v>
          </cell>
          <cell r="B4027" t="str">
            <v>TABLERO CON PROTECCION NEMA 12, USO INT.</v>
          </cell>
        </row>
        <row r="4028">
          <cell r="A4028" t="str">
            <v>SESE-TC-331U-00</v>
          </cell>
          <cell r="B4028" t="str">
            <v xml:space="preserve">CAJA DE MONTAJE SUPERFICIAL </v>
          </cell>
        </row>
        <row r="4029">
          <cell r="A4029" t="str">
            <v>SESE-TRAFO-1KVA</v>
          </cell>
          <cell r="B4029" t="str">
            <v>TRANSFORMADOR  220/120/1KVA</v>
          </cell>
        </row>
        <row r="4030">
          <cell r="A4030" t="str">
            <v>SESE-UIMA-00000</v>
          </cell>
          <cell r="B4030" t="str">
            <v xml:space="preserve">CABLE PROGRAMACION DE EVACUACION </v>
          </cell>
        </row>
        <row r="4031">
          <cell r="A4031" t="str">
            <v>SESE-WBB-R-0000</v>
          </cell>
          <cell r="B4031" t="str">
            <v xml:space="preserve">BACKBOX, OUTDOOR, RD </v>
          </cell>
        </row>
        <row r="4032">
          <cell r="A4032" t="str">
            <v>SESP-20/20-190</v>
          </cell>
          <cell r="B4032" t="str">
            <v>BEAM COLLIMATOR IR3</v>
          </cell>
        </row>
        <row r="4033">
          <cell r="A4033" t="str">
            <v>SESP-20/20-311-</v>
          </cell>
          <cell r="B4033" t="str">
            <v>SIMULADOR20/201</v>
          </cell>
        </row>
        <row r="4034">
          <cell r="A4034" t="str">
            <v>SESP-20/20I-000</v>
          </cell>
          <cell r="B4034" t="str">
            <v xml:space="preserve">TRIPLE IR (IR3) </v>
          </cell>
        </row>
        <row r="4035">
          <cell r="A4035" t="str">
            <v>SESP-20/20MI-11-S-F</v>
          </cell>
          <cell r="B4035" t="str">
            <v xml:space="preserve">MINI IR3  </v>
          </cell>
        </row>
        <row r="4036">
          <cell r="A4036" t="str">
            <v>SESP-20/20MPI-R</v>
          </cell>
          <cell r="B4036" t="str">
            <v>MINI IR3 - RELAY OUTPUTS</v>
          </cell>
        </row>
        <row r="4037">
          <cell r="A4037" t="str">
            <v>SESP-2020-003-0</v>
          </cell>
          <cell r="B4037" t="str">
            <v xml:space="preserve">MONTURA PARA DETECTOR DE FLAMA </v>
          </cell>
        </row>
        <row r="4038">
          <cell r="A4038" t="str">
            <v>SESP-2020-005-0</v>
          </cell>
          <cell r="B4038" t="str">
            <v xml:space="preserve">MONTURA </v>
          </cell>
        </row>
        <row r="4039">
          <cell r="A4039" t="str">
            <v>SESP-2020-310-0</v>
          </cell>
          <cell r="B4039" t="str">
            <v>SIMULADOR20/20L</v>
          </cell>
        </row>
        <row r="4040">
          <cell r="A4040" t="str">
            <v>SESP-20-20I-000</v>
          </cell>
          <cell r="B4040" t="str">
            <v>TRIPLE IR (IR3)</v>
          </cell>
        </row>
        <row r="4041">
          <cell r="A4041" t="str">
            <v>SESP-2020L-0000</v>
          </cell>
          <cell r="B4041" t="str">
            <v xml:space="preserve">DETECTOR DE FLAMA </v>
          </cell>
        </row>
        <row r="4042">
          <cell r="A4042" t="str">
            <v>SESP-2020LB-000</v>
          </cell>
          <cell r="B4042" t="str">
            <v xml:space="preserve">DETECTOR DE FLAMA CON TEST </v>
          </cell>
        </row>
        <row r="4043">
          <cell r="A4043" t="str">
            <v>SESP-2020ML-000</v>
          </cell>
          <cell r="B4043" t="str">
            <v xml:space="preserve">DETECTOR DE FLAMA MINI </v>
          </cell>
        </row>
        <row r="4044">
          <cell r="A4044" t="str">
            <v>SESP-40/40-001-</v>
          </cell>
          <cell r="B4044" t="str">
            <v xml:space="preserve">SOPORTE </v>
          </cell>
        </row>
        <row r="4045">
          <cell r="A4045" t="str">
            <v>SESP-40/40-003-</v>
          </cell>
          <cell r="B4045" t="str">
            <v>MONTURA PARA DETECTOR DE FLAMA40/40</v>
          </cell>
        </row>
        <row r="4046">
          <cell r="A4046" t="str">
            <v>SESP-40/40-310-</v>
          </cell>
          <cell r="B4046" t="str">
            <v>SIMULADOR40/40I</v>
          </cell>
        </row>
        <row r="4047">
          <cell r="A4047" t="str">
            <v>SESP-40/40I-000</v>
          </cell>
          <cell r="B4047" t="str">
            <v xml:space="preserve">TRIPLE IR (IR3) </v>
          </cell>
        </row>
        <row r="4048">
          <cell r="A4048" t="str">
            <v>SESP-40/40I-112SF</v>
          </cell>
          <cell r="B4048" t="str">
            <v>NULO</v>
          </cell>
        </row>
        <row r="4049">
          <cell r="A4049" t="str">
            <v>SESP-40/40I-122-SF</v>
          </cell>
          <cell r="B4049" t="str">
            <v xml:space="preserve">TRIPLE IR (IR3) </v>
          </cell>
        </row>
        <row r="4050">
          <cell r="A4050" t="str">
            <v>SESP-40/40I-211AC</v>
          </cell>
          <cell r="B4050" t="str">
            <v>SPECTREX IR3, SOURCE, 75C, M25, AL, ATEX</v>
          </cell>
        </row>
        <row r="4051">
          <cell r="A4051" t="str">
            <v>SESP-40/40I-211SC</v>
          </cell>
          <cell r="B4051" t="str">
            <v>SPECTREX IR3, SOURCE, 75C, M25, SS, ATEX</v>
          </cell>
        </row>
        <row r="4052">
          <cell r="A4052" t="str">
            <v>SESP-40/40I-212SC</v>
          </cell>
          <cell r="B4052" t="str">
            <v>SPECTREX IR3, SOURCE, 75C,3/4  NPT, SS, ATEX</v>
          </cell>
        </row>
        <row r="4053">
          <cell r="A4053" t="str">
            <v>SESP-40/40L-000</v>
          </cell>
          <cell r="B4053" t="str">
            <v xml:space="preserve">UV/IR </v>
          </cell>
        </row>
        <row r="4054">
          <cell r="A4054" t="str">
            <v>SESP-40/40L4B-312SF</v>
          </cell>
          <cell r="B4054" t="str">
            <v>SPECTREX UV/IR (4.3), SOURCE (3), 75C, 3/4 , SS, FM</v>
          </cell>
        </row>
        <row r="4055">
          <cell r="A4055" t="str">
            <v>SESP-40/40L-512AF</v>
          </cell>
          <cell r="B4055" t="str">
            <v>UV/IR 512 AF</v>
          </cell>
        </row>
        <row r="4056">
          <cell r="A4056" t="str">
            <v>SESP-40/40LB-00</v>
          </cell>
          <cell r="B4056" t="str">
            <v xml:space="preserve">UV/IR + BIT </v>
          </cell>
        </row>
        <row r="4057">
          <cell r="A4057" t="str">
            <v>SESP-40/40LB-112SC</v>
          </cell>
          <cell r="B4057" t="str">
            <v>SPECTREX UV/IR (4.3), SINK, 75C, 3/4 , SS, ATEX</v>
          </cell>
        </row>
        <row r="4058">
          <cell r="A4058" t="str">
            <v>SESP-40/40LB-211AC</v>
          </cell>
          <cell r="B4058" t="str">
            <v>SPECTREX UV/IR, SOURCE, 75C, M25, AL, ATEX</v>
          </cell>
        </row>
        <row r="4059">
          <cell r="A4059" t="str">
            <v>SESP-40/40M-000</v>
          </cell>
          <cell r="B4059" t="str">
            <v>MULTI SENSOR</v>
          </cell>
        </row>
        <row r="4060">
          <cell r="A4060" t="str">
            <v>SESP-40/40M-112SF</v>
          </cell>
          <cell r="B4060" t="str">
            <v>SPECTREX MULTI, SINK, 75C, 3/4 NPT, SS, FM</v>
          </cell>
        </row>
        <row r="4061">
          <cell r="A4061" t="str">
            <v>SESP-40/40M-122-SF</v>
          </cell>
          <cell r="B4061" t="str">
            <v>MULTI IR</v>
          </cell>
        </row>
        <row r="4062">
          <cell r="A4062" t="str">
            <v>SESP-40/40U-000</v>
          </cell>
          <cell r="B4062" t="str">
            <v xml:space="preserve">UV </v>
          </cell>
        </row>
        <row r="4063">
          <cell r="A4063" t="str">
            <v>SESP-40/40UB-00</v>
          </cell>
          <cell r="B4063" t="str">
            <v xml:space="preserve">UV + BIT </v>
          </cell>
        </row>
        <row r="4064">
          <cell r="A4064" t="str">
            <v>SESP-40/40UFL</v>
          </cell>
          <cell r="B4064" t="str">
            <v>ULTRA FAST UV / IR + BIT</v>
          </cell>
        </row>
        <row r="4065">
          <cell r="A4065" t="str">
            <v>SESP-40/40UFL-112SF</v>
          </cell>
          <cell r="B4065" t="str">
            <v>SPECTREX UFL, SINK, 75C, 3/4  NPT, SS, FM</v>
          </cell>
        </row>
        <row r="4066">
          <cell r="A4066" t="str">
            <v>SESP-40/40UFL-211SC</v>
          </cell>
          <cell r="B4066" t="str">
            <v>SPECTREX UFL, SOURCE, 75C, M25, SS, ATEX</v>
          </cell>
        </row>
        <row r="4067">
          <cell r="A4067" t="str">
            <v>SESP-40/40UFL-212AC</v>
          </cell>
          <cell r="B4067" t="str">
            <v>SPECTREX UFL, SOURCE, 75C, 3/4  NPT, AL, ATEX</v>
          </cell>
        </row>
        <row r="4068">
          <cell r="A4068" t="str">
            <v>SESP-40/40UFL-212SF</v>
          </cell>
          <cell r="B4068" t="str">
            <v>SPECTREX UFL, SOURCE, 75C, 3/4  NPT, SS, FM</v>
          </cell>
        </row>
        <row r="4069">
          <cell r="A4069" t="str">
            <v>SESP-430300382-</v>
          </cell>
          <cell r="B4069" t="str">
            <v xml:space="preserve">ADAPTADOR PARA 20/20ML-12SF </v>
          </cell>
        </row>
        <row r="4070">
          <cell r="A4070" t="str">
            <v>SESP-777163-000</v>
          </cell>
          <cell r="B4070" t="str">
            <v xml:space="preserve">PROTECTOR DE ACERO </v>
          </cell>
        </row>
        <row r="4071">
          <cell r="A4071" t="str">
            <v>SESP-777166</v>
          </cell>
          <cell r="B4071" t="str">
            <v>LASER POINTER</v>
          </cell>
        </row>
        <row r="4072">
          <cell r="A4072" t="str">
            <v>SESP-792247-000</v>
          </cell>
          <cell r="B4072" t="str">
            <v>CALIBRAT. KIT TO GAS DETEC 226 SPECTREX792247</v>
          </cell>
        </row>
        <row r="4073">
          <cell r="A4073" t="str">
            <v>SESP-794079-5-0</v>
          </cell>
          <cell r="B4073" t="str">
            <v xml:space="preserve">SOFTWARE </v>
          </cell>
        </row>
        <row r="4074">
          <cell r="A4074" t="str">
            <v>SESP-799225</v>
          </cell>
          <cell r="B4074" t="str">
            <v>POLE MOUNT (U-BOLT 4-5)</v>
          </cell>
        </row>
        <row r="4075">
          <cell r="A4075" t="str">
            <v>SESP-903-F-2-G1</v>
          </cell>
          <cell r="B4075" t="str">
            <v xml:space="preserve">OPEN PATH GAS DETECTOR MODEL 903 (35-100M RANGE) </v>
          </cell>
        </row>
        <row r="4076">
          <cell r="A4076" t="str">
            <v>SESP-FS1100</v>
          </cell>
          <cell r="B4076" t="str">
            <v>PISTOLA FS1100 DE PRUEBA PARA 40/40I</v>
          </cell>
        </row>
        <row r="4077">
          <cell r="A4077" t="str">
            <v>SESP-FS1200</v>
          </cell>
          <cell r="B4077" t="str">
            <v>PISTOLA FS1200 DE PRUEBA PARA 40/40L (INACTIVO)</v>
          </cell>
        </row>
        <row r="4078">
          <cell r="A4078" t="str">
            <v>SESP-FS-1200-ASSEMBL</v>
          </cell>
          <cell r="B4078" t="str">
            <v>PISTOLA FS1200 DE PRUEBA PARA 40/40L</v>
          </cell>
        </row>
        <row r="4079">
          <cell r="A4079" t="str">
            <v>SESP-OPI-F100-ST</v>
          </cell>
          <cell r="B4079" t="str">
            <v>Detector de gas 226 SPECTRX</v>
          </cell>
        </row>
        <row r="4080">
          <cell r="A4080" t="str">
            <v>SESP-OPS-F13-ST</v>
          </cell>
          <cell r="B4080" t="str">
            <v xml:space="preserve">Receptor modelo 226 SPECTREX </v>
          </cell>
        </row>
        <row r="4081">
          <cell r="A4081" t="str">
            <v>SESP-UV/IR-0000</v>
          </cell>
          <cell r="B4081" t="str">
            <v>DETECTOR DE FLAMAINSTALACIONES</v>
          </cell>
        </row>
        <row r="4082">
          <cell r="A4082" t="str">
            <v>SESS-2W-B-00000</v>
          </cell>
          <cell r="B4082" t="str">
            <v>DETECTOR DE HUMO CONVENCIONAL BA</v>
          </cell>
        </row>
        <row r="4083">
          <cell r="A4083" t="str">
            <v>SESS-2W-BA-0000</v>
          </cell>
          <cell r="B4083" t="str">
            <v xml:space="preserve">DETECTOR DE HUMO CONVENCIONAL </v>
          </cell>
        </row>
        <row r="4084">
          <cell r="A4084" t="str">
            <v>SESS-2WT-B-0000</v>
          </cell>
          <cell r="B4084" t="str">
            <v xml:space="preserve">DETECTOR FOTOELECTRICO, TERMIC </v>
          </cell>
        </row>
        <row r="4085">
          <cell r="A4085" t="str">
            <v>SESS-5601A-0000</v>
          </cell>
          <cell r="B4085" t="str">
            <v xml:space="preserve">DETECTOR TERMICO RATE OF RISE </v>
          </cell>
        </row>
        <row r="4086">
          <cell r="A4086" t="str">
            <v>SESS-5602-00000</v>
          </cell>
          <cell r="B4086" t="str">
            <v xml:space="preserve">DETECTOR TERMICO </v>
          </cell>
        </row>
        <row r="4087">
          <cell r="A4087" t="str">
            <v>SESS-5621-00000</v>
          </cell>
          <cell r="B4087" t="str">
            <v>DETECTOR TERMICO CONVENCIONAL56214</v>
          </cell>
        </row>
        <row r="4088">
          <cell r="A4088" t="str">
            <v>SESS-5621A-0000</v>
          </cell>
          <cell r="B4088" t="str">
            <v>DETECTOR TERMICO CONVENCIONAL A223</v>
          </cell>
        </row>
        <row r="4089">
          <cell r="A4089" t="str">
            <v>SESS-A222E-LSR-</v>
          </cell>
          <cell r="B4089" t="str">
            <v xml:space="preserve">DETEC. DE ASPIRACION 2 LASER </v>
          </cell>
        </row>
        <row r="4090">
          <cell r="A4090" t="str">
            <v>SESS-BEAM1224-0</v>
          </cell>
          <cell r="B4090" t="str">
            <v xml:space="preserve">BEAM PROTECTOR </v>
          </cell>
        </row>
        <row r="4091">
          <cell r="A4091" t="str">
            <v>SESS-BEAMHRK-00</v>
          </cell>
          <cell r="B4091" t="str">
            <v>HEATER KIT FOR BEAM REFLECTORS</v>
          </cell>
        </row>
        <row r="4092">
          <cell r="A4092" t="str">
            <v>SESS-BEAMLRK-00</v>
          </cell>
          <cell r="B4092" t="str">
            <v xml:space="preserve">TARJETA DE AMPLIACION </v>
          </cell>
        </row>
        <row r="4093">
          <cell r="A4093" t="str">
            <v>SESS-BEAMMMK-00</v>
          </cell>
          <cell r="B4093" t="str">
            <v xml:space="preserve">KIT DE MONTAJE </v>
          </cell>
        </row>
        <row r="4094">
          <cell r="A4094" t="str">
            <v>SESS-BEAMSMK-00</v>
          </cell>
          <cell r="B4094" t="str">
            <v xml:space="preserve">MONTURA EMPOTRADA </v>
          </cell>
        </row>
        <row r="4095">
          <cell r="A4095" t="str">
            <v>SESS-C2W-BA</v>
          </cell>
          <cell r="B4095" t="str">
            <v>DETECTOR DE HUMO CONVENCIONAL</v>
          </cell>
        </row>
        <row r="4096">
          <cell r="A4096" t="str">
            <v>SESS-C2WTA-BA-0</v>
          </cell>
          <cell r="B4096" t="str">
            <v xml:space="preserve">FOTO/TERMICO SOUND CONV </v>
          </cell>
        </row>
        <row r="4097">
          <cell r="A4097" t="str">
            <v>SESS-C2WT-BA-00</v>
          </cell>
          <cell r="B4097" t="str">
            <v>DETECT.FOTO/TERMICO SOUND CONV SYSTEM SENSORC2WT-BA</v>
          </cell>
        </row>
        <row r="4098">
          <cell r="A4098" t="str">
            <v>SESS-C2WT-BA000</v>
          </cell>
          <cell r="B4098" t="str">
            <v>Detect.Foto/Termico Sound ConvSYSTEM SENSOR</v>
          </cell>
        </row>
        <row r="4099">
          <cell r="A4099" t="str">
            <v>SESS-CO1224-000</v>
          </cell>
          <cell r="B4099" t="str">
            <v>DETECTOR MONOXIDO DE CARBONO 1224 A</v>
          </cell>
        </row>
        <row r="4100">
          <cell r="A4100" t="str">
            <v>SESS-CO1224A-00</v>
          </cell>
          <cell r="B4100" t="str">
            <v>DETECTOR MONOXICO DE CARBONO CO</v>
          </cell>
        </row>
        <row r="4101">
          <cell r="A4101" t="str">
            <v>SESS-CO1224T-00</v>
          </cell>
          <cell r="B4101" t="str">
            <v>DETECTOR MONOXICO DE CARBONO ECO</v>
          </cell>
        </row>
        <row r="4102">
          <cell r="A4102" t="str">
            <v>SESS-ECO1000B-0</v>
          </cell>
          <cell r="B4102" t="str">
            <v xml:space="preserve">BASE PARA DETECTOR DE HUMO </v>
          </cell>
        </row>
        <row r="4103">
          <cell r="A4103" t="str">
            <v>SESS-ECO1003-00</v>
          </cell>
          <cell r="B4103" t="str">
            <v xml:space="preserve">DETECTOR HUMO </v>
          </cell>
        </row>
        <row r="4104">
          <cell r="A4104" t="str">
            <v>SESS-HR-0000000</v>
          </cell>
          <cell r="B4104" t="str">
            <v>SIRENA DE INTERIOR HRK</v>
          </cell>
        </row>
        <row r="4105">
          <cell r="A4105" t="str">
            <v>SESS-HRA-000000</v>
          </cell>
          <cell r="B4105" t="str">
            <v xml:space="preserve">SIRENA DE INTERIOR </v>
          </cell>
        </row>
        <row r="4106">
          <cell r="A4106" t="str">
            <v>SESS-HRK-000000</v>
          </cell>
          <cell r="B4106" t="str">
            <v xml:space="preserve">SIRENA DE EXTERIOR </v>
          </cell>
        </row>
        <row r="4107">
          <cell r="A4107" t="str">
            <v>SESS-HRKA-00000</v>
          </cell>
          <cell r="B4107" t="str">
            <v>SIRENA DE EXTERIORP2R</v>
          </cell>
        </row>
        <row r="4108">
          <cell r="A4108" t="str">
            <v>SESS-P2R-000000</v>
          </cell>
          <cell r="B4108" t="str">
            <v xml:space="preserve">LUZ ESTROBOSCOPICA C/SIRENA MR </v>
          </cell>
        </row>
        <row r="4109">
          <cell r="A4109" t="str">
            <v>SESS-P2RA-00000</v>
          </cell>
          <cell r="B4109" t="str">
            <v>LUZ ESTROBOSCOPICA C/SIRENA P2RK</v>
          </cell>
        </row>
        <row r="4110">
          <cell r="A4110" t="str">
            <v>SESS-P2RK-00000</v>
          </cell>
          <cell r="B4110" t="str">
            <v xml:space="preserve">LUZ ESTROB. C/SIRENA PARA EXTE </v>
          </cell>
        </row>
        <row r="4111">
          <cell r="A4111" t="str">
            <v>SESS-P2RKA-0000</v>
          </cell>
          <cell r="B4111" t="str">
            <v xml:space="preserve">LUZ ESTROB. SIRENA PARA EXTERI </v>
          </cell>
        </row>
        <row r="4112">
          <cell r="A4112" t="str">
            <v>SESS-P2RK-SP-00</v>
          </cell>
          <cell r="B4112" t="str">
            <v xml:space="preserve">LUZ ESTROB.INT CON CAJA MONTAJE </v>
          </cell>
        </row>
        <row r="4113">
          <cell r="A4113" t="str">
            <v>SESS-P2RL-SP</v>
          </cell>
          <cell r="B4113" t="str">
            <v>LUZ ESTROB.INT C/SIRENA ES</v>
          </cell>
        </row>
        <row r="4114">
          <cell r="A4114" t="str">
            <v>SESS-P2R-SP-000</v>
          </cell>
          <cell r="B4114" t="str">
            <v xml:space="preserve">LUZ ESTROB C/SIRENA MR ESPAÑOL </v>
          </cell>
        </row>
        <row r="4115">
          <cell r="A4115" t="str">
            <v>SESS-P2W-000000</v>
          </cell>
          <cell r="B4115" t="str">
            <v xml:space="preserve">LUZ ESTROBOSCOPICA C/SIRENA MB </v>
          </cell>
        </row>
        <row r="4116">
          <cell r="A4116" t="str">
            <v>SESS-P2WA-00000</v>
          </cell>
          <cell r="B4116" t="str">
            <v>LUZ ESTROBOSCOPICA C/SIRENA SE</v>
          </cell>
        </row>
        <row r="4117">
          <cell r="A4117" t="str">
            <v>SESS-PC2RK-0000</v>
          </cell>
          <cell r="B4117" t="str">
            <v xml:space="preserve">LUZ ESTROBOSCOPICA C/SIRENA CR </v>
          </cell>
        </row>
        <row r="4118">
          <cell r="A4118" t="str">
            <v>SESS-PC2RKA-000</v>
          </cell>
          <cell r="B4118" t="str">
            <v xml:space="preserve">LUZ ESTROBOSCOPICA SIRENA CR </v>
          </cell>
        </row>
        <row r="4119">
          <cell r="A4119" t="str">
            <v>SESS-PC2W-00000</v>
          </cell>
          <cell r="B4119" t="str">
            <v>LUZ ESTROBOSCOPICA C/SIRENA CB 2W</v>
          </cell>
        </row>
        <row r="4120">
          <cell r="A4120" t="str">
            <v>SESS-PC2WA-0000</v>
          </cell>
          <cell r="B4120" t="str">
            <v xml:space="preserve">LUZ ESTROBOSCOPICA C/SIRENA CB </v>
          </cell>
        </row>
        <row r="4121">
          <cell r="A4121" t="str">
            <v>SESS-RTS151KEY-</v>
          </cell>
          <cell r="B4121" t="str">
            <v>REMOTE TEST STATION W.KEY SYSTEM SENSORRTS151KEY</v>
          </cell>
        </row>
        <row r="4122">
          <cell r="A4122" t="str">
            <v>SESS-SENS-RDR-0</v>
          </cell>
          <cell r="B4122" t="str">
            <v xml:space="preserve">PROBADOR DE SENSIBILIDAD </v>
          </cell>
        </row>
        <row r="4123">
          <cell r="A4123" t="str">
            <v>SESS-SP-CR-0000</v>
          </cell>
          <cell r="B4123" t="str">
            <v>PARLANTE PARA CIELOCRA</v>
          </cell>
        </row>
        <row r="4124">
          <cell r="A4124" t="str">
            <v>SESS-SP-CRA-000</v>
          </cell>
          <cell r="B4124" t="str">
            <v>PARLANTE PARA CIELO</v>
          </cell>
        </row>
        <row r="4125">
          <cell r="A4125" t="str">
            <v>SESS-SPCW-00000</v>
          </cell>
          <cell r="B4125" t="str">
            <v xml:space="preserve">PARLANTE DE AVAC. CIELO BLANCO </v>
          </cell>
        </row>
        <row r="4126">
          <cell r="A4126" t="str">
            <v>SESS-SR-0000000</v>
          </cell>
          <cell r="B4126" t="str">
            <v xml:space="preserve">LUZ ESTROBOSCOPICA MURALLA ROJ </v>
          </cell>
        </row>
        <row r="4127">
          <cell r="A4127" t="str">
            <v>SESS-SRA-000000</v>
          </cell>
          <cell r="B4127" t="str">
            <v xml:space="preserve">LUZ ESTROBOSCOPICA MURALLA SRK </v>
          </cell>
        </row>
        <row r="4128">
          <cell r="A4128" t="str">
            <v>SESS-SRK-000000</v>
          </cell>
          <cell r="B4128" t="str">
            <v xml:space="preserve">LUZ ESTROBOSCOPICA P/ EXTERIOR </v>
          </cell>
        </row>
        <row r="4129">
          <cell r="A4129" t="str">
            <v>SESS-SRK-SP-00</v>
          </cell>
          <cell r="B4129" t="str">
            <v>LUZ ESTROB EXTERIOR MONT. MURO, ROJO</v>
          </cell>
        </row>
        <row r="4130">
          <cell r="A4130" t="str">
            <v>SESS-SR-P-000</v>
          </cell>
          <cell r="B4130" t="str">
            <v>LUZ ESTROBOSCOPICA ROJO</v>
          </cell>
        </row>
        <row r="4131">
          <cell r="A4131" t="str">
            <v>SESS-SRSP-00000</v>
          </cell>
          <cell r="B4131" t="str">
            <v xml:space="preserve">LUZ ESTROB. MURALLA ROJO ESPAÑ </v>
          </cell>
        </row>
        <row r="4132">
          <cell r="A4132" t="str">
            <v>SESS-SSM24-6-00</v>
          </cell>
          <cell r="B4132" t="str">
            <v>CAMPANA DE 6 INSTALACION</v>
          </cell>
        </row>
        <row r="4133">
          <cell r="A4133" t="str">
            <v>SESS-SW-0000000</v>
          </cell>
          <cell r="B4133" t="str">
            <v xml:space="preserve">LUZ ESTROBOSCOPICA MURALLA BCO </v>
          </cell>
        </row>
        <row r="4134">
          <cell r="A4134" t="str">
            <v>SESS-SWA-000000</v>
          </cell>
          <cell r="B4134" t="str">
            <v>LUZ ESTROBOSCOPICA MURALLA BANCO</v>
          </cell>
        </row>
        <row r="4135">
          <cell r="A4135" t="str">
            <v>SESS-SYS-HS-000</v>
          </cell>
          <cell r="B4135" t="str">
            <v xml:space="preserve">BOCINA/ESTROBO. LENTE TRANSPAR </v>
          </cell>
        </row>
        <row r="4136">
          <cell r="A4136" t="str">
            <v>SESS-WBB-000000</v>
          </cell>
          <cell r="B4136" t="str">
            <v>CAJA PROTECTORA CONTRA LLUVIA ROJO</v>
          </cell>
        </row>
        <row r="4137">
          <cell r="A4137" t="str">
            <v>SESX-12V-12AH</v>
          </cell>
          <cell r="B4137" t="str">
            <v>BATERIA 12V/12AH</v>
          </cell>
        </row>
        <row r="4138">
          <cell r="A4138" t="str">
            <v>SESX-12V-18AH</v>
          </cell>
          <cell r="B4138" t="str">
            <v>BATERIA 12V/18AH</v>
          </cell>
        </row>
        <row r="4139">
          <cell r="A4139" t="str">
            <v>SESX-12V-7AH</v>
          </cell>
          <cell r="B4139" t="str">
            <v>BATERIA 12V/7AH</v>
          </cell>
        </row>
        <row r="4140">
          <cell r="A4140" t="str">
            <v>SESX-166-226</v>
          </cell>
          <cell r="B4140" t="str">
            <v>26 POSITION FLEX CABLE 2</v>
          </cell>
        </row>
        <row r="4141">
          <cell r="A4141" t="str">
            <v>SESX-166-227</v>
          </cell>
          <cell r="B4141" t="str">
            <v>FLEX CABLE 6 LONG 26 POS-4100</v>
          </cell>
        </row>
        <row r="4142">
          <cell r="A4142" t="str">
            <v>SESX-2080-9047</v>
          </cell>
          <cell r="B4142" t="str">
            <v>COMM CORD RJ-45/SPADE 14 FT</v>
          </cell>
        </row>
        <row r="4143">
          <cell r="A4143" t="str">
            <v>SESX-2080-9057</v>
          </cell>
          <cell r="B4143" t="str">
            <v>ABORT SWITCH, SURFACE</v>
          </cell>
        </row>
        <row r="4144">
          <cell r="A4144" t="str">
            <v>SESX-2080-9060</v>
          </cell>
          <cell r="B4144" t="str">
            <v>MAINT SWITCH W/LAMP, SURFACE</v>
          </cell>
        </row>
        <row r="4145">
          <cell r="A4145" t="str">
            <v>SESX-2080-9061</v>
          </cell>
          <cell r="B4145" t="str">
            <v>BLOCK DE CONTACTOS</v>
          </cell>
        </row>
        <row r="4146">
          <cell r="A4146" t="str">
            <v>SESX-2081-9046</v>
          </cell>
          <cell r="B4146" t="str">
            <v>2AMP COIL SUPERVISORY MODULE</v>
          </cell>
        </row>
        <row r="4147">
          <cell r="A4147" t="str">
            <v>SESX-2081-9048</v>
          </cell>
          <cell r="B4147" t="str">
            <v>ABORT SUPERVISION</v>
          </cell>
        </row>
        <row r="4148">
          <cell r="A4148" t="str">
            <v>SESX-2081-9272</v>
          </cell>
          <cell r="B4148" t="str">
            <v xml:space="preserve">12V 6.2AH 5.95 LX2.56 DX 3.70 H  </v>
          </cell>
        </row>
        <row r="4149">
          <cell r="A4149" t="str">
            <v>SESX-2081-9275</v>
          </cell>
          <cell r="B4149" t="str">
            <v>BATERIA 12V/18 AMP</v>
          </cell>
        </row>
        <row r="4150">
          <cell r="A4150" t="str">
            <v>SESX-2081-9288</v>
          </cell>
          <cell r="B4150" t="str">
            <v>12V 12.7 AH 5.95 LX 3.86 DX 3.7 H</v>
          </cell>
        </row>
        <row r="4151">
          <cell r="A4151" t="str">
            <v>SESX-2081-9296</v>
          </cell>
          <cell r="B4151" t="str">
            <v>12V 50 AH 9.04 LX 5.45 DX 8.15 H</v>
          </cell>
        </row>
        <row r="4152">
          <cell r="A4152" t="str">
            <v>SESX-2084-9002</v>
          </cell>
          <cell r="B4152" t="str">
            <v>PHONE W/DR &amp; TRIM SURFACE MNT</v>
          </cell>
        </row>
        <row r="4153">
          <cell r="A4153" t="str">
            <v>SESX-2084-9014</v>
          </cell>
          <cell r="B4153" t="str">
            <v>PLUGGABLE PHONE W/5FT CABLE</v>
          </cell>
        </row>
        <row r="4154">
          <cell r="A4154" t="str">
            <v>SESX-2084-9023</v>
          </cell>
          <cell r="B4154" t="str">
            <v>REMOTE PHONE JACK W/LED</v>
          </cell>
        </row>
        <row r="4155">
          <cell r="A4155" t="str">
            <v>SESX-2098-9806</v>
          </cell>
          <cell r="B4155" t="str">
            <v>REMOTE TEST STA RED LED KEY SW</v>
          </cell>
        </row>
        <row r="4156">
          <cell r="A4156" t="str">
            <v>SESX-2098-9808</v>
          </cell>
          <cell r="B4156" t="str">
            <v>REMOTE ALARM INDICATOR</v>
          </cell>
        </row>
        <row r="4157">
          <cell r="A4157" t="str">
            <v>SESX-2099-9104</v>
          </cell>
          <cell r="B4157" t="str">
            <v>PULL STATION BREAK GLASS 2N/0</v>
          </cell>
        </row>
        <row r="4158">
          <cell r="A4158" t="str">
            <v>SESX-2099-9139</v>
          </cell>
          <cell r="B4158" t="str">
            <v>ESTACION MANUAL SPST</v>
          </cell>
        </row>
        <row r="4159">
          <cell r="A4159" t="str">
            <v>SESX-2099-9144</v>
          </cell>
          <cell r="B4159" t="str">
            <v>ESTACION MANUAL A PRUEBA DE EXPLOSIONES</v>
          </cell>
        </row>
        <row r="4160">
          <cell r="A4160" t="str">
            <v>SESX-2099-9149</v>
          </cell>
          <cell r="B4160" t="str">
            <v>DBL ACT PP STN W/O LOGO</v>
          </cell>
        </row>
        <row r="4161">
          <cell r="A4161" t="str">
            <v>SESX-252-019</v>
          </cell>
          <cell r="B4161" t="str">
            <v>B-KEY</v>
          </cell>
        </row>
        <row r="4162">
          <cell r="A4162" t="str">
            <v>SESX-2975-9053</v>
          </cell>
          <cell r="B4162" t="str">
            <v>BOX, PHONE 4590-B,-C,-D</v>
          </cell>
        </row>
        <row r="4163">
          <cell r="A4163" t="str">
            <v>SESX-2975-9178</v>
          </cell>
          <cell r="B4163" t="str">
            <v>BOX/ADDRESSABLE PULL STATION</v>
          </cell>
        </row>
        <row r="4164">
          <cell r="A4164" t="str">
            <v>SESX-2975-9206</v>
          </cell>
          <cell r="B4164" t="str">
            <v>6 GANG SURF BOX, 2-3/4 IN DEEP</v>
          </cell>
        </row>
        <row r="4165">
          <cell r="A4165" t="str">
            <v>SESX-2975-9212</v>
          </cell>
          <cell r="B4165" t="str">
            <v>CAJA PARA SUPERFICIE SGB-32S</v>
          </cell>
        </row>
        <row r="4166">
          <cell r="A4166" t="str">
            <v>SESX-2975-9409</v>
          </cell>
          <cell r="B4166" t="str">
            <v>4100U/ES BOX, #3 RED</v>
          </cell>
        </row>
        <row r="4167">
          <cell r="A4167" t="str">
            <v>SESX-2975-9442</v>
          </cell>
          <cell r="B4167" t="str">
            <v>2 BAY BB/GDOOR/DRESS PNL RED</v>
          </cell>
        </row>
        <row r="4168">
          <cell r="A4168" t="str">
            <v>SESX-2975-9443</v>
          </cell>
          <cell r="B4168" t="str">
            <v>3 BAY BB/GDOOR/DRESS PNL RED</v>
          </cell>
        </row>
        <row r="4169">
          <cell r="A4169" t="str">
            <v>SESX-2975-9449</v>
          </cell>
          <cell r="B4169" t="str">
            <v>3 BAY BOX &amp; SOLID DOOR RED</v>
          </cell>
        </row>
        <row r="4170">
          <cell r="A4170" t="str">
            <v>SESX-2975-9461</v>
          </cell>
          <cell r="B4170" t="str">
            <v xml:space="preserve">4606-9202 SURFACE BOX, RED </v>
          </cell>
        </row>
        <row r="4171">
          <cell r="A4171" t="str">
            <v>SESX-2975-978</v>
          </cell>
          <cell r="B4171" t="str">
            <v>BOX/ADDRESSABLE PULL STATION</v>
          </cell>
        </row>
        <row r="4172">
          <cell r="A4172" t="str">
            <v>SESX-4003-9101</v>
          </cell>
          <cell r="B4172" t="str">
            <v>FIRE ALARMA CONTROL 50W</v>
          </cell>
        </row>
        <row r="4173">
          <cell r="A4173" t="str">
            <v>SESX-4003-9304</v>
          </cell>
          <cell r="B4173" t="str">
            <v>MULTIFUC COMM SYST BEIGE 240V</v>
          </cell>
        </row>
        <row r="4174">
          <cell r="A4174" t="str">
            <v>SESX-4003-9840</v>
          </cell>
          <cell r="B4174" t="str">
            <v>SPLITTER  4Z CLS B/ 2Z CLS A</v>
          </cell>
        </row>
        <row r="4175">
          <cell r="A4175" t="str">
            <v>SESX-4003-9841</v>
          </cell>
          <cell r="B4175" t="str">
            <v>SPLITTER MOUNTING BRACKET</v>
          </cell>
        </row>
        <row r="4176">
          <cell r="A4176" t="str">
            <v>SESX-4004-9302</v>
          </cell>
          <cell r="B4176" t="str">
            <v xml:space="preserve">RELEASE PNL RED </v>
          </cell>
        </row>
        <row r="4177">
          <cell r="A4177" t="str">
            <v>SESX-4004-9864</v>
          </cell>
          <cell r="B4177" t="str">
            <v>CLASS A ADAPTER MODULE</v>
          </cell>
        </row>
        <row r="4178">
          <cell r="A4178" t="str">
            <v>SESX-4006-9101</v>
          </cell>
          <cell r="B4178" t="str">
            <v>CONVENTIONAL FA PANEL RED</v>
          </cell>
        </row>
        <row r="4179">
          <cell r="A4179" t="str">
            <v>SESX-4006-9803</v>
          </cell>
          <cell r="B4179" t="str">
            <v>EXPANSION RELAY MODULE CONVEN</v>
          </cell>
        </row>
        <row r="4180">
          <cell r="A4180" t="str">
            <v>SESX-4007-6301</v>
          </cell>
          <cell r="B4180" t="str">
            <v>4120 SINGLE MODE-LEFT DUPLEX FIBER MEDIA</v>
          </cell>
        </row>
        <row r="4181">
          <cell r="A4181" t="str">
            <v>SESX-4007-6302</v>
          </cell>
          <cell r="B4181" t="str">
            <v>4120 SINGLE MODE-RIGTH DUPLEX FIBER MEDIA</v>
          </cell>
        </row>
        <row r="4182">
          <cell r="A4182" t="str">
            <v>SESX-4007-9101</v>
          </cell>
          <cell r="B4182" t="str">
            <v>4007ES HYBRID FACP, RED</v>
          </cell>
        </row>
        <row r="4183">
          <cell r="A4183" t="str">
            <v>SESX-4007-9201</v>
          </cell>
          <cell r="B4183" t="str">
            <v>4007 ES FACP, IDNAC, RED</v>
          </cell>
        </row>
        <row r="4184">
          <cell r="A4184" t="str">
            <v>SESX-4007-9801</v>
          </cell>
          <cell r="B4184" t="str">
            <v>ZONE - REPLAY MODULE</v>
          </cell>
        </row>
        <row r="4185">
          <cell r="A4185" t="str">
            <v>SESX-4007-9803</v>
          </cell>
          <cell r="B4185" t="str">
            <v>IDNET + LOOP EXPANSION MODULE</v>
          </cell>
        </row>
        <row r="4186">
          <cell r="A4186" t="str">
            <v>SESX-4007-9806</v>
          </cell>
          <cell r="B4186" t="str">
            <v>SDACT MODULE</v>
          </cell>
        </row>
        <row r="4187">
          <cell r="A4187" t="str">
            <v>SESX-4007-9809</v>
          </cell>
          <cell r="B4187" t="str">
            <v>ALM/SUPV/TBL RELAY MODULE</v>
          </cell>
        </row>
        <row r="4188">
          <cell r="A4188" t="str">
            <v>SESX-4007-9810</v>
          </cell>
          <cell r="B4188" t="str">
            <v>4007ES MODULAR NIC</v>
          </cell>
        </row>
        <row r="4189">
          <cell r="A4189" t="str">
            <v>SESX-4007-9812</v>
          </cell>
          <cell r="B4189" t="str">
            <v>DUAL RS232 MODULE</v>
          </cell>
        </row>
        <row r="4190">
          <cell r="A4190" t="str">
            <v>SESX-4007-9813</v>
          </cell>
          <cell r="B4190" t="str">
            <v>WIRE NETWORK MEDIA CARD</v>
          </cell>
        </row>
        <row r="4191">
          <cell r="A4191" t="str">
            <v>SESX-4007-9814</v>
          </cell>
          <cell r="B4191" t="str">
            <v>FIBER OPTIC NETWORK MEDIA CARD</v>
          </cell>
        </row>
        <row r="4192">
          <cell r="A4192" t="str">
            <v>SESX-4009-9301</v>
          </cell>
          <cell r="B4192" t="str">
            <v>NAC EXTENDER, 240VAC, IDNET</v>
          </cell>
        </row>
        <row r="4193">
          <cell r="A4193" t="str">
            <v>SESX-4009-9602</v>
          </cell>
          <cell r="B4193" t="str">
            <v>IDNAC REPEATER RED</v>
          </cell>
        </row>
        <row r="4194">
          <cell r="A4194" t="str">
            <v>SESX-4010-6301</v>
          </cell>
          <cell r="B4194" t="str">
            <v>TARJ MEDIA FIBRA MODO SIMPLE 4120 IZQ.</v>
          </cell>
        </row>
        <row r="4195">
          <cell r="A4195" t="str">
            <v>SESX-4010-6302</v>
          </cell>
          <cell r="B4195" t="str">
            <v>TARJ MEDIA FIBRA MODO SIMPLE 4120 DERECHA</v>
          </cell>
        </row>
        <row r="4196">
          <cell r="A4196" t="str">
            <v>SESX-4010-9401</v>
          </cell>
          <cell r="B4196" t="str">
            <v>PANEL 4010 ES ROJO 120 VCA</v>
          </cell>
        </row>
        <row r="4197">
          <cell r="A4197" t="str">
            <v>SESX-4010-9501</v>
          </cell>
          <cell r="B4197" t="str">
            <v>PANEL DE DETECCION INCENDIO 4010ES</v>
          </cell>
        </row>
        <row r="4198">
          <cell r="A4198" t="str">
            <v>SESX-4010-9701</v>
          </cell>
          <cell r="B4198" t="str">
            <v>4010ES IDNAC FACP 240V, RED</v>
          </cell>
        </row>
        <row r="4199">
          <cell r="A4199" t="str">
            <v>SESX-4010-9811</v>
          </cell>
          <cell r="B4199" t="str">
            <v>TARJETA DE RED DS-232</v>
          </cell>
        </row>
        <row r="4200">
          <cell r="A4200" t="str">
            <v>SESX-4010-9818</v>
          </cell>
          <cell r="B4200" t="str">
            <v>WIRED NETWORK MEDIA CARD</v>
          </cell>
        </row>
        <row r="4201">
          <cell r="A4201" t="str">
            <v>SESX-4010-9915</v>
          </cell>
          <cell r="B4201" t="str">
            <v>BACPAC ETHERNET PORTAL</v>
          </cell>
        </row>
        <row r="4202">
          <cell r="A4202" t="str">
            <v>SESX-4010-9918</v>
          </cell>
          <cell r="B4202" t="str">
            <v>DUAL RS 232 MODULE</v>
          </cell>
        </row>
        <row r="4203">
          <cell r="A4203" t="str">
            <v>SESX-4010-9922</v>
          </cell>
          <cell r="B4203" t="str">
            <v>4010ES NETWORK INTERFACE CARD</v>
          </cell>
        </row>
        <row r="4204">
          <cell r="A4204" t="str">
            <v>SESX-4010-9923</v>
          </cell>
          <cell r="B4204" t="str">
            <v>NEW SAFELINK INTERNET INTERFACE</v>
          </cell>
        </row>
        <row r="4205">
          <cell r="A4205" t="str">
            <v>SESX-4010-9929</v>
          </cell>
          <cell r="B4205" t="str">
            <v>IDNET + W/UAD ISOLATOR 246 PT</v>
          </cell>
        </row>
        <row r="4206">
          <cell r="A4206" t="str">
            <v>SESX-4010ES</v>
          </cell>
          <cell r="B4206" t="str">
            <v>INACTIVO</v>
          </cell>
        </row>
        <row r="4207">
          <cell r="A4207" t="str">
            <v>SESX-4090-9001</v>
          </cell>
          <cell r="B4207" t="str">
            <v>IAM SUPERVISED IDNET</v>
          </cell>
        </row>
        <row r="4208">
          <cell r="A4208" t="str">
            <v>SESX-4090-9002</v>
          </cell>
          <cell r="B4208" t="str">
            <v>IAM RELAY, IDNET</v>
          </cell>
        </row>
        <row r="4209">
          <cell r="A4209" t="str">
            <v>SESX-4090-9005</v>
          </cell>
          <cell r="B4209" t="str">
            <v>IDNET RELEASE PERIPHERAL</v>
          </cell>
        </row>
        <row r="4210">
          <cell r="A4210" t="str">
            <v>SESX-4090-9006</v>
          </cell>
          <cell r="B4210" t="str">
            <v>SUP RELEASE PERIPH &amp; ENCLOSURE</v>
          </cell>
        </row>
        <row r="4211">
          <cell r="A4211" t="str">
            <v>SESX-4090-9007</v>
          </cell>
          <cell r="B4211" t="str">
            <v>4008 ADDRESSABLE SIGNAL ZAM</v>
          </cell>
        </row>
        <row r="4212">
          <cell r="A4212" t="str">
            <v>SESX-4090-9008</v>
          </cell>
          <cell r="B4212" t="str">
            <v>Modulos de Control para sistema de audio</v>
          </cell>
        </row>
        <row r="4213">
          <cell r="A4213" t="str">
            <v>SESX-4090-9010</v>
          </cell>
          <cell r="B4213" t="str">
            <v>8 AMP RELAY IAM MODULE</v>
          </cell>
        </row>
        <row r="4214">
          <cell r="A4214" t="str">
            <v>SESX-4090-9101</v>
          </cell>
          <cell r="B4214" t="str">
            <v>MODULO DE ZONA CLASE B</v>
          </cell>
        </row>
        <row r="4215">
          <cell r="A4215" t="str">
            <v>SESX-4090-9116</v>
          </cell>
          <cell r="B4215" t="str">
            <v>ADDRESSABLE IDNET 2 ISOLATOR</v>
          </cell>
        </row>
        <row r="4216">
          <cell r="A4216" t="str">
            <v>SESX-4090-9802</v>
          </cell>
          <cell r="B4216" t="str">
            <v>COVER, ZAM, 4 , SURFACE</v>
          </cell>
        </row>
        <row r="4217">
          <cell r="A4217" t="str">
            <v>SESX-4090-9807</v>
          </cell>
          <cell r="B4217" t="str">
            <v>COVER, IAM, SG, SURFACE</v>
          </cell>
        </row>
        <row r="4218">
          <cell r="A4218" t="str">
            <v>SESX-4090-9810</v>
          </cell>
          <cell r="B4218" t="str">
            <v>BRACKET, IAM</v>
          </cell>
        </row>
        <row r="4219">
          <cell r="A4219" t="str">
            <v>SESX-4098-9601</v>
          </cell>
          <cell r="B4219" t="str">
            <v>SSD PHOTO DETECTOR</v>
          </cell>
        </row>
        <row r="4220">
          <cell r="A4220" t="str">
            <v>SESX-4098-9602</v>
          </cell>
          <cell r="B4220" t="str">
            <v>SSD PHOTO DETECTOR W/HEAT</v>
          </cell>
        </row>
        <row r="4221">
          <cell r="A4221" t="str">
            <v>SESX-4098-9612</v>
          </cell>
          <cell r="B4221" t="str">
            <v>Detector termico Convencional</v>
          </cell>
        </row>
        <row r="4222">
          <cell r="A4222" t="str">
            <v>SESX-4098-9613</v>
          </cell>
          <cell r="B4222" t="str">
            <v>SSD HEAT DET 135 ROR</v>
          </cell>
        </row>
        <row r="4223">
          <cell r="A4223" t="str">
            <v>SESX-4098-9685</v>
          </cell>
          <cell r="B4223" t="str">
            <v>DUCT DET HOUS, 2-WIRE, W/O REL</v>
          </cell>
        </row>
        <row r="4224">
          <cell r="A4224" t="str">
            <v>SESX-4098-9714</v>
          </cell>
          <cell r="B4224" t="str">
            <v>SSD PHOTO SENSOR</v>
          </cell>
        </row>
        <row r="4225">
          <cell r="A4225" t="str">
            <v>SESX-4098-9714EA</v>
          </cell>
          <cell r="B4225" t="str">
            <v>ID NET PHOTO SENSOR AUSTRALIA</v>
          </cell>
        </row>
        <row r="4226">
          <cell r="A4226" t="str">
            <v>SESX-4098-9733</v>
          </cell>
          <cell r="B4226" t="str">
            <v>SSD HEAT SENSOR</v>
          </cell>
        </row>
        <row r="4227">
          <cell r="A4227" t="str">
            <v>SESX-4098-9751</v>
          </cell>
          <cell r="B4227" t="str">
            <v>SSD IN-DUCT SENSOR HOUS W/REL</v>
          </cell>
        </row>
        <row r="4228">
          <cell r="A4228" t="str">
            <v>SESX-4098-9754</v>
          </cell>
          <cell r="B4228" t="str">
            <v>ANALOG PHOTO SENSOR WITH HEAT (fotoeléctrico/térmico)</v>
          </cell>
        </row>
        <row r="4229">
          <cell r="A4229" t="str">
            <v>SESX-4098-9755</v>
          </cell>
          <cell r="B4229" t="str">
            <v>DUCT-SENSOR HOUSING</v>
          </cell>
        </row>
        <row r="4230">
          <cell r="A4230" t="str">
            <v>SESX-4098-9756</v>
          </cell>
          <cell r="B4230" t="str">
            <v>Dust Sensor Housing</v>
          </cell>
        </row>
        <row r="4231">
          <cell r="A4231" t="str">
            <v>SESX-4098-9788</v>
          </cell>
          <cell r="B4231" t="str">
            <v>SSD 2-WIRE DET REM LED BASE</v>
          </cell>
        </row>
        <row r="4232">
          <cell r="A4232" t="str">
            <v>SESX-4098-9789EA</v>
          </cell>
          <cell r="B4232" t="str">
            <v>ID NET ADDRESS BASE AUSTRALIA</v>
          </cell>
        </row>
        <row r="4233">
          <cell r="A4233" t="str">
            <v>SESX-4098-9792</v>
          </cell>
          <cell r="B4233" t="str">
            <v>SSD SENSOR BASE</v>
          </cell>
        </row>
        <row r="4234">
          <cell r="A4234" t="str">
            <v>SESX-4098-9794</v>
          </cell>
          <cell r="B4234" t="str">
            <v xml:space="preserve">SSD SOUNDER BASE  </v>
          </cell>
        </row>
        <row r="4235">
          <cell r="A4235" t="str">
            <v>SESX-4098-9796</v>
          </cell>
          <cell r="B4235" t="str">
            <v>MULTI-SENSOR BASE W/LED (base)</v>
          </cell>
        </row>
        <row r="4236">
          <cell r="A4236" t="str">
            <v>SESX-4098-9832</v>
          </cell>
          <cell r="B4236" t="str">
            <v>SSD ADAPTER PLATE</v>
          </cell>
        </row>
        <row r="4237">
          <cell r="A4237" t="str">
            <v>SESX-4098-9855</v>
          </cell>
          <cell r="B4237" t="str">
            <v>SAMPLING TUBE 24 , PLASTIC</v>
          </cell>
        </row>
        <row r="4238">
          <cell r="A4238" t="str">
            <v>SESX-4099-9005</v>
          </cell>
          <cell r="B4238" t="str">
            <v>EST. MANUAL LED, DE ROMPER VIDRIO</v>
          </cell>
        </row>
        <row r="4239">
          <cell r="A4239" t="str">
            <v>SESX-4099-9005-SP</v>
          </cell>
          <cell r="B4239" t="str">
            <v>ESTACION LED, DIRECC, VIDRIO</v>
          </cell>
        </row>
        <row r="4240">
          <cell r="A4240" t="str">
            <v>SESX-4099-9006</v>
          </cell>
          <cell r="B4240" t="str">
            <v>ESTACION MANUAL DIRECC IDNET DOBLE ACC</v>
          </cell>
        </row>
        <row r="4241">
          <cell r="A4241" t="str">
            <v>SESX-4099-9006-SP</v>
          </cell>
          <cell r="B4241" t="str">
            <v>STATION-LED, DAPP, ADDR, SPANISH</v>
          </cell>
        </row>
        <row r="4242">
          <cell r="A4242" t="str">
            <v>SESX-4099-9015</v>
          </cell>
          <cell r="B4242" t="str">
            <v>PULSADOR MANUAL DE ALARMA / DESCARGA</v>
          </cell>
        </row>
        <row r="4243">
          <cell r="A4243" t="str">
            <v>SESX-4099-9802</v>
          </cell>
          <cell r="B4243" t="str">
            <v>RELEASE STN LABEL,SIMPLEX</v>
          </cell>
        </row>
        <row r="4244">
          <cell r="A4244" t="str">
            <v>SESX-4100-0011</v>
          </cell>
          <cell r="B4244" t="str">
            <v>NOT IN THE PRINCE BOOK</v>
          </cell>
        </row>
        <row r="4245">
          <cell r="A4245" t="str">
            <v>SESX-4100-0113</v>
          </cell>
          <cell r="B4245" t="str">
            <v>RS-2322120 COMM W/DIAL-IN-PLG</v>
          </cell>
        </row>
        <row r="4246">
          <cell r="A4246" t="str">
            <v>SESX-4100-0621</v>
          </cell>
          <cell r="B4246" t="str">
            <v>ANALOG AUDIO RISER MODULE</v>
          </cell>
        </row>
        <row r="4247">
          <cell r="A4247" t="str">
            <v>SESX-4100-0625</v>
          </cell>
          <cell r="B4247" t="str">
            <v>LOCAL MODE TPR IF</v>
          </cell>
        </row>
        <row r="4248">
          <cell r="A4248" t="str">
            <v>SESX-4100-0635</v>
          </cell>
          <cell r="B4248" t="str">
            <v>POWER DISTRIBUTION MODULE 220V</v>
          </cell>
        </row>
        <row r="4249">
          <cell r="A4249" t="str">
            <v>SESX-4100-0636</v>
          </cell>
          <cell r="B4249" t="str">
            <v>BOX TO BOX HARNESS KIT</v>
          </cell>
        </row>
        <row r="4250">
          <cell r="A4250" t="str">
            <v>SESX-4100-0641</v>
          </cell>
          <cell r="B4250" t="str">
            <v>64/64 LED/SW HARNESS LONG</v>
          </cell>
        </row>
        <row r="4251">
          <cell r="A4251" t="str">
            <v>SESX-4100-1210</v>
          </cell>
          <cell r="B4251" t="str">
            <v xml:space="preserve">CONTROLADOR DE AUDIO ANALOGO 1.5 </v>
          </cell>
        </row>
        <row r="4252">
          <cell r="A4252" t="str">
            <v>SESX-4100-1241</v>
          </cell>
          <cell r="B4252" t="str">
            <v>MESSAGE EXPANSION, 8 MINUTES</v>
          </cell>
        </row>
        <row r="4253">
          <cell r="A4253" t="str">
            <v>SESX-4100-1242</v>
          </cell>
          <cell r="B4253" t="str">
            <v>MESSAGE EXPANSION, 32 MINUTES</v>
          </cell>
        </row>
        <row r="4254">
          <cell r="A4254" t="str">
            <v>SESX-4100-1243</v>
          </cell>
          <cell r="B4254" t="str">
            <v>AUDIO INTERFACE W/MIKE</v>
          </cell>
        </row>
        <row r="4255">
          <cell r="A4255" t="str">
            <v>SESX-4100-1245</v>
          </cell>
          <cell r="B4255" t="str">
            <v>FLEX 50 NAC EXPANSION, 3 CLS B</v>
          </cell>
        </row>
        <row r="4256">
          <cell r="A4256" t="str">
            <v>SESX-4100-1252</v>
          </cell>
          <cell r="B4256" t="str">
            <v>AUDIO IF MODULE, SGL CHANNEL</v>
          </cell>
        </row>
        <row r="4257">
          <cell r="A4257" t="str">
            <v>SESX-4100-1254</v>
          </cell>
          <cell r="B4257" t="str">
            <v>AUDIO IF 2 CHANNEL</v>
          </cell>
        </row>
        <row r="4258">
          <cell r="A4258" t="str">
            <v>SESX-4100-1255</v>
          </cell>
          <cell r="B4258" t="str">
            <v>AUDIO IF 3-8 CHANNEL</v>
          </cell>
        </row>
        <row r="4259">
          <cell r="A4259" t="str">
            <v>SESX-4100-1279</v>
          </cell>
          <cell r="B4259" t="str">
            <v>2 BLANK DISPLAY MODULE</v>
          </cell>
        </row>
        <row r="4260">
          <cell r="A4260" t="str">
            <v>SESX-4100-1282</v>
          </cell>
          <cell r="B4260" t="str">
            <v>8 SW, 16RED/YEL LED MOUDLE</v>
          </cell>
        </row>
        <row r="4261">
          <cell r="A4261" t="str">
            <v>SESX-4100-1287</v>
          </cell>
          <cell r="B4261" t="str">
            <v>24 SWITCH 24 RED LED MODULE</v>
          </cell>
        </row>
        <row r="4262">
          <cell r="A4262" t="str">
            <v>SESX-4100-1288</v>
          </cell>
          <cell r="B4262" t="str">
            <v>64/64 LED/SWITCH CONTROLLER</v>
          </cell>
        </row>
        <row r="4263">
          <cell r="A4263" t="str">
            <v>SESX-4100-1289</v>
          </cell>
          <cell r="B4263" t="str">
            <v>EXPANSION 64/64 LED/SW MODULE</v>
          </cell>
        </row>
        <row r="4264">
          <cell r="A4264" t="str">
            <v>SESX-4100-1294</v>
          </cell>
          <cell r="B4264" t="str">
            <v>LED/SWITCH SLIDE-IN LABEL KIT</v>
          </cell>
        </row>
        <row r="4265">
          <cell r="A4265" t="str">
            <v>SESX-4100-1296</v>
          </cell>
          <cell r="B4265" t="str">
            <v>8 SW, 16 GREEN/YELLOW LED MOD.</v>
          </cell>
        </row>
        <row r="4266">
          <cell r="A4266" t="str">
            <v>SESX-4100-1300</v>
          </cell>
          <cell r="B4266" t="str">
            <v>16 LED / 16 SW RED / YELLOW</v>
          </cell>
        </row>
        <row r="4267">
          <cell r="A4267" t="str">
            <v>SESX-4100-1311</v>
          </cell>
          <cell r="B4267" t="str">
            <v>AUDIO CONTROL BOARD - DIGITAL</v>
          </cell>
        </row>
        <row r="4268">
          <cell r="A4268" t="str">
            <v>SESX-4100-1313</v>
          </cell>
          <cell r="B4268" t="str">
            <v>50W AMP W/3 CLASS B NACS 70 V</v>
          </cell>
        </row>
        <row r="4269">
          <cell r="A4269" t="str">
            <v>SESX-4100-1318</v>
          </cell>
          <cell r="B4269" t="str">
            <v>100W AMP, 6NAC, 220/30/40VAC, 25V</v>
          </cell>
        </row>
        <row r="4270">
          <cell r="A4270" t="str">
            <v>SESX-4100-1324</v>
          </cell>
          <cell r="B4270" t="str">
            <v>BACK 100W AMP-220/30/40VAC, 25V</v>
          </cell>
        </row>
        <row r="4271">
          <cell r="A4271" t="str">
            <v>SESX-4100-1326</v>
          </cell>
          <cell r="B4271" t="str">
            <v>DIGITALFLEX  50W AMP, 3 NACS-25V</v>
          </cell>
        </row>
        <row r="4272">
          <cell r="A4272" t="str">
            <v>SESX-4100-1332</v>
          </cell>
          <cell r="B4272" t="str">
            <v>DIG100W AMP,6 NAC, 220 VAC,25V</v>
          </cell>
        </row>
        <row r="4273">
          <cell r="A4273" t="str">
            <v>SESX-4100-2126</v>
          </cell>
          <cell r="B4273" t="str">
            <v>3 BAY GLASS DOOR&amp;RETAINER RED</v>
          </cell>
        </row>
        <row r="4274">
          <cell r="A4274" t="str">
            <v>SESX-4100-2300</v>
          </cell>
          <cell r="B4274" t="str">
            <v>EXPANSION BAY ( PHASE 10 ONLY )</v>
          </cell>
        </row>
        <row r="4275">
          <cell r="A4275" t="str">
            <v>SESX-4100-2302</v>
          </cell>
          <cell r="B4275" t="str">
            <v>8 SLOT EXP BAY FILLER PANEL</v>
          </cell>
        </row>
        <row r="4276">
          <cell r="A4276" t="str">
            <v>SESX-4100-2320</v>
          </cell>
          <cell r="B4276" t="str">
            <v>AUDIO EXPANSION BAY</v>
          </cell>
        </row>
        <row r="4277">
          <cell r="A4277" t="str">
            <v>SESX-4100-3103</v>
          </cell>
          <cell r="B4277" t="str">
            <v>MAPNET/IDNET ISOLATOR MODULE (tarjeta de lazo 4100)</v>
          </cell>
        </row>
        <row r="4278">
          <cell r="A4278" t="str">
            <v>SESX-4100-3109</v>
          </cell>
          <cell r="B4278" t="str">
            <v>IDNET2 250PT 2 LOOP MODULE</v>
          </cell>
        </row>
        <row r="4279">
          <cell r="A4279" t="str">
            <v>SESX-4100-3206</v>
          </cell>
          <cell r="B4279" t="str">
            <v>MODULO DE RELE DE 8 PUNTOS, 3 AMP</v>
          </cell>
        </row>
        <row r="4280">
          <cell r="A4280" t="str">
            <v>SESX-4100-5102</v>
          </cell>
          <cell r="B4280" t="str">
            <v>XSP POWER,3 NACS, 220 VAC</v>
          </cell>
        </row>
        <row r="4281">
          <cell r="A4281" t="str">
            <v>SESX-4100-5113</v>
          </cell>
          <cell r="B4281" t="str">
            <v>SPS POWER, 3 NACS, 220/240V</v>
          </cell>
        </row>
        <row r="4282">
          <cell r="A4282" t="str">
            <v>SESX-4100-5313</v>
          </cell>
          <cell r="B4282" t="str">
            <v>EPS+ POWER SUPPLY 240V</v>
          </cell>
        </row>
        <row r="4283">
          <cell r="A4283" t="str">
            <v>SESX-4100-6038</v>
          </cell>
          <cell r="B4283" t="str">
            <v>DUAL RS-232 IF CARD</v>
          </cell>
        </row>
        <row r="4284">
          <cell r="A4284" t="str">
            <v>SESX-4100-6056</v>
          </cell>
          <cell r="B4284" t="str">
            <v>NETWORK MEDIA CARD WIRED</v>
          </cell>
        </row>
        <row r="4285">
          <cell r="A4285" t="str">
            <v>SESX-4100-6069</v>
          </cell>
          <cell r="B4285" t="str">
            <v>BACPAC ETHERNET MODULE</v>
          </cell>
        </row>
        <row r="4286">
          <cell r="A4286" t="str">
            <v>SESX-4100-6078</v>
          </cell>
          <cell r="B4286" t="str">
            <v>NETWORK IFC CARD, MODULAR</v>
          </cell>
        </row>
        <row r="4287">
          <cell r="A4287" t="str">
            <v>SESX-4100-7158</v>
          </cell>
          <cell r="B4287" t="str">
            <v>4100ES MSTR CTRL UPGRADE NO DISPLAY</v>
          </cell>
        </row>
        <row r="4288">
          <cell r="A4288" t="str">
            <v>SESX-4100-7905</v>
          </cell>
          <cell r="B4288" t="str">
            <v>FACTORY BUILT-MAIN CONFIGURED</v>
          </cell>
        </row>
        <row r="4289">
          <cell r="A4289" t="str">
            <v>SESX-4100-7908</v>
          </cell>
          <cell r="B4289" t="str">
            <v>SYSTEM WITHOUT DACT</v>
          </cell>
        </row>
        <row r="4290">
          <cell r="A4290" t="str">
            <v>SESX-4100-9511</v>
          </cell>
          <cell r="B4290" t="str">
            <v>EPS MASTER CTRLR INTL 240V</v>
          </cell>
        </row>
        <row r="4291">
          <cell r="A4291" t="str">
            <v>SESX-4100-9512</v>
          </cell>
          <cell r="B4291" t="str">
            <v>EPS INFOALARM INTL 240V</v>
          </cell>
        </row>
        <row r="4292">
          <cell r="A4292" t="str">
            <v>SESX-4100-9600</v>
          </cell>
          <cell r="B4292" t="str">
            <v>BASIC TRANSPONDER</v>
          </cell>
        </row>
        <row r="4293">
          <cell r="A4293" t="str">
            <v>SESX-4100-9601</v>
          </cell>
          <cell r="B4293" t="str">
            <v>LOCAL MODE TRANSPONDER</v>
          </cell>
        </row>
        <row r="4294">
          <cell r="A4294" t="str">
            <v>SESX-4100-9620</v>
          </cell>
          <cell r="B4294" t="str">
            <v>BASIC AUDIO W/MIKE-ANALOG</v>
          </cell>
        </row>
        <row r="4295">
          <cell r="A4295" t="str">
            <v>SESX-4100-9621</v>
          </cell>
          <cell r="B4295" t="str">
            <v>AUDIO BASICO COPN MIKE DIGITAL</v>
          </cell>
        </row>
        <row r="4296">
          <cell r="A4296" t="str">
            <v>SESX-4100ES</v>
          </cell>
          <cell r="B4296" t="str">
            <v>PRICE WITHOUT BOXES</v>
          </cell>
        </row>
        <row r="4297">
          <cell r="A4297" t="str">
            <v>SESX-4100ES-ACT4100U</v>
          </cell>
          <cell r="B4297" t="str">
            <v>CENTRAL 4100ES ACTUALIZACION 4100U</v>
          </cell>
        </row>
        <row r="4298">
          <cell r="A4298" t="str">
            <v>SESX-4100ES-ACTUALIZ</v>
          </cell>
          <cell r="B4298" t="str">
            <v>Central 4100ES proyecto especial</v>
          </cell>
        </row>
        <row r="4299">
          <cell r="A4299" t="str">
            <v>SESX-4100ES-BOS-NORT</v>
          </cell>
          <cell r="B4299" t="str">
            <v>CENTRAL 4100ES ED.BOSQUE NORTE</v>
          </cell>
        </row>
        <row r="4300">
          <cell r="A4300" t="str">
            <v>SESX-4100ES-CAS.CHIL</v>
          </cell>
          <cell r="B4300" t="str">
            <v>CENTRAL 4100ES CASINO CHILLAN</v>
          </cell>
        </row>
        <row r="4301">
          <cell r="A4301" t="str">
            <v>SESX-4100ES-CENTENAR</v>
          </cell>
          <cell r="B4301" t="str">
            <v>CENTRAL 4100ES ED. CENTENARIO DE CARABINEROS</v>
          </cell>
        </row>
        <row r="4302">
          <cell r="A4302" t="str">
            <v>SESX-4100ES-ED. APOQ</v>
          </cell>
          <cell r="B4302" t="str">
            <v>CENTRAL 4100ES EDIFICIO APOQUINDO</v>
          </cell>
        </row>
        <row r="4303">
          <cell r="A4303" t="str">
            <v>SESX-4100ES-ED.WTC</v>
          </cell>
          <cell r="B4303" t="str">
            <v>CENTRAL 4100ES EDIFICIO WTC</v>
          </cell>
        </row>
        <row r="4304">
          <cell r="A4304" t="str">
            <v>SESX-4100ES-EL PEÑON</v>
          </cell>
          <cell r="B4304" t="str">
            <v>CENTRAL 4100ES EL PEÑON</v>
          </cell>
        </row>
        <row r="4305">
          <cell r="A4305" t="str">
            <v>SESX-4100ES-HOT.CHIL</v>
          </cell>
          <cell r="B4305" t="str">
            <v>CENTRAL 4100ES HOTEL CHILLAN</v>
          </cell>
        </row>
        <row r="4306">
          <cell r="A4306" t="str">
            <v>SESX-4100ES-HOTEL</v>
          </cell>
          <cell r="B4306" t="str">
            <v>CENTRAL 4100ES HOTEL POLEX</v>
          </cell>
        </row>
        <row r="4307">
          <cell r="A4307" t="str">
            <v>SESX-4100ES-HPLC</v>
          </cell>
          <cell r="B4307" t="str">
            <v>CENTRAL 4100ES HPLC</v>
          </cell>
        </row>
        <row r="4308">
          <cell r="A4308" t="str">
            <v>SESX-4100ES-LM</v>
          </cell>
          <cell r="B4308" t="str">
            <v>CENTRAL 4100ES LOS MILITARES</v>
          </cell>
        </row>
        <row r="4309">
          <cell r="A4309" t="str">
            <v>SESX-4100ES-OFICINAS</v>
          </cell>
          <cell r="B4309" t="str">
            <v>CENTRAL 4100ES OFICINAS POLEX</v>
          </cell>
        </row>
        <row r="4310">
          <cell r="A4310" t="str">
            <v>SESX-4100ES-PPIQEROS</v>
          </cell>
          <cell r="B4310" t="str">
            <v>CENTRAL 4100ES PUNTA PIQUEROS</v>
          </cell>
        </row>
        <row r="4311">
          <cell r="A4311" t="str">
            <v>SESX-4100ESPROYECTOS</v>
          </cell>
          <cell r="B4311" t="str">
            <v>Central 4100ES proyecto especial</v>
          </cell>
        </row>
        <row r="4312">
          <cell r="A4312" t="str">
            <v>SESX-4100ES-TRANSPON</v>
          </cell>
          <cell r="B4312" t="str">
            <v>TRANSPONDER PANEL SIMPLEX 4100ES</v>
          </cell>
        </row>
        <row r="4313">
          <cell r="A4313" t="str">
            <v>SESX-4100ES-WOM</v>
          </cell>
          <cell r="B4313" t="str">
            <v>CENTRAL 4100ES ED.WOM</v>
          </cell>
        </row>
        <row r="4314">
          <cell r="A4314" t="str">
            <v>SESX-4100TRANSPON-LM</v>
          </cell>
          <cell r="B4314" t="str">
            <v>CENTRAL 4100TRANSPONDER LOS MILITARES</v>
          </cell>
        </row>
        <row r="4315">
          <cell r="A4315" t="str">
            <v>SESX-4100U-3101</v>
          </cell>
          <cell r="B4315" t="str">
            <v>4100U, IDNet Module, 250 Devices Max. Requires Rev 10 or hig</v>
          </cell>
        </row>
        <row r="4316">
          <cell r="A4316" t="str">
            <v>SESX-4190-5050</v>
          </cell>
          <cell r="B4316" t="str">
            <v>TSW SOFTWARE</v>
          </cell>
        </row>
        <row r="4317">
          <cell r="A4317" t="str">
            <v>SESX-4190-5055</v>
          </cell>
          <cell r="B4317" t="str">
            <v>TRUESITE GRAPHICANNUN SOFTWARE</v>
          </cell>
        </row>
        <row r="4318">
          <cell r="A4318" t="str">
            <v>SESX-4190-6036</v>
          </cell>
          <cell r="B4318" t="str">
            <v>PCI WIRED MEDIA CARD</v>
          </cell>
        </row>
        <row r="4319">
          <cell r="A4319" t="str">
            <v>SESX-4190-6061</v>
          </cell>
          <cell r="B4319" t="str">
            <v>PCI MODULAR NTWK INTFC CARD</v>
          </cell>
        </row>
        <row r="4320">
          <cell r="A4320" t="str">
            <v>SESX-4190-7015</v>
          </cell>
          <cell r="B4320" t="str">
            <v>TSW DESKTOP I7 PC WITH WIN7</v>
          </cell>
        </row>
        <row r="4321">
          <cell r="A4321" t="str">
            <v>SESX-4190-7233</v>
          </cell>
          <cell r="B4321" t="str">
            <v>21.5  LCD DESK MON BLK, TS</v>
          </cell>
        </row>
        <row r="4322">
          <cell r="A4322" t="str">
            <v>SESX-4190-8401</v>
          </cell>
          <cell r="B4322" t="str">
            <v>TRUESITE WORKSTATION</v>
          </cell>
        </row>
        <row r="4323">
          <cell r="A4323" t="str">
            <v>SESX-4190-8406</v>
          </cell>
          <cell r="B4323" t="str">
            <v>TRUESITE GRAPHIC ANNUNCIATOR</v>
          </cell>
        </row>
        <row r="4324">
          <cell r="A4324" t="str">
            <v>SESX-4190-8603</v>
          </cell>
          <cell r="B4324" t="str">
            <v>TSW SOFWARE ONLY</v>
          </cell>
        </row>
        <row r="4325">
          <cell r="A4325" t="str">
            <v>SESX-4190-8606</v>
          </cell>
          <cell r="B4325" t="str">
            <v>TRUESITE GRAPHIC ANNUN SW ONLY</v>
          </cell>
        </row>
        <row r="4326">
          <cell r="A4326" t="str">
            <v>SESX-4190-8901</v>
          </cell>
          <cell r="B4326" t="str">
            <v>AFTERMARKET ADDITIONAL</v>
          </cell>
        </row>
        <row r="4327">
          <cell r="A4327" t="str">
            <v>SESX-4190-9013</v>
          </cell>
          <cell r="B4327" t="str">
            <v>24 PIN DOT MATRIX PRINTER</v>
          </cell>
        </row>
        <row r="4328">
          <cell r="A4328" t="str">
            <v>SESX-4190-9021</v>
          </cell>
          <cell r="B4328" t="str">
            <v>SM LEFT FIBER MODEM RED CAB</v>
          </cell>
        </row>
        <row r="4329">
          <cell r="A4329" t="str">
            <v>SESX-4190-9023</v>
          </cell>
          <cell r="B4329" t="str">
            <v>ROGHT MODEM FOR SM CABINET</v>
          </cell>
        </row>
        <row r="4330">
          <cell r="A4330" t="str">
            <v>SESX-450-323</v>
          </cell>
          <cell r="B4330" t="str">
            <v>TERM BLOCK</v>
          </cell>
        </row>
        <row r="4331">
          <cell r="A4331" t="str">
            <v>SESX-4603-9101</v>
          </cell>
          <cell r="B4331" t="str">
            <v>LCD ANNUNCIATOR</v>
          </cell>
        </row>
        <row r="4332">
          <cell r="A4332" t="str">
            <v>SESX-4603-9111</v>
          </cell>
          <cell r="B4332" t="str">
            <v>6 GANG ALUM TRIM PLATE (MONTAJE DE ALUMINIO)</v>
          </cell>
        </row>
        <row r="4333">
          <cell r="A4333" t="str">
            <v>SESX-4606-9101</v>
          </cell>
          <cell r="B4333" t="str">
            <v>REMOTE LCD ANNUNCIATOR</v>
          </cell>
        </row>
        <row r="4334">
          <cell r="A4334" t="str">
            <v>SESX-4606-9102</v>
          </cell>
          <cell r="B4334" t="str">
            <v>REMOTE LCD ANNUN FOR 4010ES</v>
          </cell>
        </row>
        <row r="4335">
          <cell r="A4335" t="str">
            <v>SESX-4606-9202</v>
          </cell>
          <cell r="B4335" t="str">
            <v xml:space="preserve">4007ES COLOR LCD ANNUN, RED </v>
          </cell>
        </row>
        <row r="4336">
          <cell r="A4336" t="str">
            <v>SESX-4901-9820</v>
          </cell>
          <cell r="B4336" t="str">
            <v>HORN 24 VDC RED NON-ADDRESS ABL</v>
          </cell>
        </row>
        <row r="4337">
          <cell r="A4337" t="str">
            <v>SESX-4902-9717</v>
          </cell>
          <cell r="B4337" t="str">
            <v>SPEAKER 25V/70VRMS WHITE TRUEA</v>
          </cell>
        </row>
        <row r="4338">
          <cell r="A4338" t="str">
            <v>SESX-4902-9721</v>
          </cell>
          <cell r="B4338" t="str">
            <v>SPKR 25V / 70 VRMS WHT CEIL TRUEA</v>
          </cell>
        </row>
        <row r="4339">
          <cell r="A4339" t="str">
            <v>SESX-4903-9427</v>
          </cell>
          <cell r="B4339" t="str">
            <v>A/V 110 CD RED STD NON-ADDRESSA</v>
          </cell>
        </row>
        <row r="4340">
          <cell r="A4340" t="str">
            <v>SESX-4904-9170</v>
          </cell>
          <cell r="B4340" t="str">
            <v xml:space="preserve">ESTROBO 110CD ROJO , NO DIRECCIONABLE </v>
          </cell>
        </row>
        <row r="4341">
          <cell r="A4341" t="str">
            <v>SESX-4905-9916</v>
          </cell>
          <cell r="B4341" t="str">
            <v>TRIM RING 1-1/2  FOR A/V RED</v>
          </cell>
        </row>
        <row r="4342">
          <cell r="A4342" t="str">
            <v>SESX-4906-9101</v>
          </cell>
          <cell r="B4342" t="str">
            <v>V/O M-C NON-ADDRESS, RED, WALL</v>
          </cell>
        </row>
        <row r="4343">
          <cell r="A4343" t="str">
            <v>SESX-4906-9105</v>
          </cell>
          <cell r="B4343" t="str">
            <v>WP M-C VO NON-ADDRESS, RED, WALL</v>
          </cell>
        </row>
        <row r="4344">
          <cell r="A4344" t="str">
            <v>SESX-4906-9127</v>
          </cell>
          <cell r="B4344" t="str">
            <v>A/V M-C NON-ADDRESS, RED,WALL</v>
          </cell>
        </row>
        <row r="4345">
          <cell r="A4345" t="str">
            <v>SESX-4906-9128</v>
          </cell>
          <cell r="B4345" t="str">
            <v>A/V M-C NON-ADDRESS, RED CEIL</v>
          </cell>
        </row>
        <row r="4346">
          <cell r="A4346" t="str">
            <v>SESX-4906-9131</v>
          </cell>
          <cell r="B4346" t="str">
            <v>WP MC AV NON ADDR WALL MT RED</v>
          </cell>
        </row>
        <row r="4347">
          <cell r="A4347" t="str">
            <v>SESX-4906-9137</v>
          </cell>
          <cell r="B4347" t="str">
            <v>AV NO DIRECCIONABLE</v>
          </cell>
        </row>
        <row r="4348">
          <cell r="A4348" t="str">
            <v>SESX-4906-9151</v>
          </cell>
          <cell r="B4348" t="str">
            <v>SV NO DIRECCIONABLE</v>
          </cell>
        </row>
        <row r="4349">
          <cell r="A4349" t="str">
            <v>SESX-49AO-WRF</v>
          </cell>
          <cell r="B4349" t="str">
            <v>AO, PARED FUEGO ROJO</v>
          </cell>
        </row>
        <row r="4350">
          <cell r="A4350" t="str">
            <v>SESX-49AV-WRF</v>
          </cell>
          <cell r="B4350" t="str">
            <v>AV,WALL RED FIRE ( SIRENA CON LUZ )</v>
          </cell>
        </row>
        <row r="4351">
          <cell r="A4351" t="str">
            <v>SESX-49AV-WRFO</v>
          </cell>
          <cell r="B4351" t="str">
            <v>AV,WALL RED FIRE WP</v>
          </cell>
        </row>
        <row r="4352">
          <cell r="A4352" t="str">
            <v>SESX-49V0-WRFO</v>
          </cell>
          <cell r="B4352" t="str">
            <v>VO,WALL RED FIRE WP</v>
          </cell>
        </row>
        <row r="4353">
          <cell r="A4353" t="str">
            <v>SESX-49VO-APPLC</v>
          </cell>
          <cell r="B4353" t="str">
            <v>VO, WALL RED FIRE (LUZ STROBO CIELO)</v>
          </cell>
        </row>
        <row r="4354">
          <cell r="A4354" t="str">
            <v>SESX-49VO-WRF</v>
          </cell>
          <cell r="B4354" t="str">
            <v>STROBO VISUAL ROJO DE PARED</v>
          </cell>
        </row>
        <row r="4355">
          <cell r="A4355" t="str">
            <v>SESX-49VO-WRF-BA</v>
          </cell>
          <cell r="B4355" t="str">
            <v>VO,WALL RED FIRE USA  (49VO-WRF )</v>
          </cell>
        </row>
        <row r="4356">
          <cell r="A4356" t="str">
            <v>SESX-49WPBB-AVVOWR</v>
          </cell>
          <cell r="B4356" t="str">
            <v>WP BACK BOX AV OR VO WALL RED</v>
          </cell>
        </row>
        <row r="4357">
          <cell r="A4357" t="str">
            <v>SESX-650-759</v>
          </cell>
          <cell r="B4357" t="str">
            <v>RUI+, CPU MOTHERBOARD</v>
          </cell>
        </row>
        <row r="4358">
          <cell r="A4358" t="str">
            <v>SESX-733-794</v>
          </cell>
          <cell r="B4358" t="str">
            <v>PROGRMMING DOWNLOAD CABLE</v>
          </cell>
        </row>
        <row r="4359">
          <cell r="A4359" t="str">
            <v>SESX-734-052</v>
          </cell>
          <cell r="B4359" t="str">
            <v>4100 AUDIO/4010 ES PWR/COM/SIG</v>
          </cell>
        </row>
        <row r="4360">
          <cell r="A4360" t="str">
            <v>SESX-734-075</v>
          </cell>
          <cell r="B4360" t="str">
            <v>HARNESS PWER + COMMS 4100</v>
          </cell>
        </row>
        <row r="4361">
          <cell r="A4361" t="str">
            <v>SESX-734-076</v>
          </cell>
          <cell r="B4361" t="str">
            <v>HARNESS ASSY AUDIO 4100</v>
          </cell>
        </row>
        <row r="4362">
          <cell r="A4362" t="str">
            <v>SESX-734-183</v>
          </cell>
          <cell r="B4362" t="str">
            <v>4100 U/ES DIGITAL RISER HARNESS</v>
          </cell>
        </row>
        <row r="4363">
          <cell r="A4363" t="str">
            <v>SESX-741-727</v>
          </cell>
          <cell r="B4363" t="str">
            <v>MSTR TECH REP PRGM KEY USB</v>
          </cell>
        </row>
        <row r="4364">
          <cell r="A4364" t="str">
            <v>SESX-742-590</v>
          </cell>
          <cell r="B4364" t="str">
            <v>Display para central de incendio SIMPLEX 4100U</v>
          </cell>
        </row>
        <row r="4365">
          <cell r="A4365" t="str">
            <v>SESX-746-177</v>
          </cell>
          <cell r="B4365" t="str">
            <v>COMPACT FLASH-ES MSTR CTLR</v>
          </cell>
        </row>
        <row r="4366">
          <cell r="A4366" t="str">
            <v>SESX-BASE RELE</v>
          </cell>
          <cell r="B4366" t="str">
            <v>BASE P/REL E RT R11X 11P ANCHO 38 MM</v>
          </cell>
        </row>
        <row r="4367">
          <cell r="A4367" t="str">
            <v>SESX-CEN-4100 ES GAM</v>
          </cell>
          <cell r="B4367" t="str">
            <v xml:space="preserve">CENTRAL 4100 ES GAM </v>
          </cell>
        </row>
        <row r="4368">
          <cell r="A4368" t="str">
            <v>SESX-CENTRAL-4100ES</v>
          </cell>
          <cell r="B4368" t="str">
            <v xml:space="preserve">CENTRAL 4100ES </v>
          </cell>
        </row>
        <row r="4369">
          <cell r="A4369" t="str">
            <v>SESX-CENTRO ENT</v>
          </cell>
          <cell r="B4369" t="str">
            <v>CENTRO ENTRENAMIENTO SIMPLEX</v>
          </cell>
        </row>
        <row r="4370">
          <cell r="A4370" t="str">
            <v>SESX-CTRAL-4100ES-HA</v>
          </cell>
          <cell r="B4370" t="str">
            <v>CENTRAL 4100ES NDU HOSPITAL ANGOL</v>
          </cell>
        </row>
        <row r="4371">
          <cell r="A4371" t="str">
            <v>SESX-CTRAL-4100ESNDU</v>
          </cell>
          <cell r="B4371" t="str">
            <v xml:space="preserve">CENTRAL 4100ES NDU HOSPITAL OVALLE </v>
          </cell>
        </row>
        <row r="4372">
          <cell r="A4372" t="str">
            <v>SESX-CTRAL-4100ESUNI</v>
          </cell>
          <cell r="B4372" t="str">
            <v>CENTRAL 4100ES UNI CONTROL HOSPITAL OVALLE</v>
          </cell>
        </row>
        <row r="4373">
          <cell r="A4373" t="str">
            <v>SESX-DH1224FPC</v>
          </cell>
          <cell r="B4373" t="str">
            <v>12/24V, FLUSH MT, CHROME</v>
          </cell>
        </row>
        <row r="4374">
          <cell r="A4374" t="str">
            <v>SESX-FS-8700-41</v>
          </cell>
          <cell r="B4374" t="str">
            <v>Driver, Simplex 4100</v>
          </cell>
        </row>
        <row r="4375">
          <cell r="A4375" t="str">
            <v>SESX-FS-8704-03</v>
          </cell>
          <cell r="B4375" t="str">
            <v>Driver, modbus TCP</v>
          </cell>
        </row>
        <row r="4376">
          <cell r="A4376" t="str">
            <v>SESX-FS-8790-31</v>
          </cell>
          <cell r="B4376" t="str">
            <v>Mejoria de Puntos a 10.000</v>
          </cell>
        </row>
        <row r="4377">
          <cell r="A4377" t="str">
            <v>SESX-FS-B3510-05</v>
          </cell>
          <cell r="B4377" t="str">
            <v>FieldServer Serial/Ethernet/Lonworks (Incluye driver de modb</v>
          </cell>
        </row>
        <row r="4378">
          <cell r="A4378" t="str">
            <v>SESX-GBBB</v>
          </cell>
          <cell r="B4378" t="str">
            <v>CAJA NEGRA PARA CAMPANA SERIE GB</v>
          </cell>
        </row>
        <row r="4379">
          <cell r="A4379" t="str">
            <v>SESX-INT-GB6-24</v>
          </cell>
          <cell r="B4379" t="str">
            <v>CAMPANA 6 24 VDC</v>
          </cell>
        </row>
        <row r="4380">
          <cell r="A4380" t="str">
            <v>SESX-LX350</v>
          </cell>
          <cell r="B4380" t="str">
            <v>IMPRESORA LX350</v>
          </cell>
        </row>
        <row r="4381">
          <cell r="A4381" t="str">
            <v>SESX-RELE</v>
          </cell>
          <cell r="B4381" t="str">
            <v>RELE MINATURE TELE RT2.3 024L 3P BOB. 24VCC</v>
          </cell>
        </row>
        <row r="4382">
          <cell r="A4382" t="str">
            <v>SESX-TRUESTART2</v>
          </cell>
          <cell r="B4382" t="str">
            <v>TSI2 INSTRUMENT IDNET/IDNAC</v>
          </cell>
        </row>
        <row r="4383">
          <cell r="A4383" t="str">
            <v>SEUT-116DEXSTC-FJ</v>
          </cell>
          <cell r="B4383" t="str">
            <v>STROBE, HAZARDOUS LOCATION, CLEAR</v>
          </cell>
        </row>
        <row r="4384">
          <cell r="A4384" t="str">
            <v>SEUT-116EX-B</v>
          </cell>
          <cell r="B4384" t="str">
            <v>STROBE, ACCESSORY, WALL ELBOW BRACKET</v>
          </cell>
        </row>
        <row r="4385">
          <cell r="A4385" t="str">
            <v>SEUT-116EX-C</v>
          </cell>
          <cell r="B4385" t="str">
            <v>STROBE, ACCESSORY, WALL/CEILING MOUNT BOX</v>
          </cell>
        </row>
        <row r="4386">
          <cell r="A4386" t="str">
            <v>SEUT-889D-AW</v>
          </cell>
          <cell r="B4386" t="str">
            <v>HORN EXPLOSION PROF</v>
          </cell>
        </row>
        <row r="4387">
          <cell r="A4387" t="str">
            <v>SEVO-M2015-B-12</v>
          </cell>
          <cell r="B4387" t="str">
            <v>KIT MANTENCION PARA VALVULAS  1 Y 11/4 PULG</v>
          </cell>
        </row>
        <row r="4388">
          <cell r="A4388" t="str">
            <v>SEWM-240-CO-E</v>
          </cell>
          <cell r="B4388" t="str">
            <v>CO ALARM 240 CO-E</v>
          </cell>
        </row>
        <row r="4389">
          <cell r="A4389" t="str">
            <v>SEWM-9881P-X-I</v>
          </cell>
          <cell r="B4389" t="str">
            <v>UL LISTED ALARM EYE VIDEO IMAGE FIRE DETECTOR AE-988IP</v>
          </cell>
        </row>
        <row r="4390">
          <cell r="A4390" t="str">
            <v>SEWM-FPC-2554</v>
          </cell>
          <cell r="B4390" t="str">
            <v>UL LISTED FPC-2554 CONVENTIONAL PANEL RED PAINTED</v>
          </cell>
        </row>
        <row r="4391">
          <cell r="A4391" t="str">
            <v>SEWM-FPC-2558</v>
          </cell>
          <cell r="B4391" t="str">
            <v>UL LISTED FPC-2558 CONVENTIONAL PANEL RED PAINTED</v>
          </cell>
        </row>
        <row r="4392">
          <cell r="A4392" t="str">
            <v>SEWM-NB758-2L</v>
          </cell>
          <cell r="B4392" t="str">
            <v>CONVENTIONAL SMOKE-PHOTOELECTRIC DETECTOR WITH LED</v>
          </cell>
        </row>
        <row r="4393">
          <cell r="A4393" t="str">
            <v>SEWM-NB758H-2L</v>
          </cell>
          <cell r="B4393" t="str">
            <v>CONVENTIONAL HEAT DETECTOR WITH LED</v>
          </cell>
        </row>
        <row r="4394">
          <cell r="A4394" t="str">
            <v>SEWM-NB758S-2L</v>
          </cell>
          <cell r="B4394" t="str">
            <v>PHOTOELECTRIC SMOCK DETECTOR WITH REMOTE LED OUTPUT</v>
          </cell>
        </row>
        <row r="4395">
          <cell r="A4395" t="str">
            <v>SEWM-NB758SH-2L</v>
          </cell>
          <cell r="B4395" t="str">
            <v>CONVENTIONAL (SMOKE&amp;HEAT) DETECTOR WITH LED</v>
          </cell>
        </row>
        <row r="4396">
          <cell r="A4396" t="str">
            <v>SEWM-NB-983-CO-24</v>
          </cell>
          <cell r="B4396" t="str">
            <v>GAS DETECTOR NB-983-CO-24</v>
          </cell>
        </row>
        <row r="4397">
          <cell r="A4397" t="str">
            <v>SEXV-ECO-DB04</v>
          </cell>
          <cell r="B4397" t="str">
            <v>HIDROGEN</v>
          </cell>
        </row>
        <row r="4398">
          <cell r="A4398" t="str">
            <v>SEXV-ECO-D-B-14</v>
          </cell>
          <cell r="B4398" t="str">
            <v>ECO DETECTOR H2 0-2000PPM</v>
          </cell>
        </row>
        <row r="4399">
          <cell r="A4399" t="str">
            <v>SEXV-ECO-SC-43</v>
          </cell>
          <cell r="B4399" t="str">
            <v>HYDROGEN SULFIDE  (H2S)  0-100  PPM</v>
          </cell>
        </row>
        <row r="4400">
          <cell r="A4400" t="str">
            <v>SEXV-VEP-A00 1P</v>
          </cell>
          <cell r="B4400" t="str">
            <v xml:space="preserve">ESTERNAL FILTER REPLACEMENT </v>
          </cell>
        </row>
        <row r="4401">
          <cell r="A4401" t="str">
            <v>SEXV-VEP-A10</v>
          </cell>
          <cell r="B4401" t="str">
            <v>VESDA LASER FOCUS 500</v>
          </cell>
        </row>
        <row r="4402">
          <cell r="A4402" t="str">
            <v>SEXV-VEP-A10-P</v>
          </cell>
          <cell r="B4402" t="str">
            <v>VESDA VEP W 3.5 DIS, PLAS ENC.</v>
          </cell>
        </row>
        <row r="4403">
          <cell r="A4403" t="str">
            <v>SEXX-DB25</v>
          </cell>
          <cell r="B4403" t="str">
            <v>CABLE DB25 MACHO</v>
          </cell>
        </row>
        <row r="4404">
          <cell r="A4404" t="str">
            <v>SIEM-500-649852BG</v>
          </cell>
          <cell r="B4404" t="str">
            <v>Valve Service Kit 4 500-697962BG</v>
          </cell>
        </row>
        <row r="4405">
          <cell r="A4405" t="str">
            <v>SIEM-500-697960BG</v>
          </cell>
          <cell r="B4405" t="str">
            <v>Valve Service Kit 1 500-697960BG</v>
          </cell>
        </row>
        <row r="4406">
          <cell r="A4406" t="str">
            <v>SIEM-500-697961BG</v>
          </cell>
          <cell r="B4406" t="str">
            <v>Valve Service Kit 1.5 500-697961BG</v>
          </cell>
        </row>
        <row r="4407">
          <cell r="A4407" t="str">
            <v>SIEM-500-697962BG</v>
          </cell>
          <cell r="B4407" t="str">
            <v>Valve Service Kit 2 1/2 500-697962BG</v>
          </cell>
        </row>
        <row r="4408">
          <cell r="A4408" t="str">
            <v>SIEX-200KG</v>
          </cell>
          <cell r="B4408" t="str">
            <v>KG DE AGENTE EXTINTOR FM200</v>
          </cell>
        </row>
        <row r="4409">
          <cell r="A4409" t="str">
            <v>SIEX-CLATD8</v>
          </cell>
          <cell r="B4409" t="str">
            <v xml:space="preserve">LATIGUILLO DE DISPARO DE 1/4 </v>
          </cell>
        </row>
        <row r="4410">
          <cell r="A4410" t="str">
            <v>SIEX-FITTUBO</v>
          </cell>
          <cell r="B4410" t="str">
            <v>TUBO FIRETRACE</v>
          </cell>
        </row>
        <row r="4411">
          <cell r="A4411" t="str">
            <v>SIEX-FT13DLP</v>
          </cell>
          <cell r="B4411" t="str">
            <v xml:space="preserve">CILINDRO MOD 13L FIRETRACE DE BAJA </v>
          </cell>
        </row>
        <row r="4412">
          <cell r="A4412" t="str">
            <v>SIEX-FT3DLP</v>
          </cell>
          <cell r="B4412" t="str">
            <v xml:space="preserve">CILINDRO MOD 3L FIRETRACE DE BAJA </v>
          </cell>
        </row>
        <row r="4413">
          <cell r="A4413" t="str">
            <v>SIEX-FTTFLM</v>
          </cell>
          <cell r="B4413" t="str">
            <v>LINEA MANOMETROS MODELO FTTFLM</v>
          </cell>
        </row>
        <row r="4414">
          <cell r="A4414" t="str">
            <v>SIEX-HE2,7</v>
          </cell>
          <cell r="B4414" t="str">
            <v xml:space="preserve">HERRAJE 2,7 </v>
          </cell>
        </row>
        <row r="4415">
          <cell r="A4415" t="str">
            <v>SIEX-HE2.7</v>
          </cell>
          <cell r="B4415" t="str">
            <v xml:space="preserve">HERRAJE 2.7L </v>
          </cell>
        </row>
        <row r="4416">
          <cell r="A4416" t="str">
            <v>SIEX-HE613</v>
          </cell>
          <cell r="B4416" t="str">
            <v>HERRAJE POHE613  PARA 13  Y  6.7 L</v>
          </cell>
        </row>
        <row r="4417">
          <cell r="A4417" t="str">
            <v>SIEX-N2CP</v>
          </cell>
          <cell r="B4417" t="str">
            <v>CILINDRO PILOTO DE 2L DE N2</v>
          </cell>
        </row>
        <row r="4418">
          <cell r="A4418" t="str">
            <v>SIEX-NOVECKG</v>
          </cell>
          <cell r="B4418" t="str">
            <v>NOVEC 1230</v>
          </cell>
        </row>
        <row r="4419">
          <cell r="A4419" t="str">
            <v>SIEX-PDVD65</v>
          </cell>
          <cell r="B4419" t="str">
            <v xml:space="preserve">VALVULA DIRECCIONAL 2 1/2 </v>
          </cell>
        </row>
        <row r="4420">
          <cell r="A4420" t="str">
            <v>SIEX-POADT21.7</v>
          </cell>
          <cell r="B4420" t="str">
            <v xml:space="preserve">ADAPTADOR 21.7 A 1/4 </v>
          </cell>
        </row>
        <row r="4421">
          <cell r="A4421" t="str">
            <v>SIEX-POCOLV65-2</v>
          </cell>
          <cell r="B4421" t="str">
            <v xml:space="preserve">COLECTOR PARA VALVULA DIRECCIONAL 2 1/2 CON 2 ENTRADAS </v>
          </cell>
        </row>
        <row r="4422">
          <cell r="A4422" t="str">
            <v>SIEX-POLATCU</v>
          </cell>
          <cell r="B4422" t="str">
            <v>LATIGUILLO DE COBRE DE 6X4</v>
          </cell>
        </row>
        <row r="4423">
          <cell r="A4423" t="str">
            <v>SIEX-POPRENA20</v>
          </cell>
          <cell r="B4423" t="str">
            <v>PRESOSTATO NA REGULABLE MODELO POPRENA20</v>
          </cell>
        </row>
        <row r="4424">
          <cell r="A4424" t="str">
            <v>SIEX-POVALAN10</v>
          </cell>
          <cell r="B4424" t="str">
            <v>VALVULA ANTIRETORNO DE 1/4</v>
          </cell>
        </row>
        <row r="4425">
          <cell r="A4425" t="str">
            <v>SIEX-SIDIAP20</v>
          </cell>
          <cell r="B4425" t="str">
            <v>DIFUSOR DE APLICACION LOCAL 3/4 (SIN TAPON PROTECTOR)</v>
          </cell>
        </row>
        <row r="4426">
          <cell r="A4426" t="str">
            <v>SIEX-SIDP300</v>
          </cell>
          <cell r="B4426" t="str">
            <v>DEPOSITO DE POLVO QUIMICO 300 KG</v>
          </cell>
        </row>
        <row r="4427">
          <cell r="A4427" t="str">
            <v>SIEX-SIKGP</v>
          </cell>
          <cell r="B4427" t="str">
            <v>KG DE POLVO ABC</v>
          </cell>
        </row>
        <row r="4428">
          <cell r="A4428" t="str">
            <v>SIEX-VREC210</v>
          </cell>
          <cell r="B4428" t="str">
            <v>VALVULA DE ROTURA DE ESCAPE CONDUCIDO VREC210</v>
          </cell>
        </row>
        <row r="4429">
          <cell r="A4429" t="str">
            <v>SOFTWARE-000000</v>
          </cell>
          <cell r="B4429" t="str">
            <v xml:space="preserve">LICENCIA SOFTWARE CPI WIN V.14 </v>
          </cell>
        </row>
        <row r="4430">
          <cell r="A4430" t="str">
            <v>SOLEVALDILV1/2-</v>
          </cell>
          <cell r="B4430" t="str">
            <v>(INACTIVO)</v>
          </cell>
        </row>
        <row r="4431">
          <cell r="A4431" t="str">
            <v>SOP-0-3346-SB</v>
          </cell>
          <cell r="B4431" t="str">
            <v>HERRAMIENTA ESTAMPADO  3-346 DOR-NAR-VER</v>
          </cell>
        </row>
        <row r="4432">
          <cell r="A4432" t="str">
            <v>SOP-0-3-SBHS</v>
          </cell>
          <cell r="B4432" t="str">
            <v>HERRAMIENTA ESTAMPADO  0-3-SBHS  DORADO</v>
          </cell>
        </row>
        <row r="4433">
          <cell r="A4433" t="str">
            <v>SOPAABRTPU2 1/2-0000</v>
          </cell>
          <cell r="B4433" t="str">
            <v xml:space="preserve">ABRAZ.TIPO U 2 1/2 C/HILO (3/8) </v>
          </cell>
        </row>
        <row r="4434">
          <cell r="A4434" t="str">
            <v>SOPAABRTPU6-0000</v>
          </cell>
          <cell r="B4434" t="str">
            <v xml:space="preserve">ABRAZ.TIPO U 6 C/HILO (1/2) </v>
          </cell>
        </row>
        <row r="4435">
          <cell r="A4435" t="str">
            <v>SOPAABRTPU8-0000</v>
          </cell>
          <cell r="B4435" t="str">
            <v xml:space="preserve">ABRAZ.TIPO U 8 C/HILO (1/2) </v>
          </cell>
        </row>
        <row r="4436">
          <cell r="A4436" t="str">
            <v>SOPAB3188-01</v>
          </cell>
          <cell r="B4436" t="str">
            <v>B3188 - 01 PLN U-BLT NEGRA FIG. 110</v>
          </cell>
        </row>
        <row r="4437">
          <cell r="A4437" t="str">
            <v>SOPAB3188-02</v>
          </cell>
          <cell r="B4437" t="str">
            <v>B3188 - 02 PLN U-BLT NEGRA FIG. 110</v>
          </cell>
        </row>
        <row r="4438">
          <cell r="A4438" t="str">
            <v>SOPAB3188-08</v>
          </cell>
          <cell r="B4438" t="str">
            <v>B3188 - 08 PLN U-BLT NEGRA FIG. 110</v>
          </cell>
        </row>
        <row r="4439">
          <cell r="A4439" t="str">
            <v>SOPAB3188-1C</v>
          </cell>
          <cell r="B4439" t="str">
            <v>B3188 - 1C PLN U-BLT NEGRA FIG. 110</v>
          </cell>
        </row>
        <row r="4440">
          <cell r="A4440" t="str">
            <v>SOPAB3188-2M</v>
          </cell>
          <cell r="B4440" t="str">
            <v>B3188 - 2 1/2 PLN U-BLT NEGRA FIG. 110</v>
          </cell>
        </row>
        <row r="4441">
          <cell r="A4441" t="str">
            <v>SOPABRTPU1.1/4-</v>
          </cell>
          <cell r="B4441" t="str">
            <v>ABRAZ.TIPO U 1.1/4HL (3/8)</v>
          </cell>
        </row>
        <row r="4442">
          <cell r="A4442" t="str">
            <v>SOPABRTPU2-0000</v>
          </cell>
          <cell r="B4442" t="str">
            <v xml:space="preserve">ABRAZ.TIPO U 2 C/HILO (3/8) </v>
          </cell>
        </row>
        <row r="4443">
          <cell r="A4443" t="str">
            <v>SOPABRTPU3-0000</v>
          </cell>
          <cell r="B4443" t="str">
            <v>ABRAZ.TIPO U 3 C/HILO (3/8)</v>
          </cell>
        </row>
        <row r="4444">
          <cell r="A4444" t="str">
            <v>SOPABRTPU4-0000</v>
          </cell>
          <cell r="B4444" t="str">
            <v>ABRAZ.TIPO U 4 C/HILO (3/8)</v>
          </cell>
        </row>
        <row r="4445">
          <cell r="A4445" t="str">
            <v>SOPAS65XT-3/8-00</v>
          </cell>
          <cell r="B4445" t="str">
            <v>FG 65 XT 3/8 REV BEAM CLAMP XT EG Y205003XTE</v>
          </cell>
        </row>
        <row r="4446">
          <cell r="A4446" t="str">
            <v>SOPASF015-03-00</v>
          </cell>
          <cell r="B4446" t="str">
            <v>SOP. ANTISISMICO FIG.015  3</v>
          </cell>
        </row>
        <row r="4447">
          <cell r="A4447" t="str">
            <v>SOPASF015-04-00</v>
          </cell>
          <cell r="B4447" t="str">
            <v xml:space="preserve">SOP. ANTISISMICO FIG.015  4 </v>
          </cell>
        </row>
        <row r="4448">
          <cell r="A4448" t="str">
            <v>SOPASF015-2M-00</v>
          </cell>
          <cell r="B4448" t="str">
            <v>SOP. ANTISISMICO FIG.015  2 1/2</v>
          </cell>
        </row>
        <row r="4449">
          <cell r="A4449" t="str">
            <v>SOPASF0312-0000</v>
          </cell>
          <cell r="B4449" t="str">
            <v xml:space="preserve">SOP. ANTISISMICO FIG.031 2 - GL SB031020EG </v>
          </cell>
        </row>
        <row r="4450">
          <cell r="A4450" t="str">
            <v>SOPASF0312M-000</v>
          </cell>
          <cell r="B4450" t="str">
            <v xml:space="preserve">SOP. ANTISISMICO FIG.031 21/2GL SB031025EG </v>
          </cell>
        </row>
        <row r="4451">
          <cell r="A4451" t="str">
            <v>SOPASF0313-0000</v>
          </cell>
          <cell r="B4451" t="str">
            <v xml:space="preserve">SOP. ANTISISMICO FIG.031 3 </v>
          </cell>
        </row>
        <row r="4452">
          <cell r="A4452" t="str">
            <v>SOPASF0314-0000</v>
          </cell>
          <cell r="B4452" t="str">
            <v xml:space="preserve">SOP. ANTISISMICO FIG.031 4GL SB031040EG </v>
          </cell>
        </row>
        <row r="4453">
          <cell r="A4453" t="str">
            <v>SOPASF0316-0000</v>
          </cell>
          <cell r="B4453" t="str">
            <v>SOP. ANTISISMICO FIG.031 6</v>
          </cell>
        </row>
        <row r="4454">
          <cell r="A4454" t="str">
            <v>SOPASF0318-0000</v>
          </cell>
          <cell r="B4454" t="str">
            <v xml:space="preserve">SOP. ANTISISMICO FIG.031 8GL SB031080EG </v>
          </cell>
        </row>
        <row r="4455">
          <cell r="A4455" t="str">
            <v>SOPASF040-21/2-000</v>
          </cell>
          <cell r="B4455" t="str">
            <v>SOPORTE ANTISISMICO FIGURA 040 PDH 21/2</v>
          </cell>
        </row>
        <row r="4456">
          <cell r="A4456" t="str">
            <v>SOPASF040-3-000</v>
          </cell>
          <cell r="B4456" t="str">
            <v>SOPORTE ANTISISMICO FIGURA 040 PDH 3</v>
          </cell>
        </row>
        <row r="4457">
          <cell r="A4457" t="str">
            <v>SOPASF040-4-000</v>
          </cell>
          <cell r="B4457" t="str">
            <v>SOPORTE ANTISISMICO FIGURA 040 PDH 4</v>
          </cell>
        </row>
        <row r="4458">
          <cell r="A4458" t="str">
            <v>SOPASF04L-2-00</v>
          </cell>
          <cell r="B4458" t="str">
            <v>FIG 4L PIPECL EQB PLN  02  NEGRO</v>
          </cell>
        </row>
        <row r="4459">
          <cell r="A4459" t="str">
            <v>SOPASF04L-21/2-00</v>
          </cell>
          <cell r="B4459" t="str">
            <v>FIG 4L PIPECL EQB PLN  21/2  NEGRO</v>
          </cell>
        </row>
        <row r="4460">
          <cell r="A4460" t="str">
            <v>SOPASF04L-3-00</v>
          </cell>
          <cell r="B4460" t="str">
            <v>FIG 4L PIPECL EQB PLN  3  NEGRO</v>
          </cell>
        </row>
        <row r="4461">
          <cell r="A4461" t="str">
            <v>SOPASF04L-4-00</v>
          </cell>
          <cell r="B4461" t="str">
            <v>FIG 4L PIPECL EQB PLN  4  NEGRO</v>
          </cell>
        </row>
        <row r="4462">
          <cell r="A4462" t="str">
            <v>SOPASF04L-6-00</v>
          </cell>
          <cell r="B4462" t="str">
            <v>FIG 4L PIPECL EQB PLN  6  NEGROS</v>
          </cell>
        </row>
        <row r="4463">
          <cell r="A4463" t="str">
            <v>SOPASF04L-8-00</v>
          </cell>
          <cell r="B4463" t="str">
            <v>FIG 4L PIPECL EQB PLN  8  NEGROS</v>
          </cell>
        </row>
        <row r="4464">
          <cell r="A4464" t="str">
            <v>SOPASF04LA-2/12-00</v>
          </cell>
          <cell r="B4464" t="str">
            <v>FIG 4LA   2 1/2  LONG LAT SWAY  BRC ATT EG Y093024E</v>
          </cell>
        </row>
        <row r="4465">
          <cell r="A4465" t="str">
            <v>SOPASF04LA-2-00</v>
          </cell>
          <cell r="B4465" t="str">
            <v>FIG 4LA  02  LONG LAT SWAY  BRC ATT EG Y093020E</v>
          </cell>
        </row>
        <row r="4466">
          <cell r="A4466" t="str">
            <v>SOPASF04LA-3-00</v>
          </cell>
          <cell r="B4466" t="str">
            <v>FIG 4LA   3  LONG LAT SWAY  BRC ATT EG Y093030E</v>
          </cell>
        </row>
        <row r="4467">
          <cell r="A4467" t="str">
            <v>SOPASF04LA-4-00</v>
          </cell>
          <cell r="B4467" t="str">
            <v>FIG 4LA   4  LONG LAT SWAY  BRC ATT EG Y093040E</v>
          </cell>
        </row>
        <row r="4468">
          <cell r="A4468" t="str">
            <v>SOPASF051-3/8</v>
          </cell>
          <cell r="B4468" t="str">
            <v xml:space="preserve"> FIG.051   NFPA  PLANA NEGRA   3/8  Y 165003004</v>
          </cell>
        </row>
        <row r="4469">
          <cell r="A4469" t="str">
            <v>SOP-ASF30-0000</v>
          </cell>
          <cell r="B4469" t="str">
            <v>INACTIVO</v>
          </cell>
        </row>
        <row r="4470">
          <cell r="A4470" t="str">
            <v>SOPASF30-000000</v>
          </cell>
          <cell r="B4470" t="str">
            <v>C-CLAMP STRU.ATT.FIG.030 1/4 GL SB030EG</v>
          </cell>
        </row>
        <row r="4471">
          <cell r="A4471" t="str">
            <v>SOPASF450-1</v>
          </cell>
          <cell r="B4471" t="str">
            <v xml:space="preserve">SOP. ANTISISMICO FIG.450  1 </v>
          </cell>
        </row>
        <row r="4472">
          <cell r="A4472" t="str">
            <v>SOPASF450-1.1/2</v>
          </cell>
          <cell r="B4472" t="str">
            <v xml:space="preserve">SOP. ANTISISMICO FIG.450  1.1/2 </v>
          </cell>
        </row>
        <row r="4473">
          <cell r="A4473" t="str">
            <v>SOPASF450-1.1/4</v>
          </cell>
          <cell r="B4473" t="str">
            <v xml:space="preserve">SOP. ANTISISMICO FIG.450  1.1/4 </v>
          </cell>
        </row>
        <row r="4474">
          <cell r="A4474" t="str">
            <v>SOPASF450-2</v>
          </cell>
          <cell r="B4474" t="str">
            <v>SOP. ANTISISMICO FIG.450  2</v>
          </cell>
        </row>
        <row r="4475">
          <cell r="A4475" t="str">
            <v>SOPASF450-2.1/2</v>
          </cell>
          <cell r="B4475" t="str">
            <v xml:space="preserve">SOP. ANTISISMICO FIG.450  2.1/2 </v>
          </cell>
        </row>
        <row r="4476">
          <cell r="A4476" t="str">
            <v>SOPASF450-3</v>
          </cell>
          <cell r="B4476" t="str">
            <v>SOP. ANTISISMICO FIG.450  3</v>
          </cell>
        </row>
        <row r="4477">
          <cell r="A4477" t="str">
            <v>SOPASF450-4</v>
          </cell>
          <cell r="B4477" t="str">
            <v>SOP. ANTISISMICO FIG.450  4</v>
          </cell>
        </row>
        <row r="4478">
          <cell r="A4478" t="str">
            <v>SOPASF450-6</v>
          </cell>
          <cell r="B4478" t="str">
            <v>SOP. ANTISISMICO FIG.450  6</v>
          </cell>
        </row>
        <row r="4479">
          <cell r="A4479" t="str">
            <v>SOPASF4LA-03-0</v>
          </cell>
          <cell r="B4479" t="str">
            <v>FIG. 4LA 3  LONG LAT SWAY BRC ATT EG Y093030E ZINC P.</v>
          </cell>
        </row>
        <row r="4480">
          <cell r="A4480" t="str">
            <v>SOPASF4LA-04-0</v>
          </cell>
          <cell r="B4480" t="str">
            <v>FIG. 4LA 4  LONG LAT SWAY BRC ATT EG Y093040E ZINC P.</v>
          </cell>
        </row>
        <row r="4481">
          <cell r="A4481" t="str">
            <v>SOPASF980-1/2-ZP</v>
          </cell>
          <cell r="B4481" t="str">
            <v>FIG. 980 1/2HL UNIVBRCATT EG Y3410004E ZINC PLATED</v>
          </cell>
        </row>
        <row r="4482">
          <cell r="A4482" t="str">
            <v>SOPASF980L-1/2-00</v>
          </cell>
          <cell r="B4482" t="str">
            <v>FIG 980 1/2 HL UNIVBRCATT PLN  NEGRO</v>
          </cell>
        </row>
        <row r="4483">
          <cell r="A4483" t="str">
            <v>SOPASFG75-3/8-00</v>
          </cell>
          <cell r="B4483" t="str">
            <v>FG 75 3/8 RD SWIVEL ATTACHMENT EG  Y238003E ZINC P.</v>
          </cell>
        </row>
        <row r="4484">
          <cell r="A4484" t="str">
            <v>SOP-FELCO C7</v>
          </cell>
          <cell r="B4484" t="str">
            <v>HERRAMIENTE DE CORTE FELCO MODELO C7</v>
          </cell>
        </row>
        <row r="4485">
          <cell r="A4485" t="str">
            <v>SOP-FELCO-C9</v>
          </cell>
          <cell r="B4485" t="str">
            <v>HERRAMIENTE DE CORTE FELCO MODELO C9</v>
          </cell>
        </row>
        <row r="4486">
          <cell r="A4486" t="str">
            <v>SOP-GO3-CBL</v>
          </cell>
          <cell r="B4486" t="str">
            <v>CABLE ACERADO 600 LBS 76 MTS DORADO</v>
          </cell>
        </row>
        <row r="4487">
          <cell r="A4487" t="str">
            <v>SOP-GO3-SLV</v>
          </cell>
          <cell r="B4487" t="str">
            <v>CASQUILLO OVALO G03 CAJA DE 100 UNID. DORADO</v>
          </cell>
        </row>
        <row r="4488">
          <cell r="A4488" t="str">
            <v>SOP-GR6-CBL</v>
          </cell>
          <cell r="B4488" t="str">
            <v>CABLE ACERADO 2800 LBS 76 MTS VERDE</v>
          </cell>
        </row>
        <row r="4489">
          <cell r="A4489" t="str">
            <v>SOP-GR6-SLV</v>
          </cell>
          <cell r="B4489" t="str">
            <v>CASQUILLO OVALO GR6 CAJA DE 100 UNID. VERDE</v>
          </cell>
        </row>
        <row r="4490">
          <cell r="A4490" t="str">
            <v>SOP-OR4-CBL</v>
          </cell>
          <cell r="B4490" t="str">
            <v>CABLE ACERADO 1100 LBS 76 MTS NARANJO</v>
          </cell>
        </row>
        <row r="4491">
          <cell r="A4491" t="str">
            <v>SOP-OR4-SLV</v>
          </cell>
          <cell r="B4491" t="str">
            <v>CASQUILLO OVALO OR4 CAJA DE 100 UNID. NARANJO</v>
          </cell>
        </row>
        <row r="4492">
          <cell r="A4492" t="str">
            <v>SOPPG-01-000000</v>
          </cell>
          <cell r="B4492" t="str">
            <v xml:space="preserve">SOPORTE PERA UL/FM 1 </v>
          </cell>
        </row>
        <row r="4493">
          <cell r="A4493" t="str">
            <v>SOPPG-02-000000</v>
          </cell>
          <cell r="B4493" t="str">
            <v xml:space="preserve">SOPORTE PERA UL/FM 2 </v>
          </cell>
        </row>
        <row r="4494">
          <cell r="A4494" t="str">
            <v>SOPPG-03-000000</v>
          </cell>
          <cell r="B4494" t="str">
            <v xml:space="preserve">SOPORTE PERA UL/FM 3 </v>
          </cell>
        </row>
        <row r="4495">
          <cell r="A4495" t="str">
            <v>SOPPG-04-000000</v>
          </cell>
          <cell r="B4495" t="str">
            <v xml:space="preserve">SOPORTE PERA UL/FM 4 </v>
          </cell>
        </row>
        <row r="4496">
          <cell r="A4496" t="str">
            <v>SOPPG-05-000000</v>
          </cell>
          <cell r="B4496" t="str">
            <v xml:space="preserve">SOPORTE PERA UL/FM 5 </v>
          </cell>
        </row>
        <row r="4497">
          <cell r="A4497" t="str">
            <v>SOPPG-06-000000</v>
          </cell>
          <cell r="B4497" t="str">
            <v xml:space="preserve">SOPORTE PERA UL/FM 6 </v>
          </cell>
        </row>
        <row r="4498">
          <cell r="A4498" t="str">
            <v>SOPPG-08-000000</v>
          </cell>
          <cell r="B4498" t="str">
            <v xml:space="preserve">SOPORTE PERA UL/FM 8 </v>
          </cell>
        </row>
        <row r="4499">
          <cell r="A4499" t="str">
            <v>SOPPG-0C-000000</v>
          </cell>
          <cell r="B4499" t="str">
            <v xml:space="preserve">SOPORTE PERA UL/FM 1/4 </v>
          </cell>
        </row>
        <row r="4500">
          <cell r="A4500" t="str">
            <v>SOPPG-0M-000000</v>
          </cell>
          <cell r="B4500" t="str">
            <v xml:space="preserve">SOPORTE PERA UL/FM 1/2 </v>
          </cell>
        </row>
        <row r="4501">
          <cell r="A4501" t="str">
            <v>SOPPG-0T-000000</v>
          </cell>
          <cell r="B4501" t="str">
            <v xml:space="preserve">SOPORTE PERA UL/FM 3/4 </v>
          </cell>
        </row>
        <row r="4502">
          <cell r="A4502" t="str">
            <v>SOPPG-10-000000</v>
          </cell>
          <cell r="B4502" t="str">
            <v xml:space="preserve">SOPORTE PERA UL/FM 10 </v>
          </cell>
        </row>
        <row r="4503">
          <cell r="A4503" t="str">
            <v>SOPPG-12-000000</v>
          </cell>
          <cell r="B4503" t="str">
            <v xml:space="preserve">SOPORTE PERA UL/FM 12 </v>
          </cell>
        </row>
        <row r="4504">
          <cell r="A4504" t="str">
            <v>SOPPG-1C-000000</v>
          </cell>
          <cell r="B4504" t="str">
            <v xml:space="preserve">SOPORTE PERA UL/FM 1 1/4 </v>
          </cell>
        </row>
        <row r="4505">
          <cell r="A4505" t="str">
            <v>SOPPG-1M-000000</v>
          </cell>
          <cell r="B4505" t="str">
            <v xml:space="preserve">SOPORTE PERA UL/FM 1 1/2 </v>
          </cell>
        </row>
        <row r="4506">
          <cell r="A4506" t="str">
            <v>SOPPG-2M-000000</v>
          </cell>
          <cell r="B4506" t="str">
            <v xml:space="preserve">SOPORTE PERA UL/FM 2 1/2 </v>
          </cell>
        </row>
        <row r="4507">
          <cell r="A4507" t="str">
            <v>SOPPG-3M-000000</v>
          </cell>
          <cell r="B4507" t="str">
            <v xml:space="preserve">SOPORTE PERA UL/FM 3 1/2 </v>
          </cell>
        </row>
        <row r="4508">
          <cell r="A4508" t="str">
            <v>SOPPG-TO-000000</v>
          </cell>
          <cell r="B4508" t="str">
            <v>SOPORTE CLAMP P/ESP DE 3/8</v>
          </cell>
        </row>
        <row r="4509">
          <cell r="A4509" t="str">
            <v>SOPRISCLAMPG-02-00</v>
          </cell>
          <cell r="B4509" t="str">
            <v xml:space="preserve">RISER CLAMP GAL STYLE 705 PH705050  2 </v>
          </cell>
        </row>
        <row r="4510">
          <cell r="A4510" t="str">
            <v>SOPRISCLAMPG-03-00</v>
          </cell>
          <cell r="B4510" t="str">
            <v xml:space="preserve">RISER CLAMP GAL STYLE 705 PH705080  3 </v>
          </cell>
        </row>
        <row r="4511">
          <cell r="A4511" t="str">
            <v>SOPRISCLAMPG-04-00</v>
          </cell>
          <cell r="B4511" t="str">
            <v>RISER CLAMP GAL STYLE 705 PH705100  4</v>
          </cell>
        </row>
        <row r="4512">
          <cell r="A4512" t="str">
            <v>SOPRISCLAMPG-06-00</v>
          </cell>
          <cell r="B4512" t="str">
            <v>RISER CLAMP GAL STYLE 705 PH705150  6</v>
          </cell>
        </row>
        <row r="4513">
          <cell r="A4513" t="str">
            <v>SOPRISCLAMPG-08-00</v>
          </cell>
          <cell r="B4513" t="str">
            <v>RISER CLAMP GAL STYLE 705 PH705200  8</v>
          </cell>
        </row>
        <row r="4514">
          <cell r="A4514" t="str">
            <v>SOPRISCLAMPG-2M-00</v>
          </cell>
          <cell r="B4514" t="str">
            <v xml:space="preserve">RISER CLAMP GAL STYLE 705 PH705065  2 1/2 </v>
          </cell>
        </row>
        <row r="4515">
          <cell r="A4515" t="str">
            <v>SOP-SAF-3/8</v>
          </cell>
          <cell r="B4515" t="str">
            <v>ANCLAJE CIEGO SAF-3/8</v>
          </cell>
        </row>
        <row r="4516">
          <cell r="A4516" t="str">
            <v>SPAB05WSBR-0000</v>
          </cell>
          <cell r="B4516" t="str">
            <v>WINDOW SPRINKLERS K:5.6 1/2</v>
          </cell>
        </row>
        <row r="4517">
          <cell r="A4517" t="str">
            <v>SPAB1.4WSBR-0000</v>
          </cell>
          <cell r="B4517" t="str">
            <v>WINDOW SPRINKLERS K:1.4 ½ GL 335100</v>
          </cell>
        </row>
        <row r="4518">
          <cell r="A4518" t="str">
            <v>SPACSPKFLEX100CM-00</v>
          </cell>
          <cell r="B4518" t="str">
            <v>FLEXIBLE PARA SPK 100CM</v>
          </cell>
        </row>
        <row r="4519">
          <cell r="A4519" t="str">
            <v>SPACSPKFLEX1200CM-00</v>
          </cell>
          <cell r="B4519" t="str">
            <v>FLEXIBLE PARA SPK 1.20 CM</v>
          </cell>
        </row>
        <row r="4520">
          <cell r="A4520" t="str">
            <v>SPACSPKFLEX1220-00</v>
          </cell>
          <cell r="B4520" t="str">
            <v>FLEXIBLE PARA SPK 1.22 MTS DJ25B UL-FM</v>
          </cell>
        </row>
        <row r="4521">
          <cell r="A4521" t="str">
            <v>SPACSPKFLEX1400CM-00</v>
          </cell>
          <cell r="B4521" t="str">
            <v>FLEXIBLE PARA SPK 1.40 CM UL-FM</v>
          </cell>
        </row>
        <row r="4522">
          <cell r="A4522" t="str">
            <v>SPACSPKFLEX26.8-GKT</v>
          </cell>
          <cell r="B4522" t="str">
            <v>GASKET PARA FLEXIBLE 26.8 Q</v>
          </cell>
        </row>
        <row r="4523">
          <cell r="A4523" t="str">
            <v>SPACSPKFLEX70CM-00</v>
          </cell>
          <cell r="B4523" t="str">
            <v>FLEXIBLE PARA SPK 70 CM</v>
          </cell>
        </row>
        <row r="4524">
          <cell r="A4524" t="str">
            <v>SPACSPKFLEXCABEZAL-0</v>
          </cell>
          <cell r="B4524" t="str">
            <v>CABEZAL FLEXIBLE 3/4 SPK</v>
          </cell>
        </row>
        <row r="4525">
          <cell r="A4525" t="str">
            <v>SPHERRK11.2 -00</v>
          </cell>
          <cell r="B4525" t="str">
            <v>HERRAMIENTA SPK K11.2 3/4 GL 333010</v>
          </cell>
        </row>
        <row r="4526">
          <cell r="A4526" t="str">
            <v>SPNZ01AN110BRD3</v>
          </cell>
          <cell r="B4526" t="str">
            <v xml:space="preserve">SP.NOZZ.BR.K:1.2 AN110º LC D3 1/2PN:493167110 </v>
          </cell>
        </row>
        <row r="4527">
          <cell r="A4527" t="str">
            <v>SPNZ01AN110EACR</v>
          </cell>
          <cell r="B4527" t="str">
            <v>NOZZ.K:1.4 AN110º 163°C EA1 CR TY:49-710-9-325</v>
          </cell>
        </row>
        <row r="4528">
          <cell r="A4528" t="str">
            <v>SPNZ01AN180BRD3</v>
          </cell>
          <cell r="B4528" t="str">
            <v xml:space="preserve">SP.NOZZ.BR.K:1.2 AN180º LC D3 1/2PN:493167180 </v>
          </cell>
        </row>
        <row r="4529">
          <cell r="A4529" t="str">
            <v>SPNZ02AN140BRD3</v>
          </cell>
          <cell r="B4529" t="str">
            <v xml:space="preserve">SP.NOZZ.BR LC K:2.3 AN140º D3 1/2PN:493217140 </v>
          </cell>
        </row>
        <row r="4530">
          <cell r="A4530" t="str">
            <v>SPNZ02ANG80BRD3</v>
          </cell>
          <cell r="B4530" t="str">
            <v>SP.NOZZ.BR.K:2.3 ANG 80º D-3 1/2 PN 493211080</v>
          </cell>
        </row>
        <row r="4531">
          <cell r="A4531" t="str">
            <v>SPNZ02MULSYBR-0</v>
          </cell>
          <cell r="B4531" t="str">
            <v>SPK.NOZZLE BR K:2.6 MULSY 3/4P/N498011828</v>
          </cell>
        </row>
        <row r="4532">
          <cell r="A4532" t="str">
            <v>SPNZ03-79°-EA1</v>
          </cell>
          <cell r="B4532" t="str">
            <v>PROTSPRAY NOZZLE CERR. 1/2 79° K3,0 EA1</v>
          </cell>
        </row>
        <row r="4533">
          <cell r="A4533" t="str">
            <v>SPNZ03AN065BR-0</v>
          </cell>
          <cell r="B4533" t="str">
            <v xml:space="preserve">SPK.NOZZLE BR K:3.0 AN.65ª1/2P/N493241065 </v>
          </cell>
        </row>
        <row r="4534">
          <cell r="A4534" t="str">
            <v>SPNZ03AN065BRD3-0</v>
          </cell>
          <cell r="B4534" t="str">
            <v xml:space="preserve">SPK.NOZZLE BR K:3.0 AN.65ª 1/2 P/N 493249065 </v>
          </cell>
        </row>
        <row r="4535">
          <cell r="A4535" t="str">
            <v>SPNZ03AN065CRD3-00</v>
          </cell>
          <cell r="B4535" t="str">
            <v>SPK. NOZZLE CROMADO K:3.0 ANG.65° 1/2 P/N 493249065</v>
          </cell>
        </row>
        <row r="4536">
          <cell r="A4536" t="str">
            <v>SPNZ03AN095BR-0</v>
          </cell>
          <cell r="B4536" t="str">
            <v>SPK.NOZZLE BR K:3.0 AN.95ª1/2P/N493241095</v>
          </cell>
        </row>
        <row r="4537">
          <cell r="A4537" t="str">
            <v>SPNZ03AN110BRD3</v>
          </cell>
          <cell r="B4537" t="str">
            <v>NOZZLE D3 ANG 110º 1/2K3,0BR P/N493241110</v>
          </cell>
        </row>
        <row r="4538">
          <cell r="A4538" t="str">
            <v>SPNZ03AN125BR-0</v>
          </cell>
          <cell r="B4538" t="str">
            <v xml:space="preserve">SPK.NOZZLE BR K:3.0 AN.125º1/2 P/N493241125 </v>
          </cell>
        </row>
        <row r="4539">
          <cell r="A4539" t="str">
            <v>SPNZ03AN140BRD3-0</v>
          </cell>
          <cell r="B4539" t="str">
            <v xml:space="preserve">NOZZLE MOD-D3  K=3.0 ANG.140° 1/2  BR. P/N 493241140 </v>
          </cell>
        </row>
        <row r="4540">
          <cell r="A4540" t="str">
            <v>SPNZ03AN160BRD3</v>
          </cell>
          <cell r="B4540" t="str">
            <v xml:space="preserve">NOZZLE D3 ANG 160º 1/2 K3,0 BR TY 493241160 </v>
          </cell>
        </row>
        <row r="4541">
          <cell r="A4541" t="str">
            <v>SPNZ03AN180BRD3</v>
          </cell>
          <cell r="B4541" t="str">
            <v xml:space="preserve">NOZZLE D3 ANG 180º 1/2K3,0BR P/N493241180 </v>
          </cell>
        </row>
        <row r="4542">
          <cell r="A4542" t="str">
            <v>SPNZ03AN180BRLC</v>
          </cell>
          <cell r="B4542" t="str">
            <v xml:space="preserve">SP.NOZZ.BR.K:3.0 AN180º LC D3 1/2PN:493247180 </v>
          </cell>
        </row>
        <row r="4543">
          <cell r="A4543" t="str">
            <v>SPNZ04AN095BR-0</v>
          </cell>
          <cell r="B4543" t="str">
            <v>SPK.NOZZLE D3 BR K:4.1 AN.95ª1/2P/N493281095</v>
          </cell>
        </row>
        <row r="4544">
          <cell r="A4544" t="str">
            <v>SPNZ04AN10LCD3-</v>
          </cell>
          <cell r="B4544" t="str">
            <v>SP.NOZZ.K:4.1 AN180º LEAD C.D3 1/2TY:493287180</v>
          </cell>
        </row>
        <row r="4545">
          <cell r="A4545" t="str">
            <v>SPNZ04AN110BR-0</v>
          </cell>
          <cell r="B4545" t="str">
            <v>SPK.NOZZLE BR K:4.1 AN 110 1/2 P/N493281110</v>
          </cell>
        </row>
        <row r="4546">
          <cell r="A4546" t="str">
            <v>SPNZ04AN110BRD3</v>
          </cell>
          <cell r="B4546" t="str">
            <v>SP.NOZZ.BR.K:4.1 AN110º LC D3 1/2PN:493287110</v>
          </cell>
        </row>
        <row r="4547">
          <cell r="A4547" t="str">
            <v>SPNZ04AN125BRD3</v>
          </cell>
          <cell r="B4547" t="str">
            <v xml:space="preserve">SPK.NOZZLE BR K:4.1 AN125ª D-3 P/N493281125 </v>
          </cell>
        </row>
        <row r="4548">
          <cell r="A4548" t="str">
            <v>SPNZ04AN140BRD3</v>
          </cell>
          <cell r="B4548" t="str">
            <v xml:space="preserve">SPK.NOZZLE BR K:4.1 AN140ª D-3 P/N493281140 </v>
          </cell>
        </row>
        <row r="4549">
          <cell r="A4549" t="str">
            <v>SPNZ04MULSYBR-0</v>
          </cell>
          <cell r="B4549" t="str">
            <v>INACTIVO</v>
          </cell>
        </row>
        <row r="4550">
          <cell r="A4550" t="str">
            <v>SPNZ05-79°-EA1</v>
          </cell>
          <cell r="B4550" t="str">
            <v>PROTSPRAY NZ CER 1/2 79° K5,6 EA1 Ang. 065  PN 49-965-1-175</v>
          </cell>
        </row>
        <row r="4551">
          <cell r="A4551" t="str">
            <v>SPNZ05-79°-EA1-00</v>
          </cell>
          <cell r="B4551" t="str">
            <v>PROTSPRAY EA-1 1/2 79° K5,6  Ang. 095  PN 49-995-1-175 BR.</v>
          </cell>
        </row>
        <row r="4552">
          <cell r="A4552" t="str">
            <v>SPNZ05AN065BR-0</v>
          </cell>
          <cell r="B4552" t="str">
            <v>SPK.NOZZLE BR K:5.6 AN.65ª1/2P/N493321065</v>
          </cell>
        </row>
        <row r="4553">
          <cell r="A4553" t="str">
            <v>SPNZ05AN080BR</v>
          </cell>
          <cell r="B4553" t="str">
            <v>NOZZLE K5.6 ANG 080 BR PN 49-332-1-080</v>
          </cell>
        </row>
        <row r="4554">
          <cell r="A4554" t="str">
            <v>SPNZ05AN090BR-0</v>
          </cell>
          <cell r="B4554" t="str">
            <v>SPK.NOZZLE BR K:5.6 AN.90ª1/2P/N493321080</v>
          </cell>
        </row>
        <row r="4555">
          <cell r="A4555" t="str">
            <v>SPNZ05AN095BR-0</v>
          </cell>
          <cell r="B4555" t="str">
            <v>SPK.NOZZLE D3 BR K:5.6 AN.95ª1/2P/N493321095</v>
          </cell>
        </row>
        <row r="4556">
          <cell r="A4556" t="str">
            <v>SPNZ05AN095PLOMO-0</v>
          </cell>
          <cell r="B4556" t="str">
            <v>SPK.NOZZLE D3 PLOMO K:5.6 AN.95ª 1/2 P/N493327095</v>
          </cell>
        </row>
        <row r="4557">
          <cell r="A4557" t="str">
            <v>SPNZ05AN110BR</v>
          </cell>
          <cell r="B4557" t="str">
            <v>NOZZLE K5.6 ANG 110 BR PN 49-332-1-110</v>
          </cell>
        </row>
        <row r="4558">
          <cell r="A4558" t="str">
            <v>SPNZ05AN110BR-0</v>
          </cell>
          <cell r="B4558" t="str">
            <v>SPK.NOZZLE BR K:5.6 AN.110ª P/N493321110</v>
          </cell>
        </row>
        <row r="4559">
          <cell r="A4559" t="str">
            <v>SPNZ05AN110BRD3</v>
          </cell>
          <cell r="B4559" t="str">
            <v>SP.NOZZ.BR.K:5.6 AN110º LC D3 1/2PN:493327110</v>
          </cell>
        </row>
        <row r="4560">
          <cell r="A4560" t="str">
            <v>SPNZ05AN125BR-0</v>
          </cell>
          <cell r="B4560" t="str">
            <v>NOZZLE K5,6 ANG 125 BR P/N 49-332-1-125</v>
          </cell>
        </row>
        <row r="4561">
          <cell r="A4561" t="str">
            <v>SPNZ05AN160BRD3-0</v>
          </cell>
          <cell r="B4561" t="str">
            <v>NOZZLE MOD-D3 K=5.6 ANG.160° 1/2   BR. P/N 493321160</v>
          </cell>
        </row>
        <row r="4562">
          <cell r="A4562" t="str">
            <v>SPNZ05AN180BRD3</v>
          </cell>
          <cell r="B4562" t="str">
            <v>SPK. NOZZLE D3 ANG 180 D3 BR K5.6 PN 493321180</v>
          </cell>
        </row>
        <row r="4563">
          <cell r="A4563" t="str">
            <v>SPNZ05AN65BRD3</v>
          </cell>
          <cell r="B4563" t="str">
            <v>SP.NOZZ.BR.K:5.6 ANG 65º D3 1/2 PN:493320065</v>
          </cell>
        </row>
        <row r="4564">
          <cell r="A4564" t="str">
            <v>SPNZ05ANG140BR-0</v>
          </cell>
          <cell r="B4564" t="str">
            <v>SPK.NOZZLE BR K:5.6 ANG.140ª 1/2 P/N493321140</v>
          </cell>
        </row>
        <row r="4565">
          <cell r="A4565" t="str">
            <v>SPNZ05BR-125-EA1</v>
          </cell>
          <cell r="B4565" t="str">
            <v>NOZZLE EA-1 K5,6 121ªC° BR. ANGULO 125ª 499251250</v>
          </cell>
        </row>
        <row r="4566">
          <cell r="A4566" t="str">
            <v>SPNZ07AN80BRD3</v>
          </cell>
          <cell r="B4566" t="str">
            <v>SPK.NOZZLE BR K:7.2 AN80ª D-3 P/N 49-334-1-080</v>
          </cell>
        </row>
        <row r="4567">
          <cell r="A4567" t="str">
            <v>SPNZ1,4-79°-EA1</v>
          </cell>
          <cell r="B4567" t="str">
            <v xml:space="preserve">PROTSPRAY N CEr. 1/2 79° K1.4 EA1 Ang. 160 PN 49-760-1-175 </v>
          </cell>
        </row>
        <row r="4568">
          <cell r="A4568" t="str">
            <v>SPNZ1,8-79°-EA1</v>
          </cell>
          <cell r="B4568" t="str">
            <v>PROTSPRAY NOZZLE CERR. 1/2 79° K1,8 EA1</v>
          </cell>
        </row>
        <row r="4569">
          <cell r="A4569" t="str">
            <v>SPNZ1,8AN080BRD3</v>
          </cell>
          <cell r="B4569" t="str">
            <v>NOZZLE D3 ANG 80 1/2 K1.8 BR P/N 493181080</v>
          </cell>
        </row>
        <row r="4570">
          <cell r="A4570" t="str">
            <v>SPNZ1,8AN110BRD3</v>
          </cell>
          <cell r="B4570" t="str">
            <v>NOZZLE D3 ANG 110° 1/2 K1,8 BR P/N 493181110</v>
          </cell>
        </row>
        <row r="4571">
          <cell r="A4571" t="str">
            <v>SPNZ1,8AN125BRD3</v>
          </cell>
          <cell r="B4571" t="str">
            <v>NOZZLE D3 ANG 125° 1/2 K1,8 BR P/N 493181125</v>
          </cell>
        </row>
        <row r="4572">
          <cell r="A4572" t="str">
            <v>SPNZ1,8AN140BRD3</v>
          </cell>
          <cell r="B4572" t="str">
            <v>NOZZLE D3 ANG 140° 1/2 K1,8 BR P/N 493181140</v>
          </cell>
        </row>
        <row r="4573">
          <cell r="A4573" t="str">
            <v>SPNZ1,8AN160BRD3</v>
          </cell>
          <cell r="B4573" t="str">
            <v>NOZZLE D3 ANG 160° 1/2 K1,8 BR P/N493181160</v>
          </cell>
        </row>
        <row r="4574">
          <cell r="A4574" t="str">
            <v>SPNZ1,8AN180BRD3</v>
          </cell>
          <cell r="B4574" t="str">
            <v>NOZZLE D3 ANG 180° 1/2 K1,8 BR P/N 493181180</v>
          </cell>
        </row>
        <row r="4575">
          <cell r="A4575" t="str">
            <v>SPNZ1,8AN95BRD3</v>
          </cell>
          <cell r="B4575" t="str">
            <v>NOZZLE D3 ANG 95° 1/2 K1,8 BR P/N 493181095</v>
          </cell>
        </row>
        <row r="4576">
          <cell r="A4576" t="str">
            <v>SPNZ1.26AN180BR-00</v>
          </cell>
          <cell r="B4576" t="str">
            <v>NOZZLE MV-A BRASS 1/2 NPT K 1.26 ANG 180  UL-FM</v>
          </cell>
        </row>
        <row r="4577">
          <cell r="A4577" t="str">
            <v>SPNZ1.2AN160BRD3</v>
          </cell>
          <cell r="B4577" t="str">
            <v>SPK. NOZZLE ANG 160° D3 K:1.2 BR 1/2 PN 493161160</v>
          </cell>
        </row>
        <row r="4578">
          <cell r="A4578" t="str">
            <v>SPNZ1.2AN65D3PL</v>
          </cell>
          <cell r="B4578" t="str">
            <v>NOZZLE D3 ANG 65° 1/2 K1.2 PLOMO P/N 493167065</v>
          </cell>
        </row>
        <row r="4579">
          <cell r="A4579" t="str">
            <v>SPNZ1.4ANG095-EA-1-0</v>
          </cell>
          <cell r="B4579" t="str">
            <v>PROTSPRAY EA-1 57° K1.4 ANG 095° BR 1/2 PN 497951135</v>
          </cell>
        </row>
        <row r="4580">
          <cell r="A4580" t="str">
            <v>SPNZ1.4ANG57°-EA1-00</v>
          </cell>
          <cell r="B4580" t="str">
            <v>PROTSPRAY EA-1 57° K1.4 ANG 065° BR 1/2 PN 497651135</v>
          </cell>
        </row>
        <row r="4581">
          <cell r="A4581" t="str">
            <v>SPNZ1.8AN140LDD3</v>
          </cell>
          <cell r="B4581" t="str">
            <v xml:space="preserve">SP.NOZZ.BR LC K:1.8 AN140º D3 1/2PN:493187140 </v>
          </cell>
        </row>
        <row r="4582">
          <cell r="A4582" t="str">
            <v>SPNZ1.8AN180BRCR-D3</v>
          </cell>
          <cell r="B4582" t="str">
            <v>SP.NOZZ.BR CRO K:1.8 AN180 D3 1/2PN:493189180</v>
          </cell>
        </row>
        <row r="4583">
          <cell r="A4583" t="str">
            <v>SPNZ12AN065BRD3</v>
          </cell>
          <cell r="B4583" t="str">
            <v>NOZZLE D3 ANG 065º 1/2K1,2BR P/N493161065</v>
          </cell>
        </row>
        <row r="4584">
          <cell r="A4584" t="str">
            <v>SPNZ12AN110BRD3</v>
          </cell>
          <cell r="B4584" t="str">
            <v>NOZZLE D3 ANG 110º 1/2K1,2BR P/N493161110</v>
          </cell>
        </row>
        <row r="4585">
          <cell r="A4585" t="str">
            <v>SPNZ12AN125BRD3</v>
          </cell>
          <cell r="B4585" t="str">
            <v xml:space="preserve">NOZZLE D3 ANG 125º 1/2K1,2BR P/N493161125 </v>
          </cell>
        </row>
        <row r="4586">
          <cell r="A4586" t="str">
            <v>SPNZ2,8-79°-EA1</v>
          </cell>
          <cell r="B4586" t="str">
            <v xml:space="preserve">PROTSPRAY N CEr. 1/2 79° K2,8 EA1 Ang. 160 PN 49-860-1-175 </v>
          </cell>
        </row>
        <row r="4587">
          <cell r="A4587" t="str">
            <v>SPNZ2,8-79°-EA1-A65</v>
          </cell>
          <cell r="B4587" t="str">
            <v xml:space="preserve">PROTSPRAY N CEr. 1/2 79° K2,8 EA1 Ang. 65 PN 49-865-1-175 </v>
          </cell>
        </row>
        <row r="4588">
          <cell r="A4588" t="str">
            <v>SPNZ2.3AN095BRD3</v>
          </cell>
          <cell r="B4588" t="str">
            <v>SPK. NOZZLE K:2.3 ANG 095° BR 1/2 P/N 493211095</v>
          </cell>
        </row>
        <row r="4589">
          <cell r="A4589" t="str">
            <v>SPNZ2.3AN110BRD3</v>
          </cell>
          <cell r="B4589" t="str">
            <v>SPK. NOZZLE K:2.3 ANG 110° BR 1/2 P/N 493211110</v>
          </cell>
        </row>
        <row r="4590">
          <cell r="A4590" t="str">
            <v>SPNZ2.3AN125D3-PLOMO</v>
          </cell>
          <cell r="B4590" t="str">
            <v>NOZZLE D3 ANG 125° 1/2 K2,3 PLOMO P/N 493217125</v>
          </cell>
        </row>
        <row r="4591">
          <cell r="A4591" t="str">
            <v>SPNZ2.3AN160D3</v>
          </cell>
          <cell r="B4591" t="str">
            <v>NOZZLE BR. K2.3 ANG 160° D3 1/2 PN 493211160</v>
          </cell>
        </row>
        <row r="4592">
          <cell r="A4592" t="str">
            <v>SPNZ2.3AN180D3</v>
          </cell>
          <cell r="B4592" t="str">
            <v>NOZZLE BR. K2.3 AN180º D3 1/2 PN:493211180</v>
          </cell>
        </row>
        <row r="4593">
          <cell r="A4593" t="str">
            <v>SPNZ2.3ANG125BR</v>
          </cell>
          <cell r="B4593" t="str">
            <v>SPK.NOZZLE BR K:2.3 ANG.125 D-3 P/N 493211125</v>
          </cell>
        </row>
        <row r="4594">
          <cell r="A4594" t="str">
            <v>SPNZ2.45AN140BR-00</v>
          </cell>
          <cell r="B4594" t="str">
            <v>NOZZLE MV-A BRASS 1/2 NPT K 2.45 ANG 140  UL-FM</v>
          </cell>
        </row>
        <row r="4595">
          <cell r="A4595" t="str">
            <v>SPNZ25AN065BRD3</v>
          </cell>
          <cell r="B4595" t="str">
            <v xml:space="preserve">SP.NOZZ.K:1.8 ANG 65º BR.D3 1/2 TY:493181065 </v>
          </cell>
        </row>
        <row r="4596">
          <cell r="A4596" t="str">
            <v>SPNZ25AN110BR</v>
          </cell>
          <cell r="B4596" t="str">
            <v>SPK.NOZZLE BR K:25,9 AN.110ª P/N493321110</v>
          </cell>
        </row>
        <row r="4597">
          <cell r="A4597" t="str">
            <v>SPNZ25AN140BRD3</v>
          </cell>
          <cell r="B4597" t="str">
            <v>SP.NOZZ.K:25.9 AN140º BR.D3 1/2TY:493181140</v>
          </cell>
        </row>
        <row r="4598">
          <cell r="A4598" t="str">
            <v>SPNZ28AN090BR01</v>
          </cell>
          <cell r="B4598" t="str">
            <v>SPK.NOZ. HV-26 BR K:2.8 90ª 1P/N 490261001</v>
          </cell>
        </row>
        <row r="4599">
          <cell r="A4599" t="str">
            <v>SPNZ28MULSYBR-0</v>
          </cell>
          <cell r="B4599" t="str">
            <v xml:space="preserve">SPK.NOZZLE BR K:2.8 MULSY 3/4P/N 498001826 </v>
          </cell>
        </row>
        <row r="4600">
          <cell r="A4600" t="str">
            <v>SPNZ3,0AN95PLOMO</v>
          </cell>
          <cell r="B4600" t="str">
            <v>SPK.NOZZLE D3 PLOMO K:3,0 AN.95ª 1/2 P/N493247095</v>
          </cell>
        </row>
        <row r="4601">
          <cell r="A4601" t="str">
            <v>SPNZ33AN140BRD3</v>
          </cell>
          <cell r="B4601" t="str">
            <v>SP.NOZZ.K:2.3 ANG 140º BR.D3 1/2 TY:493211140</v>
          </cell>
        </row>
        <row r="4602">
          <cell r="A4602" t="str">
            <v>SPNZ4.1AN160BRD3</v>
          </cell>
          <cell r="B4602" t="str">
            <v>SPK NOZZLE BR K:4.1 AN160º D-3 P/N493281160  HES 5005877905</v>
          </cell>
        </row>
        <row r="4603">
          <cell r="A4603" t="str">
            <v>SPNZ4.1AN180BRD3</v>
          </cell>
          <cell r="B4603" t="str">
            <v>SPK NOZZLE BR K:4.1 AN180º D-3 P/N493281180</v>
          </cell>
        </row>
        <row r="4604">
          <cell r="A4604" t="str">
            <v>SPNZ4.1AN180D3</v>
          </cell>
          <cell r="B4604" t="str">
            <v>NOZZLE BR. K4.1 AN180º D3 1/2 PN:493281180</v>
          </cell>
        </row>
        <row r="4605">
          <cell r="A4605" t="str">
            <v>SPNZ4AN140LCD3-</v>
          </cell>
          <cell r="B4605" t="str">
            <v>SP.NOZZ.K:4.1 AN140º LEAD C.D3 1/2 TY:493287140</v>
          </cell>
        </row>
        <row r="4606">
          <cell r="A4606" t="str">
            <v>SPNZ5.5AN45BRHV-0</v>
          </cell>
          <cell r="B4606" t="str">
            <v xml:space="preserve">NOZZLE HV45 k5.5 1  PN 59-045-0-001 </v>
          </cell>
        </row>
        <row r="4607">
          <cell r="A4607" t="str">
            <v>SPNZ7.2AN125BRD3</v>
          </cell>
          <cell r="B4607" t="str">
            <v>SPK.NOZZLE BR K:7.2 AN.125ª 1/2 P/N 493341125</v>
          </cell>
        </row>
        <row r="4608">
          <cell r="A4608" t="str">
            <v>SPNZ7.2AN140BRD3</v>
          </cell>
          <cell r="B4608" t="str">
            <v>SPK.NOZZLE BR K:7.2 AN.140ª 1/2 P/N 493341140</v>
          </cell>
        </row>
        <row r="4609">
          <cell r="A4609" t="str">
            <v>SPNZ7.2AN95BRD3</v>
          </cell>
          <cell r="B4609" t="str">
            <v xml:space="preserve">SPK.NOZZLE BR K:7.2 AN.95ª 1/2 P/N 493341095 </v>
          </cell>
        </row>
        <row r="4610">
          <cell r="A4610" t="str">
            <v>SPNZISSUEA1.83-0</v>
          </cell>
          <cell r="B4610" t="str">
            <v>SPK NOZZ ISSUE A ORIF 1/4 CONEX 1/2  F:1,83 PN492001001</v>
          </cell>
        </row>
        <row r="4611">
          <cell r="A4611" t="str">
            <v>SPNZMODELB-1-00</v>
          </cell>
          <cell r="B4611" t="str">
            <v>FOAM SPRINKLER PEND MODEL B-1 P/N492111001</v>
          </cell>
        </row>
        <row r="4612">
          <cell r="A4612" t="str">
            <v>SPNZMODELF-1-00</v>
          </cell>
          <cell r="B4612" t="str">
            <v>FOAM SPRINKLER PENDENT MODEL F1&amp;H  K2.95 BR</v>
          </cell>
        </row>
        <row r="4613">
          <cell r="A4613" t="str">
            <v>SPNZMODELH-1-00</v>
          </cell>
          <cell r="B4613" t="str">
            <v>FOAM SPRINKLER PENDENT MODEL H  K2.95 BR</v>
          </cell>
        </row>
        <row r="4614">
          <cell r="A4614" t="str">
            <v>SPNZMODELJN-000</v>
          </cell>
          <cell r="B4614" t="str">
            <v xml:space="preserve">SPK. FOAM NOZZLE MODEL JN GL 335006 </v>
          </cell>
        </row>
        <row r="4615">
          <cell r="A4615" t="str">
            <v>SPNZMODELTF39-0</v>
          </cell>
          <cell r="B4615" t="str">
            <v>FOAM NOZZLE TF-39 ANSUL 1/2</v>
          </cell>
        </row>
        <row r="4616">
          <cell r="A4616" t="str">
            <v>SPNZMULSYF822</v>
          </cell>
          <cell r="B4616" t="str">
            <v>FOAM NOZZLE TF-39 ANSUL 1/2</v>
          </cell>
        </row>
        <row r="4617">
          <cell r="A4617" t="str">
            <v>SPNZMULSYF822-0</v>
          </cell>
          <cell r="B4617" t="str">
            <v xml:space="preserve">SPK.NOZZLE MULSYFIRE F822 3/4P/N498001822 </v>
          </cell>
        </row>
        <row r="4618">
          <cell r="A4618" t="str">
            <v>SPNZMULSYF822-00TAPA</v>
          </cell>
          <cell r="B4618" t="str">
            <v>SPK NOZZLE MULSY FIREC/TA F822 3/4 PN 498011822</v>
          </cell>
        </row>
        <row r="4619">
          <cell r="A4619" t="str">
            <v>SPNZMULSYF824</v>
          </cell>
          <cell r="B4619" t="str">
            <v xml:space="preserve">SPK.NOZZLE MULSYFIRE F824 3/4 P/N498001824 </v>
          </cell>
        </row>
        <row r="4620">
          <cell r="A4620" t="str">
            <v>SPNZMULSYF824-0</v>
          </cell>
          <cell r="B4620" t="str">
            <v xml:space="preserve">SPK.NOZZLE MULSYFIRE F824 3/4 P/N 498011824 </v>
          </cell>
        </row>
        <row r="4621">
          <cell r="A4621" t="str">
            <v>SPNZMULSYF826-0</v>
          </cell>
          <cell r="B4621" t="str">
            <v>SPK.NOZZLE MULSYFIRE F826 3/4PN: 498001826</v>
          </cell>
        </row>
        <row r="4622">
          <cell r="A4622" t="str">
            <v>SPNZMULSYF828-0</v>
          </cell>
          <cell r="B4622" t="str">
            <v>SPK.NOZZLE MULSYFIRE F828 3/4 PN: 498001828</v>
          </cell>
        </row>
        <row r="4623">
          <cell r="A4623" t="str">
            <v>SPNZMULSYF832-0</v>
          </cell>
          <cell r="B4623" t="str">
            <v xml:space="preserve">SPK.NOZZLE MULSYFIRE F832 3/4P/N 498001832 </v>
          </cell>
        </row>
        <row r="4624">
          <cell r="A4624" t="str">
            <v>SPNZMULSYF832DC</v>
          </cell>
          <cell r="B4624" t="str">
            <v xml:space="preserve">NOZZLE MULSYFIRE F832 3/4D.C TY 498011832 </v>
          </cell>
        </row>
        <row r="4625">
          <cell r="A4625" t="str">
            <v>SPNZMULSYF834-0</v>
          </cell>
          <cell r="B4625" t="str">
            <v>NOZZLE MULSYFIRE F834 BR 3/4P/N 498001834</v>
          </cell>
        </row>
        <row r="4626">
          <cell r="A4626" t="str">
            <v>SPNZMULSYF834DC</v>
          </cell>
          <cell r="B4626" t="str">
            <v>SPK.NOZZLE MULSYFIRE F834 3/4P/N 49-801-1-834</v>
          </cell>
        </row>
        <row r="4627">
          <cell r="A4627" t="str">
            <v>SPNZTAPAD3-0000</v>
          </cell>
          <cell r="B4627" t="str">
            <v xml:space="preserve">BLOWOFF CAP NOZZ   D3 TY: 563201009 </v>
          </cell>
        </row>
        <row r="4628">
          <cell r="A4628" t="str">
            <v>SPNZTAPAD3-001.2</v>
          </cell>
          <cell r="B4628" t="str">
            <v>BLOWOFF CAP NOZZ  D3 TY: 563201001</v>
          </cell>
        </row>
        <row r="4629">
          <cell r="A4629" t="str">
            <v>SPNZTAPAD3-0028</v>
          </cell>
          <cell r="B4629" t="str">
            <v xml:space="preserve">BLOWOFF CAP NOZZ  D3 TY: 563201006 </v>
          </cell>
        </row>
        <row r="4630">
          <cell r="A4630" t="str">
            <v>SPNZTAPAD3-003.0</v>
          </cell>
          <cell r="B4630" t="str">
            <v xml:space="preserve"> BLOWOFF CAP NOZZ  D3 TY: 563201007</v>
          </cell>
        </row>
        <row r="4631">
          <cell r="A4631" t="str">
            <v>SPNZTAPAD3-005.6</v>
          </cell>
          <cell r="B4631" t="str">
            <v>BLOWOFF CAP NOZZ  D3 TY: 563201005</v>
          </cell>
        </row>
        <row r="4632">
          <cell r="A4632" t="str">
            <v>SPNZTAPAD3-007.2</v>
          </cell>
          <cell r="B4632" t="str">
            <v>BLOWOFF CAP NOZZ  D3 TY: 563201004</v>
          </cell>
        </row>
        <row r="4633">
          <cell r="A4633" t="str">
            <v>SPNZTAPAD3-K8</v>
          </cell>
          <cell r="B4633" t="str">
            <v>BLOWOFF CAP NOZZ   17/32  K.08 TY: 563201010</v>
          </cell>
        </row>
        <row r="4634">
          <cell r="A4634" t="str">
            <v>SPNZTAPAF834-00</v>
          </cell>
          <cell r="B4634" t="str">
            <v>DUST CAP MULSYFIRE NOZZLE P/N 568801001</v>
          </cell>
        </row>
        <row r="4635">
          <cell r="A4635" t="str">
            <v>SPPLATO560001080-00</v>
          </cell>
          <cell r="B4635" t="str">
            <v>PLATO PROTECTOR MOD. WS-2 SHIELD</v>
          </cell>
        </row>
        <row r="4636">
          <cell r="A4636" t="str">
            <v>SPPLATO560156802-00</v>
          </cell>
          <cell r="B4636" t="str">
            <v>PLATO PROTECTOR MOD. S5 SHIELD 1/2 P/N 56-015-6-802</v>
          </cell>
        </row>
        <row r="4637">
          <cell r="A4637" t="str">
            <v>SPPLATO560156803-00</v>
          </cell>
          <cell r="B4637" t="str">
            <v>PLATO PROTECTOR MOD. S5 SHIELD 3/4 P/N 56-015-6-803</v>
          </cell>
        </row>
        <row r="4638">
          <cell r="A4638" t="str">
            <v>SPPLATO560709342-00</v>
          </cell>
          <cell r="B4638" t="str">
            <v>PLATO PROTECTOR 3/4 SHIELD 56-070-9-342</v>
          </cell>
        </row>
        <row r="4639">
          <cell r="A4639" t="str">
            <v>SPQR02H068BR-00</v>
          </cell>
          <cell r="B4639" t="str">
            <v>SPK.QR K:2.8 HSWL 68ºC BR 1/2 GL 282615501</v>
          </cell>
        </row>
        <row r="4640">
          <cell r="A4640" t="str">
            <v>SPQR04P068CM-00</v>
          </cell>
          <cell r="B4640" t="str">
            <v xml:space="preserve">SPK.QR PEN CRO K:4.2 68º 1/2GL 420115502 </v>
          </cell>
        </row>
        <row r="4641">
          <cell r="A4641" t="str">
            <v>SPQR05H057BR-00</v>
          </cell>
          <cell r="B4641" t="str">
            <v xml:space="preserve">SPK.QR K:5.6 HSWL 57ºC BR 1/2GL 562613501  </v>
          </cell>
        </row>
        <row r="4642">
          <cell r="A4642" t="str">
            <v>SPQR05H057BREC5</v>
          </cell>
          <cell r="B4642" t="str">
            <v>SPK.QR K:5.6 HSW 57º BR. ECO-5 P/N 510531135</v>
          </cell>
        </row>
        <row r="4643">
          <cell r="A4643" t="str">
            <v>SPQR05H057WHEC5</v>
          </cell>
          <cell r="B4643" t="str">
            <v>SPK.QR K:5.6 HSW 57º WH. ECO-5 P/N 510534135</v>
          </cell>
        </row>
        <row r="4644">
          <cell r="A4644" t="str">
            <v>SPQR05H057WH-ECLH</v>
          </cell>
          <cell r="B4644" t="str">
            <v>SPK QR K 5.6 HSW 57° WHT. 1/2 GL 562813503 ECLH</v>
          </cell>
        </row>
        <row r="4645">
          <cell r="A4645" t="str">
            <v>SPQR05H068BR-00</v>
          </cell>
          <cell r="B4645" t="str">
            <v xml:space="preserve">SPK.QR K:5.6 HSWL 68ºC BR 1/2GL 562615501 </v>
          </cell>
        </row>
        <row r="4646">
          <cell r="A4646" t="str">
            <v>SPQR05H068BREC5</v>
          </cell>
          <cell r="B4646" t="str">
            <v xml:space="preserve">SPK.QR K:5.6 HSW 68º BR. ECO-5 TY 57-376-1-155 </v>
          </cell>
        </row>
        <row r="4647">
          <cell r="A4647" t="str">
            <v>SPQR05H068BR-ECLH</v>
          </cell>
          <cell r="B4647" t="str">
            <v>SPK QR K 5.6 HSW 68° BRO. 1/2 GL 562815501 ECLH</v>
          </cell>
        </row>
        <row r="4648">
          <cell r="A4648" t="str">
            <v>SPQR05H068BRTY-</v>
          </cell>
          <cell r="B4648" t="str">
            <v>SPK.QRK:5.6 HSWL 68º BR 1/2 TY P/N 573781155</v>
          </cell>
        </row>
        <row r="4649">
          <cell r="A4649" t="str">
            <v>SPQR05H068CRECLH-GL</v>
          </cell>
          <cell r="B4649" t="str">
            <v>SPK QR K 5.6 HSW 68° CROMADO. 1/2 GL 562815502 ECLH</v>
          </cell>
        </row>
        <row r="4650">
          <cell r="A4650" t="str">
            <v>SPQR05H068WH-00</v>
          </cell>
          <cell r="B4650" t="str">
            <v xml:space="preserve">SPK.QR K:5.6 HSWL 68ºC WH 1/2GL 562615503 </v>
          </cell>
        </row>
        <row r="4651">
          <cell r="A4651" t="str">
            <v>SPQR05H068WHEC5</v>
          </cell>
          <cell r="B4651" t="str">
            <v xml:space="preserve">SPK.QR K:5.6 HSW 68º WH. ECO-5 P/N 510534155 </v>
          </cell>
        </row>
        <row r="4652">
          <cell r="A4652" t="str">
            <v>SPQR05H068WH-ECLH</v>
          </cell>
          <cell r="B4652" t="str">
            <v>SPK QR K 5.6 HSW 68° WHT. 1/2 GL 562815503 ECLH</v>
          </cell>
        </row>
        <row r="4653">
          <cell r="A4653" t="str">
            <v>SPQR05H074BR-00</v>
          </cell>
          <cell r="B4653" t="str">
            <v>SPK.QR K:5.6 HSW 74º BR P/N 589461165</v>
          </cell>
        </row>
        <row r="4654">
          <cell r="A4654" t="str">
            <v>SPQR05H74INECR</v>
          </cell>
          <cell r="B4654" t="str">
            <v>SP QR HOR INE CRO K:5.6 74º 1/2 PN: 503179165</v>
          </cell>
        </row>
        <row r="4655">
          <cell r="A4655" t="str">
            <v>SPQR05H74INEWH</v>
          </cell>
          <cell r="B4655" t="str">
            <v>SP QR HOR INE WHT K:5.6 74º 1/2 PN: 503174165</v>
          </cell>
        </row>
        <row r="4656">
          <cell r="A4656" t="str">
            <v>SPQR05H74INSCR</v>
          </cell>
          <cell r="B4656" t="str">
            <v>SP QR HOR INS CRO K:5.6 74º 1/2 PN: 503169165</v>
          </cell>
        </row>
        <row r="4657">
          <cell r="A4657" t="str">
            <v>SPQR05H74INSWH</v>
          </cell>
          <cell r="B4657" t="str">
            <v>SP QR HOR INS WHT K:5.6 74º 1/2 PN: 503164165</v>
          </cell>
        </row>
        <row r="4658">
          <cell r="A4658" t="str">
            <v>SPQR05P057BR-00</v>
          </cell>
          <cell r="B4658" t="str">
            <v>SPK.QR K:5.6 PEN 57º BR GL 560113501</v>
          </cell>
        </row>
        <row r="4659">
          <cell r="A4659" t="str">
            <v>SPQR05P057WH-00</v>
          </cell>
          <cell r="B4659" t="str">
            <v xml:space="preserve">SPK.QR K:5.6 PEN 57º WH. P/N 573714135 </v>
          </cell>
        </row>
        <row r="4660">
          <cell r="A4660" t="str">
            <v>SPQR05P057WHEC5</v>
          </cell>
          <cell r="B4660" t="str">
            <v xml:space="preserve">SPK.QR K:5.6 PEN 57º WH. ECO-5 P/N 510514135 </v>
          </cell>
        </row>
        <row r="4661">
          <cell r="A4661" t="str">
            <v>SPQR05P068BR-00</v>
          </cell>
          <cell r="B4661" t="str">
            <v>SPK.QR K:5.6 PEN 68ºC BCE 1/2GL 560115501</v>
          </cell>
        </row>
        <row r="4662">
          <cell r="A4662" t="str">
            <v>SPQR05P068BRCON</v>
          </cell>
          <cell r="B4662" t="str">
            <v>SPK.QR PE K5.6 68º CONC.BR 1/2 GL 560415501</v>
          </cell>
        </row>
        <row r="4663">
          <cell r="A4663" t="str">
            <v>SPQR05P068BRCONLH</v>
          </cell>
          <cell r="B4663" t="str">
            <v>SPK.QR PEND. K5.6 68º CONCEAL 1/2 GL 560315501 LIGHT HAZARD</v>
          </cell>
        </row>
        <row r="4664">
          <cell r="A4664" t="str">
            <v>SPQR05P068BREC5</v>
          </cell>
          <cell r="B4664" t="str">
            <v xml:space="preserve">SPK.QR K:5.6 PEN 68º BR. ECO-5 P/N 510511155 </v>
          </cell>
        </row>
        <row r="4665">
          <cell r="A4665" t="str">
            <v>SPQR05P068BRIR-</v>
          </cell>
          <cell r="B4665" t="str">
            <v>SPK.QRK:5.6 P68º B.1/2 IN-RACK GL 561215501</v>
          </cell>
        </row>
        <row r="4666">
          <cell r="A4666" t="str">
            <v>SPQR05P068BRO-DRY</v>
          </cell>
          <cell r="B4666" t="str">
            <v>SPK DRY QR PENDENT K5.6 68º 1/2 BRONCE GL 563515561</v>
          </cell>
        </row>
        <row r="4667">
          <cell r="A4667" t="str">
            <v>SPQR05P068CM-00</v>
          </cell>
          <cell r="B4667" t="str">
            <v>SPK.QR PEN CRO K:5.6 68º 1/2GL 560115502</v>
          </cell>
        </row>
        <row r="4668">
          <cell r="A4668" t="str">
            <v>SPQR05P068CR-00</v>
          </cell>
          <cell r="B4668" t="str">
            <v>SPK.QR K:5.6 PEN 68ºC CRO 1/2P/N 573719155</v>
          </cell>
        </row>
        <row r="4669">
          <cell r="A4669" t="str">
            <v>SPQR05P068CREC5GL</v>
          </cell>
          <cell r="B4669" t="str">
            <v>SPK. QR K:5.6 PEND 68° CROMADO.1/2 ECLH-5 GL 561415502</v>
          </cell>
        </row>
        <row r="4670">
          <cell r="A4670" t="str">
            <v>SPQR05P068CRO-DRY</v>
          </cell>
          <cell r="B4670" t="str">
            <v>SPK DRY QR PENDENT K5.6 68º 12 CROMADO GL 563515562</v>
          </cell>
        </row>
        <row r="4671">
          <cell r="A4671" t="str">
            <v>SPQR05P068ECOCR-TY</v>
          </cell>
          <cell r="B4671" t="str">
            <v>SPK.QR K:5.6 PEN 68ºC ECO  CRO 1/2P/N 510519155</v>
          </cell>
        </row>
        <row r="4672">
          <cell r="A4672" t="str">
            <v>SPQR05P068RPL-0</v>
          </cell>
          <cell r="B4672" t="str">
            <v xml:space="preserve">SPK.QR K:5.6 PEN 68ºC REC.PLOM P/N 573717155 </v>
          </cell>
        </row>
        <row r="4673">
          <cell r="A4673" t="str">
            <v>SPQR05P068WH-00</v>
          </cell>
          <cell r="B4673" t="str">
            <v>SPK.QR K:5.6 PEN 68ºC WHT 1/2GL 560115503</v>
          </cell>
        </row>
        <row r="4674">
          <cell r="A4674" t="str">
            <v>SPQR05P068WHEC5</v>
          </cell>
          <cell r="B4674" t="str">
            <v>SPK.QR K:5.6 PEN 68º WH. ECO-5 P/N 510514155</v>
          </cell>
        </row>
        <row r="4675">
          <cell r="A4675" t="str">
            <v>SPQR05P068WHEC5GL</v>
          </cell>
          <cell r="B4675" t="str">
            <v>SPK. QR K:5.6 PEND 68° WH.1/2 ECLH-5 GL 561415503</v>
          </cell>
        </row>
        <row r="4676">
          <cell r="A4676" t="str">
            <v>SPQR05P068WH-HP</v>
          </cell>
          <cell r="B4676" t="str">
            <v xml:space="preserve">SPK. QR K:5,6 PEN 68°C WHT HIGH PRESSURE 1/2 GL 560215503  </v>
          </cell>
        </row>
        <row r="4677">
          <cell r="A4677" t="str">
            <v>SPQR05P068WHO-0</v>
          </cell>
          <cell r="B4677" t="str">
            <v>SPK.QR K:5.6 PEN 68º W.OCU. GL 560515501</v>
          </cell>
        </row>
        <row r="4678">
          <cell r="A4678" t="str">
            <v>SPQR05P068WHOEC</v>
          </cell>
          <cell r="B4678" t="str">
            <v>SPK.QR K:5.6 PEN 68º W.OCU.ECO GL</v>
          </cell>
        </row>
        <row r="4679">
          <cell r="A4679" t="str">
            <v>SPQR05P068WHTY-</v>
          </cell>
          <cell r="B4679" t="str">
            <v xml:space="preserve">SPK.QRK:5.6 PEN 68º WHT 1/2 TY P/N 573714155 </v>
          </cell>
        </row>
        <row r="4680">
          <cell r="A4680" t="str">
            <v>SPQR05P074BR-00</v>
          </cell>
          <cell r="B4680" t="str">
            <v xml:space="preserve">SPK.QR PEN BR K:5.6 74º 1/2P/N 589821165 </v>
          </cell>
        </row>
        <row r="4681">
          <cell r="A4681" t="str">
            <v>SPQR05P079BR-00</v>
          </cell>
          <cell r="B4681" t="str">
            <v xml:space="preserve">SPK.QR K:5.6 PEN 79ºC BCE 1/2P/N 573711175 </v>
          </cell>
        </row>
        <row r="4682">
          <cell r="A4682" t="str">
            <v>SPQR05P079BRCON</v>
          </cell>
          <cell r="B4682" t="str">
            <v>SPK.QR PE K5.6 68º CONC.BR 1/2 GL 560517501</v>
          </cell>
        </row>
        <row r="4683">
          <cell r="A4683" t="str">
            <v>SPQR05P079BRCON-00</v>
          </cell>
          <cell r="B4683" t="str">
            <v>SPK PEND. K5.6 79° BR. OCULTO GL 560417501</v>
          </cell>
        </row>
        <row r="4684">
          <cell r="A4684" t="str">
            <v>SPQR05P079BRGL-</v>
          </cell>
          <cell r="B4684" t="str">
            <v xml:space="preserve">SPK.QR K:5.6 PEN 79ºC BR 1/2GL 560117501 </v>
          </cell>
        </row>
        <row r="4685">
          <cell r="A4685" t="str">
            <v>SPQR05P079WH-00</v>
          </cell>
          <cell r="B4685" t="str">
            <v xml:space="preserve">SPK.QR K:5.6 PEN 79ºC WH 1/2GL 560117503 </v>
          </cell>
        </row>
        <row r="4686">
          <cell r="A4686" t="str">
            <v>SPQR05P079WH-DRY</v>
          </cell>
          <cell r="B4686" t="str">
            <v>SPK DRY QR PENDENT K5.6 79º 1 BLANCO GL563517563</v>
          </cell>
        </row>
        <row r="4687">
          <cell r="A4687" t="str">
            <v>SPQR05P093BR-00</v>
          </cell>
          <cell r="B4687" t="str">
            <v>SPK. QR K:5,6 PEN 93°C BCE 1/2 GL 560120001</v>
          </cell>
        </row>
        <row r="4688">
          <cell r="A4688" t="str">
            <v>SPQR05P141BR-00</v>
          </cell>
          <cell r="B4688" t="str">
            <v xml:space="preserve">SPK.QR K:5.6 PEN141ºC BCE 1/2P/N 573711286 </v>
          </cell>
        </row>
        <row r="4689">
          <cell r="A4689" t="str">
            <v>SPQR05P141BR-GL</v>
          </cell>
          <cell r="B4689" t="str">
            <v>SPK QR Pend. Bronce  141ºC K:5.6 1/2 GL 560128601</v>
          </cell>
        </row>
        <row r="4690">
          <cell r="A4690" t="str">
            <v>SPQR05P141WH-00</v>
          </cell>
          <cell r="B4690" t="str">
            <v>SPK.QR K:5.6 PEN141ºC WHT 1/2P/N 573714286</v>
          </cell>
        </row>
        <row r="4691">
          <cell r="A4691" t="str">
            <v>SPQR05P57BRPILOT</v>
          </cell>
          <cell r="B4691" t="str">
            <v>SPK. QR K:5.6 PEND. BR 1/2 PILOTO P/N 51041135</v>
          </cell>
        </row>
        <row r="4692">
          <cell r="A4692" t="str">
            <v>SPQR05P57VERPILOT</v>
          </cell>
          <cell r="B4692" t="str">
            <v>SPK. QR K:5.6 PEND. VERDE 1/2 PILOTO P/N 510413135</v>
          </cell>
        </row>
        <row r="4693">
          <cell r="A4693" t="str">
            <v>SPQR05P68BRCONADJ</v>
          </cell>
          <cell r="B4693" t="str">
            <v xml:space="preserve">SPK.QR PEND. K5.6 68º CONCEAL 1/2 GL 560615501 ADJ </v>
          </cell>
        </row>
        <row r="4694">
          <cell r="A4694" t="str">
            <v>SPQR05P68BR-ECLH</v>
          </cell>
          <cell r="B4694" t="str">
            <v>SPK QR K:5.6 PEND. 68° BR EC 561415501</v>
          </cell>
        </row>
        <row r="4695">
          <cell r="A4695" t="str">
            <v>SPQR05P68BREC-RASCO</v>
          </cell>
          <cell r="B4695" t="str">
            <v xml:space="preserve">SPK.QR K5.6 PEND 68 ºC BCE 1/2 EC RESCO R4845/701A </v>
          </cell>
        </row>
        <row r="4696">
          <cell r="A4696" t="str">
            <v>SPQR05P68CR-AG66</v>
          </cell>
          <cell r="B4696" t="str">
            <v>SPK.QR K5.6 PEND 68 ºC CRO 1/2 AG66</v>
          </cell>
        </row>
        <row r="4697">
          <cell r="A4697" t="str">
            <v>SPQR05P68WHEC-VIKING</v>
          </cell>
          <cell r="B4697" t="str">
            <v>SPK.QR K5.6 PEND 68 ºC WHT EC 1/2 VK500 VIKING</v>
          </cell>
        </row>
        <row r="4698">
          <cell r="A4698" t="str">
            <v>SPQR05P74INECR</v>
          </cell>
          <cell r="B4698" t="str">
            <v>SP QR PEND INE CRO K:5.6 74º 1/2 PN: 503159165</v>
          </cell>
        </row>
        <row r="4699">
          <cell r="A4699" t="str">
            <v>SPQR05P74INEWH</v>
          </cell>
          <cell r="B4699" t="str">
            <v>SP QR PEND INE WHT K:5.6 74º 1/2 PN: 503154165</v>
          </cell>
        </row>
        <row r="4700">
          <cell r="A4700" t="str">
            <v>SPQR05P74INSCR-</v>
          </cell>
          <cell r="B4700" t="str">
            <v>SP QR PEN INS CR K:5.6 74º1/2PN: 503149165</v>
          </cell>
        </row>
        <row r="4701">
          <cell r="A4701" t="str">
            <v>SPQR05P74INSWH</v>
          </cell>
          <cell r="B4701" t="str">
            <v>SP QR PEND INST. K:5.6 74º WH 1/2 -  TY 503144165</v>
          </cell>
        </row>
        <row r="4702">
          <cell r="A4702" t="str">
            <v>SPQR05P79BRPILOT</v>
          </cell>
          <cell r="B4702" t="str">
            <v>SPK. QR K:5.6 PEND. BR 1/2  79 PILOTO P/N 51041175</v>
          </cell>
        </row>
        <row r="4703">
          <cell r="A4703" t="str">
            <v>SPQR05P79WHEC5GL</v>
          </cell>
          <cell r="B4703" t="str">
            <v>SPK. QR K:5.6 PEND 79° WH.1/2 ECLH-5 GL 561417503</v>
          </cell>
        </row>
        <row r="4704">
          <cell r="A4704" t="str">
            <v>SPQR05P93BRPILOTO</v>
          </cell>
          <cell r="B4704" t="str">
            <v>SPK. QR K:5.6 PEND. BR 1/2 PILOTO P/N 510411200</v>
          </cell>
        </row>
        <row r="4705">
          <cell r="A4705" t="str">
            <v>SPQR05U057BR-00</v>
          </cell>
          <cell r="B4705" t="str">
            <v>SPK.QR K:5.6 UPR 57ºC BCE 1/2P/N 573701135</v>
          </cell>
        </row>
        <row r="4706">
          <cell r="A4706" t="str">
            <v>SPQR05U068BR-00</v>
          </cell>
          <cell r="B4706" t="str">
            <v>SPK.QR K:5.6 UPR 68ºC BCE 1/2GL 561515501</v>
          </cell>
        </row>
        <row r="4707">
          <cell r="A4707" t="str">
            <v>SPQR05U068CM-00</v>
          </cell>
          <cell r="B4707" t="str">
            <v xml:space="preserve">SPK.QR UPR CRO K:5.6 68º 1/2GL 561515502 </v>
          </cell>
        </row>
        <row r="4708">
          <cell r="A4708" t="str">
            <v>SPQR05U068WH-00</v>
          </cell>
          <cell r="B4708" t="str">
            <v xml:space="preserve">SPK.QR K:5.6 UPR 68ºC WHT 1/2P/N 573704155 </v>
          </cell>
        </row>
        <row r="4709">
          <cell r="A4709" t="str">
            <v>SPQR05U068WHT-00</v>
          </cell>
          <cell r="B4709" t="str">
            <v>SPK.QR K:5.6 UPR 68ºC WHT. 1/2GL 561515503</v>
          </cell>
        </row>
        <row r="4710">
          <cell r="A4710" t="str">
            <v>SPQR05U074BR-00</v>
          </cell>
          <cell r="B4710" t="str">
            <v>SPK.QR UPR BR K:5.6 74º 1/2P/N 589741165</v>
          </cell>
        </row>
        <row r="4711">
          <cell r="A4711" t="str">
            <v>SPQR05U074BRRS-</v>
          </cell>
          <cell r="B4711" t="str">
            <v>SPK.SR K5.6 UP 74ºC BR RACK 1/2 TY P/N 53-253-1-165</v>
          </cell>
        </row>
        <row r="4712">
          <cell r="A4712" t="str">
            <v>SPQR05U074BRTY-00</v>
          </cell>
          <cell r="B4712" t="str">
            <v>SPK.UP QR BRS K:5.6 74º 1/2 TY-58-974-1-165</v>
          </cell>
        </row>
        <row r="4713">
          <cell r="A4713" t="str">
            <v>SPQR05U079BR-00</v>
          </cell>
          <cell r="B4713" t="str">
            <v>SPK.QR K:5.6 UPR 79ºC BCE 1/2GL 561517501</v>
          </cell>
        </row>
        <row r="4714">
          <cell r="A4714" t="str">
            <v>SPQR05U079WH-00</v>
          </cell>
          <cell r="B4714" t="str">
            <v>SPK.QR K:5.6 UPR 79ºC WHITE 1/2GL 561517503</v>
          </cell>
        </row>
        <row r="4715">
          <cell r="A4715" t="str">
            <v>SPQR05V068BR-00</v>
          </cell>
          <cell r="B4715" t="str">
            <v>SPK.QR K:5.6 VSWL 68ºC BR 1/2GL 56325501</v>
          </cell>
        </row>
        <row r="4716">
          <cell r="A4716" t="str">
            <v>SPQR05V068WH-00</v>
          </cell>
          <cell r="B4716" t="str">
            <v>SPK.QR K:5.6 VSWL 68ºC WH 1/2P/N 575754155</v>
          </cell>
        </row>
        <row r="4717">
          <cell r="A4717" t="str">
            <v>SPQR05V068WHGL-0</v>
          </cell>
          <cell r="B4717" t="str">
            <v>SPK.QR K:5.6 VSWL 68ºC WH ½ GL 5632-155-03</v>
          </cell>
        </row>
        <row r="4718">
          <cell r="A4718" t="str">
            <v>SPQR08H057WHECGL</v>
          </cell>
          <cell r="B4718" t="str">
            <v>SPK. QR K:8.1  HOR. 57° WHT. ECLH GL 812913503</v>
          </cell>
        </row>
        <row r="4719">
          <cell r="A4719" t="str">
            <v>SPQR08H057WHT-00</v>
          </cell>
          <cell r="B4719" t="str">
            <v>SPK.QR K:8.1 HOR. 57ºC WHT 3/4 GL 812713503</v>
          </cell>
        </row>
        <row r="4720">
          <cell r="A4720" t="str">
            <v>SPQR08H060CRO-0</v>
          </cell>
          <cell r="B4720" t="str">
            <v>SPK.QR K:8.1 HOR. 60º CROMADO 3/4</v>
          </cell>
        </row>
        <row r="4721">
          <cell r="A4721" t="str">
            <v>SPQR08H068BR-00</v>
          </cell>
          <cell r="B4721" t="str">
            <v xml:space="preserve">SPK.QR K:8.1 HOR. 68º BR P/N 513961155 </v>
          </cell>
        </row>
        <row r="4722">
          <cell r="A4722" t="str">
            <v>SPQR08H068BRCON</v>
          </cell>
          <cell r="B4722" t="str">
            <v xml:space="preserve">SPK.QR PE K8.1 68º CONC.BR 3/4 </v>
          </cell>
        </row>
        <row r="4723">
          <cell r="A4723" t="str">
            <v>SPQR08H068BREC-</v>
          </cell>
          <cell r="B4723" t="str">
            <v xml:space="preserve">SPK.QR K:8.1 HOR. 68º BR. ECO 3/4 TY:573961155 </v>
          </cell>
        </row>
        <row r="4724">
          <cell r="A4724" t="str">
            <v>SPQR08H068BREC-00</v>
          </cell>
          <cell r="B4724" t="str">
            <v>SPK.QR HORIZONTAL BRS K:8.1 68º 3/4 GL 812815501</v>
          </cell>
        </row>
        <row r="4725">
          <cell r="A4725" t="str">
            <v>SPQR08H068CRECGL</v>
          </cell>
          <cell r="B4725" t="str">
            <v>SPK. QR K:8.1  HOR. 68° CROMADO. ECLH GL 812915502</v>
          </cell>
        </row>
        <row r="4726">
          <cell r="A4726" t="str">
            <v>SPQR08H068WHEC-</v>
          </cell>
          <cell r="B4726" t="str">
            <v>SPK.QR K:8.1 HOR. 68º WH. ECLH TY 573964155</v>
          </cell>
        </row>
        <row r="4727">
          <cell r="A4727" t="str">
            <v>SPQR08H068WHECGL</v>
          </cell>
          <cell r="B4727" t="str">
            <v>SPK. QR K:8.1  HOR. 68° WHT. ECLH GL 812915503</v>
          </cell>
        </row>
        <row r="4728">
          <cell r="A4728" t="str">
            <v>SPQR08H074BR-00</v>
          </cell>
          <cell r="B4728" t="str">
            <v>SPK.QR K:8.1 HSW 74º BR P/N 581701165</v>
          </cell>
        </row>
        <row r="4729">
          <cell r="A4729" t="str">
            <v>SPQR08H68BRECGL</v>
          </cell>
          <cell r="B4729" t="str">
            <v>SPK. QR K:8.1  HOR. 68° BR. ECLH GL 812915501</v>
          </cell>
        </row>
        <row r="4730">
          <cell r="A4730" t="str">
            <v>SPQR08HSW68WHEC</v>
          </cell>
          <cell r="B4730" t="str">
            <v>SPK.QR K:8.1 HORSW 68º WH. EC 3/4 PN: 513964155</v>
          </cell>
        </row>
        <row r="4731">
          <cell r="A4731" t="str">
            <v>SPQR08P057BR-00</v>
          </cell>
          <cell r="B4731" t="str">
            <v xml:space="preserve">SPK.QR K:8.1 PEN 57º BR. ECO 3/4 P/N 508011135 </v>
          </cell>
        </row>
        <row r="4732">
          <cell r="A4732" t="str">
            <v>SPQR08P068BR-00</v>
          </cell>
          <cell r="B4732" t="str">
            <v xml:space="preserve">SPK.QR K:8.1 PEN 68º BR. ECO 3/4 P/N 508011155 </v>
          </cell>
        </row>
        <row r="4733">
          <cell r="A4733" t="str">
            <v>SPQR08P068BR-3/4</v>
          </cell>
          <cell r="B4733" t="str">
            <v>SPK.QR K8,0 PEND 68° BR 573911155  TY4231</v>
          </cell>
        </row>
        <row r="4734">
          <cell r="A4734" t="str">
            <v>SPQR08P068BRECLH-000</v>
          </cell>
          <cell r="B4734" t="str">
            <v>SPK.QR K:8.1 PEN 68º BR. ECO 3/4 GL 810915501</v>
          </cell>
        </row>
        <row r="4735">
          <cell r="A4735" t="str">
            <v>SPQR08P068BRS-00</v>
          </cell>
          <cell r="B4735" t="str">
            <v>SPK.QR Pendent BRS K:8.1 68º 3/4 GL 810615501</v>
          </cell>
        </row>
        <row r="4736">
          <cell r="A4736" t="str">
            <v>SPQR08P068CMECL</v>
          </cell>
          <cell r="B4736" t="str">
            <v xml:space="preserve">SPK.QR ECLH PE CR K8.1 68º 3/4 GL 810915502 </v>
          </cell>
        </row>
        <row r="4737">
          <cell r="A4737" t="str">
            <v>SPQR08P068RS-00</v>
          </cell>
          <cell r="B4737" t="str">
            <v>SPK.QR PEND. LO INTER.  BRS K:8.1 68º 3/4GL 810815501</v>
          </cell>
        </row>
        <row r="4738">
          <cell r="A4738" t="str">
            <v>SPQR08P068WH-00</v>
          </cell>
          <cell r="B4738" t="str">
            <v xml:space="preserve">SPK.QR K:8.1 PEN 68º WH. ECO 3/4 P/N508014155 </v>
          </cell>
        </row>
        <row r="4739">
          <cell r="A4739" t="str">
            <v>SPQR08P068WHGL-OO</v>
          </cell>
          <cell r="B4739" t="str">
            <v>SPK.QR K:8.1 PEN 68º WH. ECO 3/4 GL 810615503</v>
          </cell>
        </row>
        <row r="4740">
          <cell r="A4740" t="str">
            <v>SPQR08P074BME-0</v>
          </cell>
          <cell r="B4740" t="str">
            <v xml:space="preserve">SPK.QR K8.1 PEN 74º BIMET 3/4P/N 581721165 </v>
          </cell>
        </row>
        <row r="4741">
          <cell r="A4741" t="str">
            <v>SPQR08P079BR-00</v>
          </cell>
          <cell r="B4741" t="str">
            <v>SPK QR K8.0 PEND 3/4 BR 79° GL 810617501</v>
          </cell>
        </row>
        <row r="4742">
          <cell r="A4742" t="str">
            <v>SPQR08P079RS-00</v>
          </cell>
          <cell r="B4742" t="str">
            <v xml:space="preserve">SPK.QR RACK PEN.BR.K:8.1 79º GL 810817501 </v>
          </cell>
        </row>
        <row r="4743">
          <cell r="A4743" t="str">
            <v>SPQR08P079WH-00</v>
          </cell>
          <cell r="B4743" t="str">
            <v>SPK QR K8.0 PEND 3/4 WHT 79° GL 810617503</v>
          </cell>
        </row>
        <row r="4744">
          <cell r="A4744" t="str">
            <v>SPQR08SW68WHECL</v>
          </cell>
          <cell r="B4744" t="str">
            <v xml:space="preserve">SPK.QR K:8.1 SWL68º WH. EC-CON TY 513964155 </v>
          </cell>
        </row>
        <row r="4745">
          <cell r="A4745" t="str">
            <v>SPQR08U068BR-00</v>
          </cell>
          <cell r="B4745" t="str">
            <v xml:space="preserve">SPK.QR K:8.1 UPR. 68º BR. TY 57-390-1-155 </v>
          </cell>
        </row>
        <row r="4746">
          <cell r="A4746" t="str">
            <v>SPQR08U068BRGL-</v>
          </cell>
          <cell r="B4746" t="str">
            <v xml:space="preserve">SPK.QR K:8.1 UPR. 68º BRASS. GL 811815501 </v>
          </cell>
        </row>
        <row r="4747">
          <cell r="A4747" t="str">
            <v>SPQR08U068BR-TY</v>
          </cell>
          <cell r="B4747" t="str">
            <v>SPK.QR K:8.1 UPR. 68º BR. TY 573431155</v>
          </cell>
        </row>
        <row r="4748">
          <cell r="A4748" t="str">
            <v>SPQR08U068PL-00</v>
          </cell>
          <cell r="B4748" t="str">
            <v>SPK. QR K 8.0 UP. PLOMO 68° 3/4 TYCO P/N 57-390-7-155</v>
          </cell>
        </row>
        <row r="4749">
          <cell r="A4749" t="str">
            <v>SPQR08U068WH-00</v>
          </cell>
          <cell r="B4749" t="str">
            <v xml:space="preserve">SPK.QR K:8.1 UPR. 68º WH. 3/4 P/N573904155 </v>
          </cell>
        </row>
        <row r="4750">
          <cell r="A4750" t="str">
            <v>SPQR08U074BME-0</v>
          </cell>
          <cell r="B4750" t="str">
            <v>SPK.QR UPR BR K:8.1 74º 3/4 P/N 581741165</v>
          </cell>
        </row>
        <row r="4751">
          <cell r="A4751" t="str">
            <v>SPQR08U093BRGL-</v>
          </cell>
          <cell r="B4751" t="str">
            <v xml:space="preserve">SPK.QR K:8.1 UPR. 93º BRASS. GL 811820001 </v>
          </cell>
        </row>
        <row r="4752">
          <cell r="A4752" t="str">
            <v>SPQR11H068BREC1</v>
          </cell>
          <cell r="B4752" t="str">
            <v>SPK.QR K:11,2 HOR. 68º BR. ELO P/N 510721155</v>
          </cell>
        </row>
        <row r="4753">
          <cell r="A4753" t="str">
            <v>SPQR11H068WHEC-</v>
          </cell>
          <cell r="B4753" t="str">
            <v xml:space="preserve">SPK.QR K:11,2 HOR. 68º WH. ELO P/N 510724155 </v>
          </cell>
        </row>
        <row r="4754">
          <cell r="A4754" t="str">
            <v>SPQR11H068WHELO</v>
          </cell>
          <cell r="B4754" t="str">
            <v xml:space="preserve">SPK QR K11.2 HOR.68°WHI ELO </v>
          </cell>
        </row>
        <row r="4755">
          <cell r="A4755" t="str">
            <v>SPQR11H093BREEO</v>
          </cell>
          <cell r="B4755" t="str">
            <v>SPK.QR K:11 HSW 93ºBCE ELO EC P/N 510721200</v>
          </cell>
        </row>
        <row r="4756">
          <cell r="A4756" t="str">
            <v>SPQR11P068BREC1</v>
          </cell>
          <cell r="B4756" t="str">
            <v xml:space="preserve">SPK.QR K:11.2 PEN 68º BR.ECO-1 3/4 P/N 518931155 </v>
          </cell>
        </row>
        <row r="4757">
          <cell r="A4757" t="str">
            <v>SPQR11P068WHEC1</v>
          </cell>
          <cell r="B4757" t="str">
            <v>INACTIVO</v>
          </cell>
        </row>
        <row r="4758">
          <cell r="A4758" t="str">
            <v>SPQR11P068WHEC1-0</v>
          </cell>
          <cell r="B4758" t="str">
            <v xml:space="preserve">SPK.QR K:11.2 PEN 68º WH.ECO-1 3/4 P/N 518934155 </v>
          </cell>
        </row>
        <row r="4759">
          <cell r="A4759" t="str">
            <v>SPQR11P071BREC1</v>
          </cell>
          <cell r="B4759" t="str">
            <v xml:space="preserve">SPK.QR K:11 PEN 71ºBCE ECO-1 </v>
          </cell>
        </row>
        <row r="4760">
          <cell r="A4760" t="str">
            <v>SPQR11P071BREEO</v>
          </cell>
          <cell r="B4760" t="str">
            <v>SPK.QR K:11 PEN 71ºBCE LO OC P/N 507011160</v>
          </cell>
        </row>
        <row r="4761">
          <cell r="A4761" t="str">
            <v>SPQR11P079WHEC1</v>
          </cell>
          <cell r="B4761" t="str">
            <v xml:space="preserve">SPK.QR K:11.2 PEN 79º WH.ECO-1 TY 518934175 </v>
          </cell>
        </row>
        <row r="4762">
          <cell r="A4762" t="str">
            <v>SPQR11P093BREC1</v>
          </cell>
          <cell r="B4762" t="str">
            <v>SPK.QR K:11.2 PEN 93º BR.ECO-1 3/4 P/N518931200</v>
          </cell>
        </row>
        <row r="4763">
          <cell r="A4763" t="str">
            <v>SPQR11P093CREC1</v>
          </cell>
          <cell r="B4763" t="str">
            <v xml:space="preserve">SPK.QR K:11.2 PEN 93º CR.ECO-1 TY 518939200 </v>
          </cell>
        </row>
        <row r="4764">
          <cell r="A4764" t="str">
            <v>SPQR11P141BREC1</v>
          </cell>
          <cell r="B4764" t="str">
            <v>SP QR K:11.2 PEN 141º BR.EC-11 TY: 518931286</v>
          </cell>
        </row>
        <row r="4765">
          <cell r="A4765" t="str">
            <v>SPQR11P141BRELO</v>
          </cell>
          <cell r="B4765" t="str">
            <v>SPK.QR K:11 PEN 141ºBCE ELO P/N 505021286</v>
          </cell>
        </row>
        <row r="4766">
          <cell r="A4766" t="str">
            <v>SPQR11P68WHEC1GL</v>
          </cell>
          <cell r="B4766" t="str">
            <v>SPK. QR K:11.2 PEND 68° WH. ECO-1 3/4 GL-111315503</v>
          </cell>
        </row>
        <row r="4767">
          <cell r="A4767" t="str">
            <v>SPQR11U068BREC1</v>
          </cell>
          <cell r="B4767" t="str">
            <v>SPK.QR K:11.2 UPR 68º BR.ECO-1 3/4 P/N518941155</v>
          </cell>
        </row>
        <row r="4768">
          <cell r="A4768" t="str">
            <v>SPQR11U068BREC1GL</v>
          </cell>
          <cell r="B4768" t="str">
            <v>SPK. QR K:11.2 UPR 68° BR ECOH-1 3/4 GL 112115501</v>
          </cell>
        </row>
        <row r="4769">
          <cell r="A4769" t="str">
            <v>SPQR11U068BRELO</v>
          </cell>
          <cell r="B4769" t="str">
            <v>SPK.QR K:11.2 UPR 68º BR.ELO 3/4 P/N505001155</v>
          </cell>
        </row>
        <row r="4770">
          <cell r="A4770" t="str">
            <v>SPQR11U079BREC</v>
          </cell>
          <cell r="B4770" t="str">
            <v>SPK QR UP BR K11.2  79° 3/4 EC P/N 112117501</v>
          </cell>
        </row>
        <row r="4771">
          <cell r="A4771" t="str">
            <v>SPQR14P068BREC4</v>
          </cell>
          <cell r="B4771" t="str">
            <v xml:space="preserve">SPK.QR K:14 PEN 68º BR.ECO-14 3/4 P/N518951155 </v>
          </cell>
        </row>
        <row r="4772">
          <cell r="A4772" t="str">
            <v>SPQR14P068BRE-C4</v>
          </cell>
          <cell r="B4772" t="str">
            <v>( INACTIVO )</v>
          </cell>
        </row>
        <row r="4773">
          <cell r="A4773" t="str">
            <v>SPQR14P068BRESF</v>
          </cell>
          <cell r="B4773" t="str">
            <v xml:space="preserve">SPK.ESFR PEN BR K:14 68º 3/4 P/N 584491155 </v>
          </cell>
        </row>
        <row r="4774">
          <cell r="A4774" t="str">
            <v>SPQR14P068WHEC4</v>
          </cell>
          <cell r="B4774" t="str">
            <v>SPK.QR K:14 PEN 68º WH.ECO-14 3/4P/N518954155</v>
          </cell>
        </row>
        <row r="4775">
          <cell r="A4775" t="str">
            <v>SPQR14P074BRESF</v>
          </cell>
          <cell r="B4775" t="str">
            <v xml:space="preserve">SPK.ESFR PEN BR K:14 74º 3/4P/N 584401165 </v>
          </cell>
        </row>
        <row r="4776">
          <cell r="A4776" t="str">
            <v>SPQR14P101BRESF</v>
          </cell>
          <cell r="B4776" t="str">
            <v xml:space="preserve">SPK.ESFR PEN BR K:14 101º 3/4P/N 584401214 </v>
          </cell>
        </row>
        <row r="4777">
          <cell r="A4777" t="str">
            <v>SPQR14U068BREC4</v>
          </cell>
          <cell r="B4777" t="str">
            <v xml:space="preserve">SPK.QR K:14 UPR 68º BR.ECO-14 3/4P/N518961155 </v>
          </cell>
        </row>
        <row r="4778">
          <cell r="A4778" t="str">
            <v>SPQR17P074BRESF</v>
          </cell>
          <cell r="B4778" t="str">
            <v xml:space="preserve">SPK.ESFR PEN BR K:17 74º 3/4P/N584451165 </v>
          </cell>
        </row>
        <row r="4779">
          <cell r="A4779" t="str">
            <v>SPQR17P74BRESFR</v>
          </cell>
          <cell r="B4779" t="str">
            <v xml:space="preserve">SPK.ESFR PEN BR K:17 74º 3/4P/N 584571165 </v>
          </cell>
        </row>
        <row r="4780">
          <cell r="A4780" t="str">
            <v>SPQR17U074BRESF</v>
          </cell>
          <cell r="B4780" t="str">
            <v xml:space="preserve">SPK.ESFR UPR BR K:17 74º 3/4P/N 584471165 </v>
          </cell>
        </row>
        <row r="4781">
          <cell r="A4781" t="str">
            <v>SPQR17U101BRESF</v>
          </cell>
          <cell r="B4781" t="str">
            <v>SPK.ESFR UPR BR K:17 101º 3/4 P/N 584471214</v>
          </cell>
        </row>
        <row r="4782">
          <cell r="A4782" t="str">
            <v>SPQR22P074BRESF</v>
          </cell>
          <cell r="B4782" t="str">
            <v xml:space="preserve">SPK.ESFR PEN BR K:22 74º 1RELIABLE HL221 </v>
          </cell>
        </row>
        <row r="4783">
          <cell r="A4783" t="str">
            <v>SPQR22P100BRESF</v>
          </cell>
          <cell r="B4783" t="str">
            <v>SPK.ESFR PEN BR K:22 100º 1RELIABLE HL22</v>
          </cell>
        </row>
        <row r="4784">
          <cell r="A4784" t="str">
            <v>SPQR25P074BRESF</v>
          </cell>
          <cell r="B4784" t="str">
            <v xml:space="preserve">SPK.ESFR PEN BR K:25 74º 1P/N 584411165 </v>
          </cell>
        </row>
        <row r="4785">
          <cell r="A4785" t="str">
            <v>SPQR25P101BRESF</v>
          </cell>
          <cell r="B4785" t="str">
            <v xml:space="preserve">SPK.ESFR PEN BR K:25 100º 1P/N 584411214 </v>
          </cell>
        </row>
        <row r="4786">
          <cell r="A4786" t="str">
            <v>SPQR25U074BREC2</v>
          </cell>
          <cell r="B4786" t="str">
            <v>SPK.QR K:25 UPR. 74º BR. ECO25 P/N 584501165</v>
          </cell>
        </row>
        <row r="4787">
          <cell r="A4787" t="str">
            <v>SPQR25U101BREC2</v>
          </cell>
          <cell r="B4787" t="str">
            <v xml:space="preserve">SPK.QR K:25 UPR.101º BR. EC-25 P/N 584501214 </v>
          </cell>
        </row>
        <row r="4788">
          <cell r="A4788" t="str">
            <v>SPQRRFP068BRCNN</v>
          </cell>
          <cell r="B4788" t="str">
            <v>SP.QR.RY FLU PE 68º CONC.BR EC - TY 517941155</v>
          </cell>
        </row>
        <row r="4789">
          <cell r="A4789" t="str">
            <v>SPSABLOWOFF-000</v>
          </cell>
          <cell r="B4789" t="str">
            <v>BLOWOFF CAP NOZZ D3 TY: 563201008</v>
          </cell>
        </row>
        <row r="4790">
          <cell r="A4790" t="str">
            <v>SPSACENGR1781-0</v>
          </cell>
          <cell r="B4790" t="str">
            <v xml:space="preserve">CENTERING GROMET SP INS M.1781 PN: 560001781 </v>
          </cell>
        </row>
        <row r="4791">
          <cell r="A4791" t="str">
            <v>SPSACOVERPLATE-</v>
          </cell>
          <cell r="B4791" t="str">
            <v xml:space="preserve">COVER PLATE 57º FOR USE 68º PN: 567924135 </v>
          </cell>
        </row>
        <row r="4792">
          <cell r="A4792" t="str">
            <v>SPSAESFRGABINET</v>
          </cell>
          <cell r="B4792" t="str">
            <v>GABINETE PARA SPRINKLERS ESFR6 P/N 1111P/N 1111</v>
          </cell>
        </row>
        <row r="4793">
          <cell r="A4793" t="str">
            <v>SPSAFLREINS1780</v>
          </cell>
          <cell r="B4793" t="str">
            <v xml:space="preserve">FLANG RETAINING SP INST.M-1780 PN: 560001780 </v>
          </cell>
        </row>
        <row r="4794">
          <cell r="A4794" t="str">
            <v>SPSAGABINETE-00</v>
          </cell>
          <cell r="B4794" t="str">
            <v>GABINETE PARA SPRINKLERS 6 un</v>
          </cell>
        </row>
        <row r="4795">
          <cell r="A4795" t="str">
            <v>SPSAGABINETE12-</v>
          </cell>
          <cell r="B4795" t="str">
            <v>GABINETE PARA SPRINKLERS 12 un</v>
          </cell>
        </row>
        <row r="4796">
          <cell r="A4796" t="str">
            <v>SPSAHENOZZLED3-</v>
          </cell>
          <cell r="B4796" t="str">
            <v xml:space="preserve">HERRAMIENTA P/ROC.NOZZLE D3 TY 56-452-1-001 </v>
          </cell>
        </row>
        <row r="4797">
          <cell r="A4797" t="str">
            <v>SPSAHERCONC-LH</v>
          </cell>
          <cell r="B4797" t="str">
            <v>HERRAMIENTA SPK OCULTO GL332765 LIGHT HAZARD</v>
          </cell>
        </row>
        <row r="4798">
          <cell r="A4798" t="str">
            <v>SPSAHERO3/4LATE</v>
          </cell>
          <cell r="B4798" t="str">
            <v>HERRAMIE P/ROSETA 3/4LATERAL P/N 568951001</v>
          </cell>
        </row>
        <row r="4799">
          <cell r="A4799" t="str">
            <v>SPSAHERROC-00</v>
          </cell>
          <cell r="B4799" t="str">
            <v>LLAVE PARA SPK OCULTO GL 5604</v>
          </cell>
        </row>
        <row r="4800">
          <cell r="A4800" t="str">
            <v>SPSAHERRRST-000</v>
          </cell>
          <cell r="B4800" t="str">
            <v>HERRAMIENTA P/COLOC.ROSETA1/2GL</v>
          </cell>
        </row>
        <row r="4801">
          <cell r="A4801" t="str">
            <v>SPSAHERRRST3/4-</v>
          </cell>
          <cell r="B4801" t="str">
            <v>HERRAMIENTA P/COLOC.ROSETA3/4GL</v>
          </cell>
        </row>
        <row r="4802">
          <cell r="A4802" t="str">
            <v>SPSAHERRSPK-000</v>
          </cell>
          <cell r="B4802" t="str">
            <v>HERRAMIENTA P/COLOC.ROCIA.1/2GL 325390</v>
          </cell>
        </row>
        <row r="4803">
          <cell r="A4803" t="str">
            <v>SPSAHERRSPK1-00</v>
          </cell>
          <cell r="B4803" t="str">
            <v xml:space="preserve">HERR. P/COLOC.ROCIA. TYPE 1 P/N 568721025 </v>
          </cell>
        </row>
        <row r="4804">
          <cell r="A4804" t="str">
            <v>SPSAHERRSPK1TY-</v>
          </cell>
          <cell r="B4804" t="str">
            <v>HERRAMI P/ROCIA. 1W-TYPE 18 TY 560001265</v>
          </cell>
        </row>
        <row r="4805">
          <cell r="A4805" t="str">
            <v>SPSAHERRSPK3/4-</v>
          </cell>
          <cell r="B4805" t="str">
            <v>HERRAMIENTA P/COLOC.ROCIA.3/4GL 312366</v>
          </cell>
        </row>
        <row r="4806">
          <cell r="A4806" t="str">
            <v>SPSAHERRSPKINS-</v>
          </cell>
          <cell r="B4806" t="str">
            <v xml:space="preserve">HERR.  INS. RAVEN W-TYPE 25 1/2 PN: 563141001 </v>
          </cell>
        </row>
        <row r="4807">
          <cell r="A4807" t="str">
            <v>SPSAHERRSPKOC-0</v>
          </cell>
          <cell r="B4807" t="str">
            <v>HER P/COLOC.ROCIA.3/4OCULTO GL 325401</v>
          </cell>
        </row>
        <row r="4808">
          <cell r="A4808" t="str">
            <v>SPSAHERRSPMOD1509-3</v>
          </cell>
          <cell r="B4808" t="str">
            <v>LLAVE MODEL 1509-3  PN 560015093</v>
          </cell>
        </row>
        <row r="4809">
          <cell r="A4809" t="str">
            <v>SPSAHERRW-TYPE26</v>
          </cell>
          <cell r="B4809" t="str">
            <v>LLAVE ROCIADOR W-TYPE 26 PN-563411001</v>
          </cell>
        </row>
        <row r="4810">
          <cell r="A4810" t="str">
            <v>SPSAHERSPOC0M-0</v>
          </cell>
          <cell r="B4810" t="str">
            <v xml:space="preserve">HER P/COLOC.ROCIA.1/2  GL 325391 </v>
          </cell>
        </row>
        <row r="4811">
          <cell r="A4811" t="str">
            <v>SPSAHERTY-DRY</v>
          </cell>
          <cell r="B4811" t="str">
            <v>HERRAMI P/ROCIA. 1/2 P/N 568504001</v>
          </cell>
        </row>
        <row r="4812">
          <cell r="A4812" t="str">
            <v>SPSAHESP1/2LATE</v>
          </cell>
          <cell r="B4812" t="str">
            <v>HERRAMIENTA P/ROC.1/2LATERAL P/N 568504001</v>
          </cell>
        </row>
        <row r="4813">
          <cell r="A4813" t="str">
            <v>SPSAHESP14ESFR-</v>
          </cell>
          <cell r="B4813" t="str">
            <v xml:space="preserve">HERRAMIENTA P/ROCIA.K:14 ESFR P/N 568721001 </v>
          </cell>
        </row>
        <row r="4814">
          <cell r="A4814" t="str">
            <v>SPSAHESP22ESFR-</v>
          </cell>
          <cell r="B4814" t="str">
            <v xml:space="preserve">HERRAMIENTA P/ROCIA.K:22 ESFR RELIABLE WH22 </v>
          </cell>
        </row>
        <row r="4815">
          <cell r="A4815" t="str">
            <v>SPSAHESP3/4ECTY</v>
          </cell>
          <cell r="B4815" t="str">
            <v xml:space="preserve">HERR. W-TYPE 3 P/ROCIA.3/4ECO P/N 568951001 </v>
          </cell>
        </row>
        <row r="4816">
          <cell r="A4816" t="str">
            <v>SPSAHESP3/4ESFR</v>
          </cell>
          <cell r="B4816" t="str">
            <v>HERR. P/ROCIA.3/4ESFR P/N 560010686  TYPE-21</v>
          </cell>
        </row>
        <row r="4817">
          <cell r="A4817" t="str">
            <v>SPSAHESP3/4LATE</v>
          </cell>
          <cell r="B4817" t="str">
            <v xml:space="preserve">HERRAMIENTA P/ROC.3/4LATERAL </v>
          </cell>
        </row>
        <row r="4818">
          <cell r="A4818" t="str">
            <v>SPSAHESPNOZZLE-</v>
          </cell>
          <cell r="B4818" t="str">
            <v xml:space="preserve">HERRAMIENTA P/ROC.NOZZLE W-11 </v>
          </cell>
        </row>
        <row r="4819">
          <cell r="A4819" t="str">
            <v>SPSAHESPTYPE6-00</v>
          </cell>
          <cell r="B4819" t="str">
            <v>Herramienta W-Type 6 -  TY 560006387</v>
          </cell>
        </row>
        <row r="4820">
          <cell r="A4820" t="str">
            <v>SPSAHESPTYPE9-00</v>
          </cell>
          <cell r="B4820" t="str">
            <v>Herramienta W-Type 9 -  TY 560001849</v>
          </cell>
        </row>
        <row r="4821">
          <cell r="A4821" t="str">
            <v>SPSAJAUL-000000</v>
          </cell>
          <cell r="B4821" t="str">
            <v>JAULA PROTECTORA PARA SPK GL 3122531</v>
          </cell>
        </row>
        <row r="4822">
          <cell r="A4822" t="str">
            <v>SPSAJAULRACK-00</v>
          </cell>
          <cell r="B4822" t="str">
            <v>JAULA PROTECTORA PARA SPK RACK GL 321406</v>
          </cell>
        </row>
        <row r="4823">
          <cell r="A4823" t="str">
            <v>SPSAROSCM0M-000</v>
          </cell>
          <cell r="B4823" t="str">
            <v>ROSETA CROMADA 1/2UL/FM GL 325422</v>
          </cell>
        </row>
        <row r="4824">
          <cell r="A4824" t="str">
            <v>SPSAROSCM0T-000</v>
          </cell>
          <cell r="B4824" t="str">
            <v>ROSETA CROMADA 3/4UL/FM GL 325423</v>
          </cell>
        </row>
        <row r="4825">
          <cell r="A4825" t="str">
            <v>SPS-AROSINCRO3-00</v>
          </cell>
          <cell r="B4825" t="str">
            <v>ROSETA INST. 3  CROMADO UL/FM - TY 563149010</v>
          </cell>
        </row>
        <row r="4826">
          <cell r="A4826" t="str">
            <v>SPSAROSINSCR3-0</v>
          </cell>
          <cell r="B4826" t="str">
            <v xml:space="preserve">ROSETA INST. CROMADA 3  UL/FM - TY 563149010 </v>
          </cell>
        </row>
        <row r="4827">
          <cell r="A4827" t="str">
            <v>SPSAROSINSCRO</v>
          </cell>
          <cell r="B4827" t="str">
            <v>ESCUTCHEONS CROMADO STYLE  C 560017513</v>
          </cell>
        </row>
        <row r="4828">
          <cell r="A4828" t="str">
            <v>SPSAROSINSWH3</v>
          </cell>
          <cell r="B4828" t="str">
            <v>ROSETA INST. 3  WHITE UL/FM - TY 563144010</v>
          </cell>
        </row>
        <row r="4829">
          <cell r="A4829" t="str">
            <v>SPS-AROSINSWH3-00</v>
          </cell>
          <cell r="B4829" t="str">
            <v>ROSETA INST. 3  WHITE UL/FM - TY 563144010</v>
          </cell>
        </row>
        <row r="4830">
          <cell r="A4830" t="str">
            <v>SPSAROSWH0M-000</v>
          </cell>
          <cell r="B4830" t="str">
            <v>ROSETA BLANCA 1/2UL/FM GL 325426-WGL</v>
          </cell>
        </row>
        <row r="4831">
          <cell r="A4831" t="str">
            <v>SPSAROSWH0MDRY-</v>
          </cell>
          <cell r="B4831" t="str">
            <v>ROSETA BLANCA 1/2 UL/FM P/DRY GL</v>
          </cell>
        </row>
        <row r="4832">
          <cell r="A4832" t="str">
            <v>SPSAROSWH0T-000</v>
          </cell>
          <cell r="B4832" t="str">
            <v>ROSETA BLANCA 3/4UL/FM GL 325427-W</v>
          </cell>
        </row>
        <row r="4833">
          <cell r="A4833" t="str">
            <v>SPSASHORI-00000</v>
          </cell>
          <cell r="B4833" t="str">
            <v xml:space="preserve">SHIELD &amp; O¨ RING </v>
          </cell>
        </row>
        <row r="4834">
          <cell r="A4834" t="str">
            <v>SPSASPRISPKINST</v>
          </cell>
          <cell r="B4834" t="str">
            <v>SPACER RING SPK INST TY3281 PN 560001755</v>
          </cell>
        </row>
        <row r="4835">
          <cell r="A4835" t="str">
            <v>SPSATA57WH-LH</v>
          </cell>
          <cell r="B4835" t="str">
            <v>TAPA SPK OCULTO 57° WHITE GL332892 LIGHT HAZARD</v>
          </cell>
        </row>
        <row r="4836">
          <cell r="A4836" t="str">
            <v>SPSATAP057°GRCL-00</v>
          </cell>
          <cell r="B4836" t="str">
            <v>TAPA SPK OCULTO GRIS CLARO 57° GLSW97065</v>
          </cell>
        </row>
        <row r="4837">
          <cell r="A4837" t="str">
            <v>SPSATAP057°GROSCURO</v>
          </cell>
          <cell r="B4837" t="str">
            <v xml:space="preserve">TAPA SPK OCULTO GRIS OSCURO 57° GL SW97019 </v>
          </cell>
        </row>
        <row r="4838">
          <cell r="A4838" t="str">
            <v>SPSATAP057CM-00</v>
          </cell>
          <cell r="B4838" t="str">
            <v xml:space="preserve">TAPA GROOV 3OD </v>
          </cell>
        </row>
        <row r="4839">
          <cell r="A4839" t="str">
            <v>SPSATAP057COBRE-00</v>
          </cell>
          <cell r="B4839" t="str">
            <v>TAPA DE SPK OCULTO COBRE 57° GL RAL 8004</v>
          </cell>
        </row>
        <row r="4840">
          <cell r="A4840" t="str">
            <v>SPSATAP057NEGRO-00</v>
          </cell>
          <cell r="B4840" t="str">
            <v>TAPA SPK OCULTO NEGRO 57° RAL 9005</v>
          </cell>
        </row>
        <row r="4841">
          <cell r="A4841" t="str">
            <v>SPSATAP057OD-00</v>
          </cell>
          <cell r="B4841" t="str">
            <v>TAPA DE SPK OCULTO CROMADO 57º GL</v>
          </cell>
        </row>
        <row r="4842">
          <cell r="A4842" t="str">
            <v>SPSATAP057WH-00</v>
          </cell>
          <cell r="B4842" t="str">
            <v xml:space="preserve">TAPA DE SPK OCULTO BLANCA 57º GL 325437-W </v>
          </cell>
        </row>
        <row r="4843">
          <cell r="A4843" t="str">
            <v>SPSATAP057WHEC1</v>
          </cell>
          <cell r="B4843" t="str">
            <v>TAPA DE SPK OC. BLANCA 57º ELO P/N 567924135</v>
          </cell>
        </row>
        <row r="4844">
          <cell r="A4844" t="str">
            <v>SPSATAP057WHECL</v>
          </cell>
          <cell r="B4844" t="str">
            <v>TAPA SPK OC. BLANCA 57º ECLH 568920135</v>
          </cell>
        </row>
        <row r="4845">
          <cell r="A4845" t="str">
            <v>SPSATAP068BRCON-00</v>
          </cell>
          <cell r="B4845" t="str">
            <v>TAPA SPK OCULTO 68° BLANCA GL 325442W</v>
          </cell>
        </row>
        <row r="4846">
          <cell r="A4846" t="str">
            <v>SPSATAP68BRCONSML</v>
          </cell>
          <cell r="B4846" t="str">
            <v>TAPA SPK OCULTO 57° BLANCA GL 332706 SML COVER PLATE ADJ</v>
          </cell>
        </row>
        <row r="4847">
          <cell r="A4847" t="str">
            <v>SPSATAPBCK-0000</v>
          </cell>
          <cell r="B4847" t="str">
            <v xml:space="preserve">TAPA DE SPK NEGRO </v>
          </cell>
        </row>
        <row r="4848">
          <cell r="A4848" t="str">
            <v>SPSATAPBLUE-000</v>
          </cell>
          <cell r="B4848" t="str">
            <v>TAPA DE SPK OCULTO AZUL GL 5654GL 5654</v>
          </cell>
        </row>
        <row r="4849">
          <cell r="A4849" t="str">
            <v>SPSEALASSEMBLYKIT</v>
          </cell>
          <cell r="B4849" t="str">
            <v>INSULATING SEAL ASSEMBLY KIT P/N 911061500</v>
          </cell>
        </row>
        <row r="4850">
          <cell r="A4850" t="str">
            <v>SPSECO56PE68BR-</v>
          </cell>
          <cell r="B4850" t="str">
            <v>SPK.SECO.K5.6.PEN 68º 1/2 DS-1 TY-3255</v>
          </cell>
        </row>
        <row r="4851">
          <cell r="A4851" t="str">
            <v>SPSR02P068BR-00</v>
          </cell>
          <cell r="B4851" t="str">
            <v xml:space="preserve">SPK SR K:2.8 BR 68° 1/2 G/L 285115501 </v>
          </cell>
        </row>
        <row r="4852">
          <cell r="A4852" t="str">
            <v>SPSR04P057BR-00</v>
          </cell>
          <cell r="B4852" t="str">
            <v>SPK.SR PEN K:4.2 57º BR 1/2 GL 425113501</v>
          </cell>
        </row>
        <row r="4853">
          <cell r="A4853" t="str">
            <v>SPSR05H068BR-00</v>
          </cell>
          <cell r="B4853" t="str">
            <v>SPK.SR HSWL BRS K:5.6 68º 1/2GL 567015501</v>
          </cell>
        </row>
        <row r="4854">
          <cell r="A4854" t="str">
            <v>SPSR05H068CM-00</v>
          </cell>
          <cell r="B4854" t="str">
            <v>SPK.SR HSWL CRO K:5.6 68º 1/2GL 567015502</v>
          </cell>
        </row>
        <row r="4855">
          <cell r="A4855" t="str">
            <v>SPSR05H068WH-00</v>
          </cell>
          <cell r="B4855" t="str">
            <v xml:space="preserve">SPK.SR HSWL WHT K:5.6 68º 1/2GL 567015503 </v>
          </cell>
        </row>
        <row r="4856">
          <cell r="A4856" t="str">
            <v>SPSR05H074BR-00</v>
          </cell>
          <cell r="B4856" t="str">
            <v>SPK.SR HSWL BR K:5.6 74º TY: 531131165</v>
          </cell>
        </row>
        <row r="4857">
          <cell r="A4857" t="str">
            <v>SPSR05H079BR-00</v>
          </cell>
          <cell r="B4857" t="str">
            <v xml:space="preserve">SPK.SR HSWL BRS K:5.6 79º 1/2P/N 575781175 </v>
          </cell>
        </row>
        <row r="4858">
          <cell r="A4858" t="str">
            <v>SPSR05H079WH-00</v>
          </cell>
          <cell r="B4858" t="str">
            <v>SPK.SR HSWL WHT K:5.6 79º 1/2GL 567017503</v>
          </cell>
        </row>
        <row r="4859">
          <cell r="A4859" t="str">
            <v>SPSR05H093BR-00</v>
          </cell>
          <cell r="B4859" t="str">
            <v>SPK.SR HSWL BRS K:5.6 93º 1/2GL 567020001</v>
          </cell>
        </row>
        <row r="4860">
          <cell r="A4860" t="str">
            <v>SPSR05H141BR-00</v>
          </cell>
          <cell r="B4860" t="str">
            <v>SPK.SR HSWL BRS K5.6 141º 1/2 GL 567028601</v>
          </cell>
        </row>
        <row r="4861">
          <cell r="A4861" t="str">
            <v>SPSR05H68TYB-00</v>
          </cell>
          <cell r="B4861" t="str">
            <v xml:space="preserve">SPK.SR.HSWL K5.6 68º 1/2 LCOAT PN:575787155 </v>
          </cell>
        </row>
        <row r="4862">
          <cell r="A4862" t="str">
            <v>SPSR05H68TYWH-00</v>
          </cell>
          <cell r="B4862" t="str">
            <v xml:space="preserve">SPK.SR.HSWL K5.6 68º 1/2 WHITE PN:575784155 </v>
          </cell>
        </row>
        <row r="4863">
          <cell r="A4863" t="str">
            <v>SPSR05P057BR-00</v>
          </cell>
          <cell r="B4863" t="str">
            <v>SPK.SR PEN K:5.6 57º BR 1/2GL 565113501</v>
          </cell>
        </row>
        <row r="4864">
          <cell r="A4864" t="str">
            <v>SPSR05P057WH-00</v>
          </cell>
          <cell r="B4864" t="str">
            <v xml:space="preserve">SPK.SR PEN WHT K:5.6 57º 1/2GL 565113503 </v>
          </cell>
        </row>
        <row r="4865">
          <cell r="A4865" t="str">
            <v>SPSR05P068BR-00</v>
          </cell>
          <cell r="B4865" t="str">
            <v>SPK.SR K5.6 PEN 68ºCBCE 1/2GL 565115501</v>
          </cell>
        </row>
        <row r="4866">
          <cell r="A4866" t="str">
            <v>SPSR05P068BRCON</v>
          </cell>
          <cell r="B4866" t="str">
            <v>SPK.SR PE K5.6 68º CONCEAL 1/2 GL 565415501</v>
          </cell>
        </row>
        <row r="4867">
          <cell r="A4867" t="str">
            <v>SPSR05P068BRDRY</v>
          </cell>
          <cell r="B4867" t="str">
            <v>SPK.SR.DRY PEN K:5.668º 3/4 8GL 567915561</v>
          </cell>
        </row>
        <row r="4868">
          <cell r="A4868" t="str">
            <v>SPSR05P068BRDY2</v>
          </cell>
          <cell r="B4868" t="str">
            <v>SPK.SR.DRY PEN K:5.6º 3/4 2</v>
          </cell>
        </row>
        <row r="4869">
          <cell r="A4869" t="str">
            <v>SPSR05P068BRDY6</v>
          </cell>
          <cell r="B4869" t="str">
            <v xml:space="preserve">SPK.SR.DRY PEN K:5.6 68º 6TY 60-971-1-055 </v>
          </cell>
        </row>
        <row r="4870">
          <cell r="A4870" t="str">
            <v>SPSR05P068BRRK-</v>
          </cell>
          <cell r="B4870" t="str">
            <v xml:space="preserve">SPK.SR RACK BRS K:5,6 68º 1/2P/N 565115501R </v>
          </cell>
        </row>
        <row r="4871">
          <cell r="A4871" t="str">
            <v>SPSR05P068BRTY-</v>
          </cell>
          <cell r="B4871" t="str">
            <v>SPK.SR K5.6 PEN 68ºC BR 1/2 TY P/N 575711155</v>
          </cell>
        </row>
        <row r="4872">
          <cell r="A4872" t="str">
            <v>SPSR05P068CM-00</v>
          </cell>
          <cell r="B4872" t="str">
            <v>SPK.SR PEN CRO K:5.6 68º 1/2GL 565115502</v>
          </cell>
        </row>
        <row r="4873">
          <cell r="A4873" t="str">
            <v>SPSR05P068RPL-0</v>
          </cell>
          <cell r="B4873" t="str">
            <v xml:space="preserve">SPK.SR K:5.6 PEN 68ºC REC.PLOM P/N 575717155 </v>
          </cell>
        </row>
        <row r="4874">
          <cell r="A4874" t="str">
            <v>SPSR05P068TYBLC</v>
          </cell>
          <cell r="B4874" t="str">
            <v xml:space="preserve">SPK.SR PE K5.6 68º 1/2 LCOATED PN:575717155 </v>
          </cell>
        </row>
        <row r="4875">
          <cell r="A4875" t="str">
            <v>SPSR05P068WH-00</v>
          </cell>
          <cell r="B4875" t="str">
            <v xml:space="preserve">SPK.SR PEN WHT K:5.6 68º 1/2GL 565115503 </v>
          </cell>
        </row>
        <row r="4876">
          <cell r="A4876" t="str">
            <v>SPSR05P068WHEC-</v>
          </cell>
          <cell r="B4876" t="str">
            <v>SPK.SR K:5.6 PEN 68º WH. ECO GL</v>
          </cell>
        </row>
        <row r="4877">
          <cell r="A4877" t="str">
            <v>SPSR05P068WHTY-</v>
          </cell>
          <cell r="B4877" t="str">
            <v>SPK.SR K5.6 PEN 68ºC WHT1/2 TY P/N 775714155</v>
          </cell>
        </row>
        <row r="4878">
          <cell r="A4878" t="str">
            <v>SPSR05P074BME-0</v>
          </cell>
          <cell r="B4878" t="str">
            <v>INACTIVO</v>
          </cell>
        </row>
        <row r="4879">
          <cell r="A4879" t="str">
            <v>SPSR05P074BR-00</v>
          </cell>
          <cell r="B4879" t="str">
            <v>SPK.SR K5.6 PEN 74º BIMET 1/2 P/N 531121165</v>
          </cell>
        </row>
        <row r="4880">
          <cell r="A4880" t="str">
            <v>SPSR05P074CM-00</v>
          </cell>
          <cell r="B4880" t="str">
            <v>SPK.SR PE CR K5.6 74ºFIRE REL</v>
          </cell>
        </row>
        <row r="4881">
          <cell r="A4881" t="str">
            <v>SPSR05P074WH-00</v>
          </cell>
          <cell r="B4881" t="str">
            <v>SPK.SR PEN BCO K:5.6 74º 1/2REL</v>
          </cell>
        </row>
        <row r="4882">
          <cell r="A4882" t="str">
            <v>SPSR05P079BR-00</v>
          </cell>
          <cell r="B4882" t="str">
            <v>SPK.SR K5.6 PEN 79ºCBCE 1/2GL 565117501</v>
          </cell>
        </row>
        <row r="4883">
          <cell r="A4883" t="str">
            <v>SPSR05P079BRRK-0</v>
          </cell>
          <cell r="B4883" t="str">
            <v xml:space="preserve">SPK.SR RACK BRS K:5,6 79º 1/2GL 567217501 </v>
          </cell>
        </row>
        <row r="4884">
          <cell r="A4884" t="str">
            <v>SPSR05P079WH-00</v>
          </cell>
          <cell r="B4884" t="str">
            <v>SPK.SR K5.6 PEN 79º WH 1/2GL 565117503</v>
          </cell>
        </row>
        <row r="4885">
          <cell r="A4885" t="str">
            <v>SPSR05P079WHTY-</v>
          </cell>
          <cell r="B4885" t="str">
            <v>SPK.SR K5.6 PEN 79ºC WHT1/2 TY P/N 575714175</v>
          </cell>
        </row>
        <row r="4886">
          <cell r="A4886" t="str">
            <v>SPSR05P092BR-00</v>
          </cell>
          <cell r="B4886" t="str">
            <v>SPK.SR K5.6 PEN 92º BRS 1/2</v>
          </cell>
        </row>
        <row r="4887">
          <cell r="A4887" t="str">
            <v>SPSR05P092WH-00</v>
          </cell>
          <cell r="B4887" t="str">
            <v>SPK.SR K5.6 PEN 93º WHT 1/2GL 565120003</v>
          </cell>
        </row>
        <row r="4888">
          <cell r="A4888" t="str">
            <v>SPSR05P093BR-00</v>
          </cell>
          <cell r="B4888" t="str">
            <v>SPK.SR K5.6 PEN 93ºC BCE 1/2GL 565120001</v>
          </cell>
        </row>
        <row r="4889">
          <cell r="A4889" t="str">
            <v>SPSR05P093BRDY6</v>
          </cell>
          <cell r="B4889" t="str">
            <v xml:space="preserve">SPK.SR.DRY PEN K:5.6 93º3/4 6PN: 60-923-2-055 </v>
          </cell>
        </row>
        <row r="4890">
          <cell r="A4890" t="str">
            <v>SPSR05P093BRTY-</v>
          </cell>
          <cell r="B4890" t="str">
            <v>SPK.SR K5.6 PEN 93ºC BR 1/2 TY P/N 575711200</v>
          </cell>
        </row>
        <row r="4891">
          <cell r="A4891" t="str">
            <v>SPSR05P100BR-00</v>
          </cell>
          <cell r="B4891" t="str">
            <v xml:space="preserve">SPK.SR K5.6 PEN 100ºCBCE 1/2P/N 531121212 </v>
          </cell>
        </row>
        <row r="4892">
          <cell r="A4892" t="str">
            <v>SPSR05P135WH-DRY</v>
          </cell>
          <cell r="B4892" t="str">
            <v>SPK DRY SR PEND K5.6 135º 1/2 WHT PN 609604055</v>
          </cell>
        </row>
        <row r="4893">
          <cell r="A4893" t="str">
            <v>SPSR05P141BR-00</v>
          </cell>
          <cell r="B4893" t="str">
            <v xml:space="preserve">SPK.SR PEN BRS K:5.6 141º 1/2GL 565128601 </v>
          </cell>
        </row>
        <row r="4894">
          <cell r="A4894" t="str">
            <v>SPSR05P141CM-00</v>
          </cell>
          <cell r="B4894" t="str">
            <v>SPK.SR PEN CRO K:5.6 141º 1/2GL 565128602</v>
          </cell>
        </row>
        <row r="4895">
          <cell r="A4895" t="str">
            <v>SPSR05P141WH-00</v>
          </cell>
          <cell r="B4895" t="str">
            <v>SPK.SR PEN WH K:5.6 141º 1/2GL 565128603</v>
          </cell>
        </row>
        <row r="4896">
          <cell r="A4896" t="str">
            <v>SPSR05P182BR-00</v>
          </cell>
          <cell r="B4896" t="str">
            <v xml:space="preserve">SPK.SR K5.6.PEN.182ºC.BCE.1/2P/N 575711360 </v>
          </cell>
        </row>
        <row r="4897">
          <cell r="A4897" t="str">
            <v>SPSR05P182BR-GL</v>
          </cell>
          <cell r="B4897" t="str">
            <v>SPK.SR K5.6.PEN.182ºC.BCE.1/2  GL Globe GL 5651 -360-1</v>
          </cell>
        </row>
        <row r="4898">
          <cell r="A4898" t="str">
            <v>SPSR05P182BRRK-</v>
          </cell>
          <cell r="B4898" t="str">
            <v xml:space="preserve">SPK.SR RACK BR K:5,6 182º 1/2GL 567236001 </v>
          </cell>
        </row>
        <row r="4899">
          <cell r="A4899" t="str">
            <v>SPSR05P260BR-00</v>
          </cell>
          <cell r="B4899" t="str">
            <v>SPK.SR K5.6 PEN 260º BRS 1/2</v>
          </cell>
        </row>
        <row r="4900">
          <cell r="A4900" t="str">
            <v>SPSR05P68BRTY</v>
          </cell>
          <cell r="B4900" t="str">
            <v>SPK.SR K5.6 PEND 68 ºC BCE 1/2 TY 775711155</v>
          </cell>
        </row>
        <row r="4901">
          <cell r="A4901" t="str">
            <v>SPSR05P68WHT-DRY</v>
          </cell>
          <cell r="B4901" t="str">
            <v xml:space="preserve">SPK.SR.DRY PEN K:5.6 68º  PN 60-961-1-082 </v>
          </cell>
        </row>
        <row r="4902">
          <cell r="A4902" t="str">
            <v>SPSR05P68WH-VIKING</v>
          </cell>
          <cell r="B4902" t="str">
            <v>SPK.SR K5.6 PEND 68 ºC WHT 1/2 VK102 VIKING</v>
          </cell>
        </row>
        <row r="4903">
          <cell r="A4903" t="str">
            <v>SPSR05P74BRCON-</v>
          </cell>
          <cell r="B4903" t="str">
            <v xml:space="preserve">SPK.SR PE K5.6 74º CONCEAL 1/2 </v>
          </cell>
        </row>
        <row r="4904">
          <cell r="A4904" t="str">
            <v>SPSR05P74INSCRO</v>
          </cell>
          <cell r="B4904" t="str">
            <v>SPK SR PEND INST. K:5.6 74º CROMADO 1/2   TY 511049165</v>
          </cell>
        </row>
        <row r="4905">
          <cell r="A4905" t="str">
            <v>SPSR05P93PLOMO-00</v>
          </cell>
          <cell r="B4905" t="str">
            <v>SPK.SR K5.6 PEND. 93 ºC PLOMO.1/2  - TY 575717200</v>
          </cell>
        </row>
        <row r="4906">
          <cell r="A4906" t="str">
            <v>SPSR05U057BR-00</v>
          </cell>
          <cell r="B4906" t="str">
            <v>SPK.SR K5.6 UPR 57ºC BCE 1/2GL 566113501</v>
          </cell>
        </row>
        <row r="4907">
          <cell r="A4907" t="str">
            <v>SPSR05U068BR-00</v>
          </cell>
          <cell r="B4907" t="str">
            <v>SPK.SR K5.6 UPR 68ºC BCE 1/2GL 566115501</v>
          </cell>
        </row>
        <row r="4908">
          <cell r="A4908" t="str">
            <v>SPSR05U068BRTY-00</v>
          </cell>
          <cell r="B4908" t="str">
            <v>SP.SR K5.6 UP 68 ºC BR.1/2  - TY 775701155</v>
          </cell>
        </row>
        <row r="4909">
          <cell r="A4909" t="str">
            <v>SPSR05U068CM-00</v>
          </cell>
          <cell r="B4909" t="str">
            <v>SPK.SR UPR CRO K:5.6 68º 1/2P/N 575709155</v>
          </cell>
        </row>
        <row r="4910">
          <cell r="A4910" t="str">
            <v>SPSR05U068WH-00</v>
          </cell>
          <cell r="B4910" t="str">
            <v>SPK.SR UPR WHT K:5.6 68º 1/2GL 566115503</v>
          </cell>
        </row>
        <row r="4911">
          <cell r="A4911" t="str">
            <v>SPSR05U074BR-00</v>
          </cell>
          <cell r="B4911" t="str">
            <v>SPK.SR. UP RACK BRS K:5.6 74º 1/2P/N 532531165</v>
          </cell>
        </row>
        <row r="4912">
          <cell r="A4912" t="str">
            <v>SPSR05U074BRTY-</v>
          </cell>
          <cell r="B4912" t="str">
            <v>SPK.SR K5.6 UP 74ºC BR 1/2 TY 531111165</v>
          </cell>
        </row>
        <row r="4913">
          <cell r="A4913" t="str">
            <v>SPSR05U079BR-00</v>
          </cell>
          <cell r="B4913" t="str">
            <v>SPK.SR K5.6 UPR 79ºC BCE 1/2GL 566117501</v>
          </cell>
        </row>
        <row r="4914">
          <cell r="A4914" t="str">
            <v>SPSR05U079BRTY-00</v>
          </cell>
          <cell r="B4914" t="str">
            <v>SPK.SR K5.6 UP 79 ºC BR.1/2  - TY 575701175</v>
          </cell>
        </row>
        <row r="4915">
          <cell r="A4915" t="str">
            <v>SPSR05U079WH-00</v>
          </cell>
          <cell r="B4915" t="str">
            <v>SPK.SR K5.6 UPR 79ºC WHT 1/2GL 566117503</v>
          </cell>
        </row>
        <row r="4916">
          <cell r="A4916" t="str">
            <v>SPSR05U093BR-00</v>
          </cell>
          <cell r="B4916" t="str">
            <v xml:space="preserve">SPK.SR K5.6 UPR 93ºC BCE 1/2P/N 575701200 </v>
          </cell>
        </row>
        <row r="4917">
          <cell r="A4917" t="str">
            <v>SPSR05U100BR-00</v>
          </cell>
          <cell r="B4917" t="str">
            <v xml:space="preserve">SPK.SR K5.6 UPR 100ºC BCE 1/2P/N 531111212 </v>
          </cell>
        </row>
        <row r="4918">
          <cell r="A4918" t="str">
            <v>SPSR05U100BR-BMT</v>
          </cell>
          <cell r="B4918" t="str">
            <v>SPK.SR K:8.0 UPR. 100º BIMET 3/4 P/N 531011212</v>
          </cell>
        </row>
        <row r="4919">
          <cell r="A4919" t="str">
            <v>SPSR05U141ACINOX</v>
          </cell>
          <cell r="B4919" t="str">
            <v>SPK.SR K5.6 UPR 141ºC INOX ½ P/N 575700286NONE</v>
          </cell>
        </row>
        <row r="4920">
          <cell r="A4920" t="str">
            <v>SPSR05U141BR-00</v>
          </cell>
          <cell r="B4920" t="str">
            <v>SPK.SR K5.6 UPR 141ºC BCE 1/2 G/L 566128601</v>
          </cell>
        </row>
        <row r="4921">
          <cell r="A4921" t="str">
            <v>SPSR05U68BR-TY</v>
          </cell>
          <cell r="B4921" t="str">
            <v xml:space="preserve">SPK.SR K5.6 UPR 68 ºC BCE 1/2 TY 3151 </v>
          </cell>
        </row>
        <row r="4922">
          <cell r="A4922" t="str">
            <v>SPSR05U68PLOMO-00</v>
          </cell>
          <cell r="B4922" t="str">
            <v>SPK.SR K5.6 UP 68 ºC PLOMO.1/2  - TY 575707155</v>
          </cell>
        </row>
        <row r="4923">
          <cell r="A4923" t="str">
            <v>SPSR05U93BR-00</v>
          </cell>
          <cell r="B4923" t="str">
            <v>SPK.SR K5.6 UPR 93ºC BCE 1/2GL 566120001</v>
          </cell>
        </row>
        <row r="4924">
          <cell r="A4924" t="str">
            <v>SPSR05U93PLOMO-00</v>
          </cell>
          <cell r="B4924" t="str">
            <v>SPK.SR K5.6 UP 93 ºC PLOMO.1/2  - TY 575707200</v>
          </cell>
        </row>
        <row r="4925">
          <cell r="A4925" t="str">
            <v>SPSR05V068BR-00</v>
          </cell>
          <cell r="B4925" t="str">
            <v xml:space="preserve">SPK.SR VSWL K:5.6 68º 1/2BR. TY 57-575-1-155 </v>
          </cell>
        </row>
        <row r="4926">
          <cell r="A4926" t="str">
            <v>SPSR05V068WH-00</v>
          </cell>
          <cell r="B4926" t="str">
            <v xml:space="preserve">SPK.SR VSWL WHT K:5.6 68º 1/2TY 57-575-4-155 </v>
          </cell>
        </row>
        <row r="4927">
          <cell r="A4927" t="str">
            <v>SPSR08H068WHELO</v>
          </cell>
          <cell r="B4927" t="str">
            <v xml:space="preserve">SPK.QR LO K8.1 HSW 68º WH 3/4GL 812815503 </v>
          </cell>
        </row>
        <row r="4928">
          <cell r="A4928" t="str">
            <v>SPSR08H107BR</v>
          </cell>
          <cell r="B4928" t="str">
            <v xml:space="preserve">SPK.SR LO K8.1 HSW 107º BR 3/4 GL 817622501 </v>
          </cell>
        </row>
        <row r="4929">
          <cell r="A4929" t="str">
            <v>SPSR08P00PLOMO-00</v>
          </cell>
          <cell r="B4929" t="str">
            <v>SPK.SR K8.0 PEND. ABIERTO PLOMO.3/4  - TY 575917000</v>
          </cell>
        </row>
        <row r="4930">
          <cell r="A4930" t="str">
            <v>SPSR08P057BRLO</v>
          </cell>
          <cell r="B4930" t="str">
            <v>SPK.SR LO K8.1 PEN 57º BS 3/4GL 815613501</v>
          </cell>
        </row>
        <row r="4931">
          <cell r="A4931" t="str">
            <v>SPSR08P068BRLO-</v>
          </cell>
          <cell r="B4931" t="str">
            <v xml:space="preserve">SPK.SR LO K8.1 PEN 68º BS 3/4GL 815615501 </v>
          </cell>
        </row>
        <row r="4932">
          <cell r="A4932" t="str">
            <v>SPSR08P068BRRAC</v>
          </cell>
          <cell r="B4932" t="str">
            <v xml:space="preserve">SPK.SR K8.1PEN 68º BS 3/4 RACK GL 815815501 </v>
          </cell>
        </row>
        <row r="4933">
          <cell r="A4933" t="str">
            <v>SPSR08P068CRO-0</v>
          </cell>
          <cell r="B4933" t="str">
            <v xml:space="preserve">SPK.SR K:8.0 PEND. 68º CROMADO P/N 575919155 </v>
          </cell>
        </row>
        <row r="4934">
          <cell r="A4934" t="str">
            <v>SPSR08P068WH-00</v>
          </cell>
          <cell r="B4934" t="str">
            <v xml:space="preserve">SPK.SR K:8.0 PEND. 68º WH. P/N 57-591-4-155 </v>
          </cell>
        </row>
        <row r="4935">
          <cell r="A4935" t="str">
            <v>SPSR08P068WHLO</v>
          </cell>
          <cell r="B4935" t="str">
            <v>SPK.SR LO K8.1 PEN 68º WHT 3/4 GL 815615503</v>
          </cell>
        </row>
        <row r="4936">
          <cell r="A4936" t="str">
            <v>SPSR08P074BME-0</v>
          </cell>
          <cell r="B4936" t="str">
            <v xml:space="preserve">SPK.SR K8.1 PEN 74º BIMET 3/4P/N 531021165 </v>
          </cell>
        </row>
        <row r="4937">
          <cell r="A4937" t="str">
            <v>SPSR08P074BME-1/2</v>
          </cell>
          <cell r="B4937" t="str">
            <v xml:space="preserve">SPK.SR K8.1 PEN 74º BIMET 1/2 P/N 531071165 </v>
          </cell>
        </row>
        <row r="4938">
          <cell r="A4938" t="str">
            <v>SPSR08P074BRLO-</v>
          </cell>
          <cell r="B4938" t="str">
            <v>SPK.SR.LO K8.1 PEN 74º BS 3/4</v>
          </cell>
        </row>
        <row r="4939">
          <cell r="A4939" t="str">
            <v>SPSR08P079BR-00</v>
          </cell>
          <cell r="B4939" t="str">
            <v>SPK COB. EST. PEND. K8,1 BR. 79º SR GL815617501</v>
          </cell>
        </row>
        <row r="4940">
          <cell r="A4940" t="str">
            <v>SPSR08P093BRLO-</v>
          </cell>
          <cell r="B4940" t="str">
            <v xml:space="preserve">SPK.SR.LO K8.1 PEN 93º BS 3/4GL 815620001 </v>
          </cell>
        </row>
        <row r="4941">
          <cell r="A4941" t="str">
            <v>SPSR08P093BRTY</v>
          </cell>
          <cell r="B4941" t="str">
            <v>SPK.SR K8.0 PEN 79º BS 3/4 TY575911175</v>
          </cell>
        </row>
        <row r="4942">
          <cell r="A4942" t="str">
            <v>SPSR08P141BRLO-</v>
          </cell>
          <cell r="B4942" t="str">
            <v>SPK.SR.LO K8.1 PEN141º BS 3/4GL 815628601</v>
          </cell>
        </row>
        <row r="4943">
          <cell r="A4943" t="str">
            <v>SPSR08U00PLOMO-00</v>
          </cell>
          <cell r="B4943" t="str">
            <v>SPK.SR K8.0 UPR. ABIERTO PLOMO.3/4  - TY 575907000</v>
          </cell>
        </row>
        <row r="4944">
          <cell r="A4944" t="str">
            <v>SPSR08U057BRLO</v>
          </cell>
          <cell r="B4944" t="str">
            <v>SPK.SR LO K8.1 UPR 57º BS 3/4GL 816413501</v>
          </cell>
        </row>
        <row r="4945">
          <cell r="A4945" t="str">
            <v>SPSR08U068BRLO-</v>
          </cell>
          <cell r="B4945" t="str">
            <v>SPK.SR LO K8.1 UPR 68º BS 3/4GL 816415501</v>
          </cell>
        </row>
        <row r="4946">
          <cell r="A4946" t="str">
            <v>SPSR08U074BR-00</v>
          </cell>
          <cell r="B4946" t="str">
            <v xml:space="preserve">SPK.SR K8.1 UPR 74º BS 3/4BI P/N 531011165 </v>
          </cell>
        </row>
        <row r="4947">
          <cell r="A4947" t="str">
            <v>SPSR08U074BR-BIM</v>
          </cell>
          <cell r="B4947" t="str">
            <v xml:space="preserve">SPK.SR K8.1 UPR 74º BS 1/2 BIM P/N 531061165 </v>
          </cell>
        </row>
        <row r="4948">
          <cell r="A4948" t="str">
            <v>SPSR08U079BRLO-</v>
          </cell>
          <cell r="B4948" t="str">
            <v>SPK.SR LO K8.1 UPR 79º BS 3/4GL 816417501</v>
          </cell>
        </row>
        <row r="4949">
          <cell r="A4949" t="str">
            <v>SPSR08U093BRLO-00</v>
          </cell>
          <cell r="B4949" t="str">
            <v>SPK.SR K8.1 UPR 93º BR LO 3/4 GL 816420001</v>
          </cell>
        </row>
        <row r="4950">
          <cell r="A4950" t="str">
            <v>SPSR08U141BR-00</v>
          </cell>
          <cell r="B4950" t="str">
            <v>SPK.SR K 8.0 UPR 141º BR 3/4TY 575901286</v>
          </cell>
        </row>
        <row r="4951">
          <cell r="A4951" t="str">
            <v>SPSR08U141BR-000</v>
          </cell>
          <cell r="B4951" t="str">
            <v>SPK.SR K 8.0 UPR 141º BR 3/4 GL816628601</v>
          </cell>
        </row>
        <row r="4952">
          <cell r="A4952" t="str">
            <v>SPSR08U141BR-1/2</v>
          </cell>
          <cell r="B4952" t="str">
            <v>SPK.SR K 8.0 UPR 141º BR 1/2 TY 575601286</v>
          </cell>
        </row>
        <row r="4953">
          <cell r="A4953" t="str">
            <v>SPSR08U141BRLO-</v>
          </cell>
          <cell r="B4953" t="str">
            <v xml:space="preserve">SPK.SR LO K8.1 UPR141º BS 3/4GL 816428601 </v>
          </cell>
        </row>
        <row r="4954">
          <cell r="A4954" t="str">
            <v>SPSR11H068BRECO</v>
          </cell>
          <cell r="B4954" t="str">
            <v>SPK.SR K:11,2 HSWL 68º BR. ECO GL</v>
          </cell>
        </row>
        <row r="4955">
          <cell r="A4955" t="str">
            <v>SPSR11P068BRECGL</v>
          </cell>
          <cell r="B4955" t="str">
            <v>SPK.SR K:11.2 PEN 68º BR.ECO 3/4 GL 111215501</v>
          </cell>
        </row>
        <row r="4956">
          <cell r="A4956" t="str">
            <v>SPSR11P068BRELO</v>
          </cell>
          <cell r="B4956" t="str">
            <v xml:space="preserve">SPK SR PEN BS ELO- 231B 68º K:11 P/N 505121155 </v>
          </cell>
        </row>
        <row r="4957">
          <cell r="A4957" t="str">
            <v>SPSR11P068CREC-</v>
          </cell>
          <cell r="B4957" t="str">
            <v xml:space="preserve">SPK.SR K:11.2 PEN 68º CR.EC TY 51-893-9-155 </v>
          </cell>
        </row>
        <row r="4958">
          <cell r="A4958" t="str">
            <v>SPSR11P068WHEC-</v>
          </cell>
          <cell r="B4958" t="str">
            <v>SPK.SR K:11,2 PEN 68º WH. ECO GL</v>
          </cell>
        </row>
        <row r="4959">
          <cell r="A4959" t="str">
            <v>SPSR11P074BRELO</v>
          </cell>
          <cell r="B4959" t="str">
            <v xml:space="preserve">SPK SR PEN BR ELO-231 74º K:11 PN: 501121165 </v>
          </cell>
        </row>
        <row r="4960">
          <cell r="A4960" t="str">
            <v>SPSR-11P074BRELO</v>
          </cell>
          <cell r="B4960" t="str">
            <v>SPK SR PEN BR ELO-231 74º K:11PN: 501121165</v>
          </cell>
        </row>
        <row r="4961">
          <cell r="A4961" t="str">
            <v>SPSR11P093BR</v>
          </cell>
          <cell r="B4961" t="str">
            <v>SPK SR K:11 PEND 93º BR 3/4  - TY 505121200</v>
          </cell>
        </row>
        <row r="4962">
          <cell r="A4962" t="str">
            <v>SPSR11P100BRELO</v>
          </cell>
          <cell r="B4962" t="str">
            <v>SPK SR PEN BS ELO231 100º K:11 P/N 501121212</v>
          </cell>
        </row>
        <row r="4963">
          <cell r="A4963" t="str">
            <v>SPSR11P141BRELO</v>
          </cell>
          <cell r="B4963" t="str">
            <v xml:space="preserve">SPK.SR K11.5 ELO PE 141º B 3/4 GL 116028601 </v>
          </cell>
        </row>
        <row r="4964">
          <cell r="A4964" t="str">
            <v>SPSR11P141BRELOTY</v>
          </cell>
          <cell r="B4964" t="str">
            <v xml:space="preserve">SPK SR PEN BS ELO231B 141º K:11 P/N 505121286            </v>
          </cell>
        </row>
        <row r="4965">
          <cell r="A4965" t="str">
            <v>SPSR11U068BRECO</v>
          </cell>
          <cell r="B4965" t="str">
            <v xml:space="preserve">SPK.SR K:11,2 UPR. 68º BR. ECO P/N 505101155 </v>
          </cell>
        </row>
        <row r="4966">
          <cell r="A4966" t="str">
            <v>SPSR11U068BRELO</v>
          </cell>
          <cell r="B4966" t="str">
            <v>SPK SR UP BS ELO231B 68º K:11 3/4</v>
          </cell>
        </row>
        <row r="4967">
          <cell r="A4967" t="str">
            <v>SPSR11U068BRELOLARGE</v>
          </cell>
          <cell r="B4967" t="str">
            <v>Spk ELO Large Drop SR K11,2 upright 68º bronce P/N504002155</v>
          </cell>
        </row>
        <row r="4968">
          <cell r="A4968" t="str">
            <v>SPSR11U074BRELO</v>
          </cell>
          <cell r="B4968" t="str">
            <v xml:space="preserve">SPK SR UPR BS ELO-231 74º K:11 P/N 501101165 </v>
          </cell>
        </row>
        <row r="4969">
          <cell r="A4969" t="str">
            <v>SPSR11U079BRELO</v>
          </cell>
          <cell r="B4969" t="str">
            <v xml:space="preserve">SPK SR UP BS ELO231 79º K:11 </v>
          </cell>
        </row>
        <row r="4970">
          <cell r="A4970" t="str">
            <v>SPSR11U093BRELOTY</v>
          </cell>
          <cell r="B4970" t="str">
            <v>SPK SR UPR BRONCE ELO231B 93º K:11 ¾ P/N 505101200</v>
          </cell>
        </row>
        <row r="4971">
          <cell r="A4971" t="str">
            <v>SPSR11U100BRELO</v>
          </cell>
          <cell r="B4971" t="str">
            <v>SPK SR UP BS ELO231 100º K:11 P/N 501101212</v>
          </cell>
        </row>
        <row r="4972">
          <cell r="A4972" t="str">
            <v>SPSR11U141BRELO</v>
          </cell>
          <cell r="B4972" t="str">
            <v>SPK.SR K11.5 ELO UP 141º B 3/4 GL 116728601</v>
          </cell>
        </row>
        <row r="4973">
          <cell r="A4973" t="str">
            <v>SPSR11U141BRELOTY</v>
          </cell>
          <cell r="B4973" t="str">
            <v>SPK SR UPR BRONCE ELO231B 141º K:11 ¾ P/N 505101286</v>
          </cell>
        </row>
        <row r="4974">
          <cell r="A4974" t="str">
            <v>SPSR14P074BRECO</v>
          </cell>
          <cell r="B4974" t="str">
            <v>SPK.SR PE.BR K:14 74ºV.ECO 3/4 RE GFRPV1B</v>
          </cell>
        </row>
        <row r="4975">
          <cell r="A4975" t="str">
            <v>SPSR14U074BRECO</v>
          </cell>
          <cell r="B4975" t="str">
            <v>SPK.SR UP.BR K:14 74ºV.ECO 3/4 RE GFRUV1B</v>
          </cell>
        </row>
        <row r="4976">
          <cell r="A4976" t="str">
            <v>SPSR17P074BR-DRY</v>
          </cell>
          <cell r="B4976" t="str">
            <v>SPK SR K:17 PEND. 74° ESFR DRY TYPE P/N 614411300</v>
          </cell>
        </row>
        <row r="4977">
          <cell r="A4977" t="str">
            <v>SPSR17P93BR-00</v>
          </cell>
          <cell r="B4977" t="str">
            <v>SPK.SR PEN BR K:17 93ºELO-231 P/N 518891200</v>
          </cell>
        </row>
        <row r="4978">
          <cell r="A4978" t="str">
            <v>SPSR17U068BR-00</v>
          </cell>
          <cell r="B4978" t="str">
            <v>SPK.SR UP BR K:17 68ºELO-231 P/N 518881155</v>
          </cell>
        </row>
        <row r="4979">
          <cell r="A4979" t="str">
            <v>SPSR17U068ULK</v>
          </cell>
          <cell r="B4979" t="str">
            <v>SPK.SR UP BR K:16.8 68 CMSA P/N 518871155</v>
          </cell>
        </row>
        <row r="4980">
          <cell r="A4980" t="str">
            <v>SPSR17U079BR-00</v>
          </cell>
          <cell r="B4980" t="str">
            <v>SPK.SR UP BRS K:17 79º 3/4</v>
          </cell>
        </row>
        <row r="4981">
          <cell r="A4981" t="str">
            <v>SPSR17U141BR-00</v>
          </cell>
          <cell r="B4981" t="str">
            <v>SPK.SR UP BR K:17 141 ºELO-231 P/N 518881286</v>
          </cell>
        </row>
        <row r="4982">
          <cell r="A4982" t="str">
            <v>SPSR17U93BR-00</v>
          </cell>
          <cell r="B4982" t="str">
            <v>SPK.SR UP BR K:17 93ºELO-231 P/N 518881200</v>
          </cell>
        </row>
        <row r="4983">
          <cell r="A4983" t="str">
            <v>SPSR2.8P68BR-00</v>
          </cell>
          <cell r="B4983" t="str">
            <v xml:space="preserve">SPK.SR K:2.8 PEN 68ºCBRONCE P/N 575311155 </v>
          </cell>
        </row>
        <row r="4984">
          <cell r="A4984" t="str">
            <v>SPSR28P000BRABI</v>
          </cell>
          <cell r="B4984" t="str">
            <v>SPK.SR PEN BR K2.8 ABIERTO 1/2 P/N 490261001</v>
          </cell>
        </row>
        <row r="4985">
          <cell r="A4985" t="str">
            <v>SPSR28P068RPL-0</v>
          </cell>
          <cell r="B4985" t="str">
            <v xml:space="preserve">SPK.SR K:2.8 PEN 68ºC REC.PLOM P/N 575317155 </v>
          </cell>
        </row>
        <row r="4986">
          <cell r="A4986" t="str">
            <v>SWP60401U-00000</v>
          </cell>
          <cell r="B4986" t="str">
            <v>PRESSURE SWICHT 27ON/40 MDR 11/6</v>
          </cell>
        </row>
        <row r="4987">
          <cell r="A4987" t="str">
            <v>torna</v>
          </cell>
          <cell r="B4987" t="str">
            <v>Eje bomba TD20D</v>
          </cell>
        </row>
        <row r="4988">
          <cell r="A4988" t="str">
            <v>TRIAN-COM</v>
          </cell>
          <cell r="B4988" t="str">
            <v>(INACTIVO)</v>
          </cell>
        </row>
        <row r="4989">
          <cell r="A4989" t="str">
            <v>TUERCAHEX5/8</v>
          </cell>
          <cell r="B4989" t="str">
            <v>TUEERCA HEX G2 NC 5/8 ZINC.</v>
          </cell>
        </row>
        <row r="4990">
          <cell r="A4990" t="str">
            <v>VEHICULO-000000</v>
          </cell>
          <cell r="B4990" t="str">
            <v xml:space="preserve">VEHICULO </v>
          </cell>
        </row>
        <row r="4991">
          <cell r="A4991" t="str">
            <v>VLACELERADOR-GL</v>
          </cell>
          <cell r="B4991" t="str">
            <v>ACCELERADOR DRY PIPE -GL 300465-2</v>
          </cell>
        </row>
        <row r="4992">
          <cell r="A4992" t="str">
            <v>VLACELERPACKAGE</v>
          </cell>
          <cell r="B4992" t="str">
            <v>ACELER PACKAGE DRY PIPE VALVE TY 523112002</v>
          </cell>
        </row>
        <row r="4993">
          <cell r="A4993" t="str">
            <v>VLALARHERR-000</v>
          </cell>
          <cell r="B4993" t="str">
            <v>kit de reparación válvula alarma PN-926301025</v>
          </cell>
        </row>
        <row r="4994">
          <cell r="A4994" t="str">
            <v>VLALARM04FLFL-0</v>
          </cell>
          <cell r="B4994" t="str">
            <v>VALV. ALARMA 4 AV-1-300 FL/FL - TY 522031013</v>
          </cell>
        </row>
        <row r="4995">
          <cell r="A4995" t="str">
            <v>VLALARM04FXG-00</v>
          </cell>
          <cell r="B4995" t="str">
            <v>VALV. ALARMA 4 MD.AV-1-300 FXG PN: 522031413</v>
          </cell>
        </row>
        <row r="4996">
          <cell r="A4996" t="str">
            <v>VLALARMA06FLFL-</v>
          </cell>
          <cell r="B4996" t="str">
            <v>VALVULA ALARMA UL/FM 6GR/FL TY 522031615</v>
          </cell>
        </row>
        <row r="4997">
          <cell r="A4997" t="str">
            <v>VLALARMA08GR/FL-00</v>
          </cell>
          <cell r="B4997" t="str">
            <v>VALVULA ALARMA UL/FM 8 GR/FL TY 522031816</v>
          </cell>
        </row>
        <row r="4998">
          <cell r="A4998" t="str">
            <v>VLALARMA08GR/GR-00</v>
          </cell>
          <cell r="B4998" t="str">
            <v>VALVULA ALARMA UL/FM 8 GR/GR TY 522031916</v>
          </cell>
        </row>
        <row r="4999">
          <cell r="A4999" t="str">
            <v>VLALARMA2M-0000</v>
          </cell>
          <cell r="B4999" t="str">
            <v>VALV. ALARMA UL/FM 21/2GR/GR TY 522031110</v>
          </cell>
        </row>
        <row r="5000">
          <cell r="A5000" t="str">
            <v>VLALIVIO-03-0000</v>
          </cell>
          <cell r="B5000" t="str">
            <v>Valvula de Alivio 3  Mod. 2050CLAVAL</v>
          </cell>
        </row>
        <row r="5001">
          <cell r="A5001" t="str">
            <v>VLALIVIO03-0000</v>
          </cell>
          <cell r="B5001" t="str">
            <v>VALVULA DE ALIVIO 3</v>
          </cell>
        </row>
        <row r="5002">
          <cell r="A5002" t="str">
            <v>VLALIVIO-04-0000</v>
          </cell>
          <cell r="B5002" t="str">
            <v>Valvula de Alivio 4  Mod. 2050CLAVAL</v>
          </cell>
        </row>
        <row r="5003">
          <cell r="A5003" t="str">
            <v>VLALIVIO04-0000</v>
          </cell>
          <cell r="B5003" t="str">
            <v>( INACTIVO )</v>
          </cell>
        </row>
        <row r="5004">
          <cell r="A5004" t="str">
            <v>VLALIVIO06-0000</v>
          </cell>
          <cell r="B5004" t="str">
            <v>VALVULA DE ALIVIO 6 Mod. 2050 - CLAVAL</v>
          </cell>
        </row>
        <row r="5005">
          <cell r="A5005" t="str">
            <v>VLALIVIO-06-0300</v>
          </cell>
          <cell r="B5005" t="str">
            <v>VALV. DE ALIVIO 6 Mod. 2050 - CLAVAL CLASE 300</v>
          </cell>
        </row>
        <row r="5006">
          <cell r="A5006" t="str">
            <v>VLALIVIO08-0000</v>
          </cell>
          <cell r="B5006" t="str">
            <v>VALVULA DE ALIVIO 8</v>
          </cell>
        </row>
        <row r="5007">
          <cell r="A5007" t="str">
            <v>VLALIVIO0C-0000</v>
          </cell>
          <cell r="B5007" t="str">
            <v xml:space="preserve">VALVULA ALIVIO PRESION DE BRONCE 1/4 </v>
          </cell>
        </row>
        <row r="5008">
          <cell r="A5008" t="str">
            <v>VLALIVIO0M-0000</v>
          </cell>
          <cell r="B5008" t="str">
            <v>VALVULA DE ALIVIO 1/2</v>
          </cell>
        </row>
        <row r="5009">
          <cell r="A5009" t="str">
            <v>VLALIVIOAIRE0M</v>
          </cell>
          <cell r="B5009" t="str">
            <v>ANULADO</v>
          </cell>
        </row>
        <row r="5010">
          <cell r="A5010" t="str">
            <v>VLALIVIOAIRE0M-</v>
          </cell>
          <cell r="B5010" t="str">
            <v>VALVULA VENTEO DE AIRE 1/2 WEILONG</v>
          </cell>
        </row>
        <row r="5011">
          <cell r="A5011" t="str">
            <v>VLALIVREGW0M-00</v>
          </cell>
          <cell r="B5011" t="str">
            <v xml:space="preserve">VAL DE ALIVIO 1/2REGUL.WATTS </v>
          </cell>
        </row>
        <row r="5012">
          <cell r="A5012" t="str">
            <v>VLANG01-0000000</v>
          </cell>
          <cell r="B5012" t="str">
            <v>VALVULA DE ANGULO 1</v>
          </cell>
        </row>
        <row r="5013">
          <cell r="A5013" t="str">
            <v>VLANG-020000-000</v>
          </cell>
          <cell r="B5013" t="str">
            <v>( INACTIVO )</v>
          </cell>
        </row>
        <row r="5014">
          <cell r="A5014" t="str">
            <v>VLANG02-0000000</v>
          </cell>
          <cell r="B5014" t="str">
            <v>VALVULA DE ANGULO 2</v>
          </cell>
        </row>
        <row r="5015">
          <cell r="A5015" t="str">
            <v>VLANG1C-0000000</v>
          </cell>
          <cell r="B5015" t="str">
            <v>VALVULA DE ANGULO 11/4</v>
          </cell>
        </row>
        <row r="5016">
          <cell r="A5016" t="str">
            <v>VLANG1M-0000000</v>
          </cell>
          <cell r="B5016" t="str">
            <v>VALVULA DE ANGULO 11/2</v>
          </cell>
        </row>
        <row r="5017">
          <cell r="A5017" t="str">
            <v>VLANG2M-0000000</v>
          </cell>
          <cell r="B5017" t="str">
            <v>VALVULA DE ANGULO 21/2</v>
          </cell>
        </row>
        <row r="5018">
          <cell r="A5018" t="str">
            <v>VLANGHE1M-00000</v>
          </cell>
          <cell r="B5018" t="str">
            <v xml:space="preserve">VALVULA DE ANGULO 11/2HE </v>
          </cell>
        </row>
        <row r="5019">
          <cell r="A5019" t="str">
            <v>VLANGPOK1M-00000</v>
          </cell>
          <cell r="B5019" t="str">
            <v>VALVULA DE ANGULO POK 11/2</v>
          </cell>
        </row>
        <row r="5020">
          <cell r="A5020" t="str">
            <v>VLANGRP1M-00000</v>
          </cell>
          <cell r="B5020" t="str">
            <v xml:space="preserve">VALVULA ANGULO BRONCE HI 11/2 C/R.PRECION </v>
          </cell>
        </row>
        <row r="5021">
          <cell r="A5021" t="str">
            <v>VLANGRP2M-00000</v>
          </cell>
          <cell r="B5021" t="str">
            <v xml:space="preserve">VALVULA ANGULO BRONCE HI 21/2 C/R.PRECION </v>
          </cell>
        </row>
        <row r="5022">
          <cell r="A5022" t="str">
            <v>VLATAPACADEHE2M</v>
          </cell>
          <cell r="B5022" t="str">
            <v xml:space="preserve">TAPA Y CADENA 21/2HE </v>
          </cell>
        </row>
        <row r="5023">
          <cell r="A5023" t="str">
            <v>VLATAPACADENA1M</v>
          </cell>
          <cell r="B5023" t="str">
            <v>TAPA Y CADENA 11/2</v>
          </cell>
        </row>
        <row r="5024">
          <cell r="A5024" t="str">
            <v>VLATAPACADENA2M</v>
          </cell>
          <cell r="B5024" t="str">
            <v xml:space="preserve">TAPA Y CADENA 21/2HI </v>
          </cell>
        </row>
        <row r="5025">
          <cell r="A5025" t="str">
            <v>VLAUTDRAIN1/2-000</v>
          </cell>
          <cell r="B5025" t="str">
            <v>VALV.AUT &amp; DRAIN 1/2 527933004</v>
          </cell>
        </row>
        <row r="5026">
          <cell r="A5026" t="str">
            <v>VLBALLRFFL-1X1-CL150</v>
          </cell>
          <cell r="B5026" t="str">
            <v>BALL VALVE RFF 1X1 CLASS 150 LBS. A105-17-4PH/HVOF-BARE STEM</v>
          </cell>
        </row>
        <row r="5027">
          <cell r="A5027" t="str">
            <v>VLBALLRFFL-2X2-CL150</v>
          </cell>
          <cell r="B5027" t="str">
            <v>BALL VALVE RFF 2X2 CLASS 150 LBS A105-17-4PH/HVOF CCC -BARE</v>
          </cell>
        </row>
        <row r="5028">
          <cell r="A5028" t="str">
            <v>VLBALLRFFL-3X3-CL150</v>
          </cell>
          <cell r="B5028" t="str">
            <v xml:space="preserve">BALL VALVE RFF 3X3 CLASS 150 LBS A105-17-4PH/HVOF CCC </v>
          </cell>
        </row>
        <row r="5029">
          <cell r="A5029" t="str">
            <v>VLBALLRFFL-4X4-CL150</v>
          </cell>
          <cell r="B5029" t="str">
            <v xml:space="preserve">BALL VALVE RFF 4X4 CLASS 150 LBS A105-17-4PH/HVOF CCC </v>
          </cell>
        </row>
        <row r="5030">
          <cell r="A5030" t="str">
            <v>VLBALLRFL-1.87X2-CL9</v>
          </cell>
          <cell r="B5030" t="str">
            <v xml:space="preserve">BALL VALVE RFF 1.87X2 CLASS 900 LBS A105-17-4PH/HVOF CCC </v>
          </cell>
        </row>
        <row r="5031">
          <cell r="A5031" t="str">
            <v>VLBALLRFL-10.81X12-9</v>
          </cell>
          <cell r="B5031" t="str">
            <v>BALL VALVE RFF 10.81X12 CLASS 900 LBS A105-17-4PH/HVOF CCC</v>
          </cell>
        </row>
        <row r="5032">
          <cell r="A5032" t="str">
            <v>VLBALLRFL10X10-CL300</v>
          </cell>
          <cell r="B5032" t="str">
            <v xml:space="preserve">BALL VALVE RFF 10X10 CLASS 300 LBS A105-17-4PH/HVOF CCC </v>
          </cell>
        </row>
        <row r="5033">
          <cell r="A5033" t="str">
            <v>VLBALLRFL-11.06X12</v>
          </cell>
          <cell r="B5033" t="str">
            <v>BALL VALVE RFF 11.06X12 CLASS 300 LBS A105-17-4PH/HVOF CCC</v>
          </cell>
        </row>
        <row r="5034">
          <cell r="A5034" t="str">
            <v>VLBALLRFL-11.12X12-9</v>
          </cell>
          <cell r="B5034" t="str">
            <v>BALL VALVE RFF 11.12X12 CLASS 900 LBS A105-17-4PH/HVOF CCC</v>
          </cell>
        </row>
        <row r="5035">
          <cell r="A5035" t="str">
            <v>VLBALLRFL-12X12-CL3</v>
          </cell>
          <cell r="B5035" t="str">
            <v>BALL VALVE RFF 12X12 CLASS 300 LBS A105-17-4PH/HVOF CCC</v>
          </cell>
        </row>
        <row r="5036">
          <cell r="A5036" t="str">
            <v>VLBALLRFL-2.25X2.25</v>
          </cell>
          <cell r="B5036" t="str">
            <v xml:space="preserve">BALL VALVE RFF 2.25X2.25 CLASS 900 LBS A105-17-4PH/HVOF CCC </v>
          </cell>
        </row>
        <row r="5037">
          <cell r="A5037" t="str">
            <v>VLBALLRFL-2.5X2.5-00</v>
          </cell>
          <cell r="B5037" t="str">
            <v xml:space="preserve">BALL VALVE RFF 2.5X2.5 CLASS 300 LBS A105-17-4PH/HVOF CCC </v>
          </cell>
        </row>
        <row r="5038">
          <cell r="A5038" t="str">
            <v>VLBALLRFL-2.5X2.5-CL</v>
          </cell>
          <cell r="B5038" t="str">
            <v>BALL VALVE RFF 2.5X2.5 CLASS 150 LBS A105-17-4PH/HVOF</v>
          </cell>
        </row>
        <row r="5039">
          <cell r="A5039" t="str">
            <v>VLBALLRFL-2.87X3-CL9</v>
          </cell>
          <cell r="B5039" t="str">
            <v>BALL VALVE RFF 2.87X3 CLASS 900 LBS A105-17-4PH/HVOF CCC</v>
          </cell>
        </row>
        <row r="5040">
          <cell r="A5040" t="str">
            <v>VLBALLRFL-3.87X4-CL9</v>
          </cell>
          <cell r="B5040" t="str">
            <v>BALL VALVE RFF 3.87X4 CLASS 900 LBS A105-17-4PH/HVOF CCC</v>
          </cell>
        </row>
        <row r="5041">
          <cell r="A5041" t="str">
            <v>VLBALLRFL-3X3-CL300</v>
          </cell>
          <cell r="B5041" t="str">
            <v xml:space="preserve">BALL VALVE RFF 3X3 CLASS 300 LBS A105-17-4PH/HVOF CCC </v>
          </cell>
        </row>
        <row r="5042">
          <cell r="A5042" t="str">
            <v>VLBALLRFL-4X4-CL300</v>
          </cell>
          <cell r="B5042" t="str">
            <v xml:space="preserve">BALL VALVE RFF 4X24CLASS 300 LBS A105-17-4PH/HVOF CCC </v>
          </cell>
        </row>
        <row r="5043">
          <cell r="A5043" t="str">
            <v>VLBALLRFL-4X4-CL600</v>
          </cell>
          <cell r="B5043" t="str">
            <v xml:space="preserve">BALL VALVE RFF 4X4 CLASS 600 LBS A105-17-4PH/HVOF CCC </v>
          </cell>
        </row>
        <row r="5044">
          <cell r="A5044" t="str">
            <v>VLBALLRFL-4X4-CL900</v>
          </cell>
          <cell r="B5044" t="str">
            <v xml:space="preserve"> BALL VALVE RFF 4X4 CLASS 900 LBS A105-17-4PH/HVOF CCC</v>
          </cell>
        </row>
        <row r="5045">
          <cell r="A5045" t="str">
            <v>VLBALLRFL-5.76X6-CL9</v>
          </cell>
          <cell r="B5045" t="str">
            <v>BALL VALVE RFF 5.76X6 CLASS 900 LBS A105-17-4PH/HVOF CCC</v>
          </cell>
        </row>
        <row r="5046">
          <cell r="A5046" t="str">
            <v>VLBALLRFL-9.37X10-CL</v>
          </cell>
          <cell r="B5046" t="str">
            <v>BALL VALVE RFF 9.37X10 CLASS 900 LBS A105-17-4PH/HVOF CCC</v>
          </cell>
        </row>
        <row r="5047">
          <cell r="A5047" t="str">
            <v>VLBOROS01-00000</v>
          </cell>
          <cell r="B5047" t="str">
            <v>VALVULA DE BOLA ROSCADA 1</v>
          </cell>
        </row>
        <row r="5048">
          <cell r="A5048" t="str">
            <v>VLBOROS01C-0000</v>
          </cell>
          <cell r="B5048" t="str">
            <v>VALVULA DE BOLA ROSCADA 11/4</v>
          </cell>
        </row>
        <row r="5049">
          <cell r="A5049" t="str">
            <v>VLBOROS02-00000</v>
          </cell>
          <cell r="B5049" t="str">
            <v>VALVULA DE BOLA ROSCADA 2</v>
          </cell>
        </row>
        <row r="5050">
          <cell r="A5050" t="str">
            <v>VLBOROS0C-00000</v>
          </cell>
          <cell r="B5050" t="str">
            <v>VALVULA DE BOLA ROSCADA 1/4</v>
          </cell>
        </row>
        <row r="5051">
          <cell r="A5051" t="str">
            <v>VLBOROS0M-00000</v>
          </cell>
          <cell r="B5051" t="str">
            <v>VALVULA DE BOLA ROSCADA 1/2</v>
          </cell>
        </row>
        <row r="5052">
          <cell r="A5052" t="str">
            <v>VLBOROS0T-00000</v>
          </cell>
          <cell r="B5052" t="str">
            <v>VALVULA DE BOLA ROSCADA 3/4</v>
          </cell>
        </row>
        <row r="5053">
          <cell r="A5053" t="str">
            <v>VLBOROS1M-00000</v>
          </cell>
          <cell r="B5053" t="str">
            <v>VALVULA DE BOLA ROSCADA 11/2</v>
          </cell>
        </row>
        <row r="5054">
          <cell r="A5054" t="str">
            <v>VLCAMARARET-00</v>
          </cell>
          <cell r="B5054" t="str">
            <v>( INACTIVO )</v>
          </cell>
        </row>
        <row r="5055">
          <cell r="A5055" t="str">
            <v>VLCAMARARET-000</v>
          </cell>
          <cell r="B5055" t="str">
            <v>CAMARA DE RETARDO TY 522111002</v>
          </cell>
        </row>
        <row r="5056">
          <cell r="A5056" t="str">
            <v>VLCK2GR04-00000</v>
          </cell>
          <cell r="B5056" t="str">
            <v>VALV.CHECK WAFER 2 DOOR UL 4WE</v>
          </cell>
        </row>
        <row r="5057">
          <cell r="A5057" t="str">
            <v>VLCK2GR06-00000</v>
          </cell>
          <cell r="B5057" t="str">
            <v>VALV.CHECK WAFER 2 DOOR UL 6WE</v>
          </cell>
        </row>
        <row r="5058">
          <cell r="A5058" t="str">
            <v>VLCK2GR08-00000</v>
          </cell>
          <cell r="B5058" t="str">
            <v>VALV.CHECK WAFER 2 DOOR UL 8</v>
          </cell>
        </row>
        <row r="5059">
          <cell r="A5059" t="str">
            <v>VLCK2GR10-00000</v>
          </cell>
          <cell r="B5059" t="str">
            <v>VALV.CHECK WAFER 2 DOOR UL 10</v>
          </cell>
        </row>
        <row r="5060">
          <cell r="A5060" t="str">
            <v>VLCKADM-02-00</v>
          </cell>
          <cell r="B5060" t="str">
            <v>VALVULA CHECK SWING DE 2 UL-FM A.D.M.</v>
          </cell>
        </row>
        <row r="5061">
          <cell r="A5061" t="str">
            <v>VLCKADM-06-00</v>
          </cell>
          <cell r="B5061" t="str">
            <v>VALVULA CHECK SWING DE 6 UL-FM A.D.M.</v>
          </cell>
        </row>
        <row r="5062">
          <cell r="A5062" t="str">
            <v>VLCKADM-08-00</v>
          </cell>
          <cell r="B5062" t="str">
            <v>VALVULA CHECK SWING DE 8 UL-FM A.D.M.</v>
          </cell>
        </row>
        <row r="5063">
          <cell r="A5063" t="str">
            <v>VLCKADM-21/2-00</v>
          </cell>
          <cell r="B5063" t="str">
            <v>VALVULA CHECK SWING DE 2 1/2 UL-FM A.D.M.</v>
          </cell>
        </row>
        <row r="5064">
          <cell r="A5064" t="str">
            <v>VLCKBACKPREVE08</v>
          </cell>
          <cell r="B5064" t="str">
            <v xml:space="preserve">VALV. BACKFLOW PREVENTOR UL/FM </v>
          </cell>
        </row>
        <row r="5065">
          <cell r="A5065" t="str">
            <v>VLCKFL06-000000</v>
          </cell>
          <cell r="B5065" t="str">
            <v>VALV.CHECK FLANGEADA UL/FM 6</v>
          </cell>
        </row>
        <row r="5066">
          <cell r="A5066" t="str">
            <v>VLCKGR02</v>
          </cell>
          <cell r="B5066" t="str">
            <v xml:space="preserve">VALV.CHECK GR.MOD.RCV UL/FM 2 </v>
          </cell>
        </row>
        <row r="5067">
          <cell r="A5067" t="str">
            <v>VLCKGR02-APC</v>
          </cell>
          <cell r="B5067" t="str">
            <v xml:space="preserve">VALV.CHECK GR.MOD.RCV UL/FM 2 </v>
          </cell>
        </row>
        <row r="5068">
          <cell r="A5068" t="str">
            <v>VLCKGR02-BR</v>
          </cell>
          <cell r="B5068" t="str">
            <v xml:space="preserve">VALV.CHECK GR.MOD.RCV UL/FM 2 </v>
          </cell>
        </row>
        <row r="5069">
          <cell r="A5069" t="str">
            <v>VLCKGR02-LD</v>
          </cell>
          <cell r="B5069" t="str">
            <v>VALV.CHECK GR.MOD.RCV UL/FM 2 LEDE</v>
          </cell>
        </row>
        <row r="5070">
          <cell r="A5070" t="str">
            <v>VLCKGR03-000000</v>
          </cell>
          <cell r="B5070" t="str">
            <v xml:space="preserve">VALV.CHECK GR.MOD.RCV UL/FM 3 </v>
          </cell>
        </row>
        <row r="5071">
          <cell r="A5071" t="str">
            <v>VLCKGR03-APC</v>
          </cell>
          <cell r="B5071" t="str">
            <v>VALV.CHECK GR. RCV UL/FM 3</v>
          </cell>
        </row>
        <row r="5072">
          <cell r="A5072" t="str">
            <v>VLCKGR03-BR</v>
          </cell>
          <cell r="B5072" t="str">
            <v xml:space="preserve">VALV.CHECK GR.MOD.RCV UL/FM 3 </v>
          </cell>
        </row>
        <row r="5073">
          <cell r="A5073" t="str">
            <v>VLCKGR03-EMI</v>
          </cell>
          <cell r="B5073" t="str">
            <v>VALV.CHECK GR.MOD.RCV UL/FM 3</v>
          </cell>
        </row>
        <row r="5074">
          <cell r="A5074" t="str">
            <v>VLCKGR03-LD</v>
          </cell>
          <cell r="B5074" t="str">
            <v>VALV.CHECK GR.MOD.RCV UL/FM 3 LEDE</v>
          </cell>
        </row>
        <row r="5075">
          <cell r="A5075" t="str">
            <v>VLCKGR04-000000</v>
          </cell>
          <cell r="B5075" t="str">
            <v xml:space="preserve">VALV.CHECK GR.MOD.RCV UL/FM 4 </v>
          </cell>
        </row>
        <row r="5076">
          <cell r="A5076" t="str">
            <v>VLCKGR04-APC</v>
          </cell>
          <cell r="B5076" t="str">
            <v>VALV.CHECK GR. RCV UL/FM 4</v>
          </cell>
        </row>
        <row r="5077">
          <cell r="A5077" t="str">
            <v>VLCKGR04-BR</v>
          </cell>
          <cell r="B5077" t="str">
            <v xml:space="preserve">VALV.CHECK GR.MOD.RCV UL/FM 4 </v>
          </cell>
        </row>
        <row r="5078">
          <cell r="A5078" t="str">
            <v>VLCKGR04-EMI</v>
          </cell>
          <cell r="B5078" t="str">
            <v>VALV.CHECK GR.MOD.RCV UL/FM 4</v>
          </cell>
        </row>
        <row r="5079">
          <cell r="A5079" t="str">
            <v>VLCKGR04-LD</v>
          </cell>
          <cell r="B5079" t="str">
            <v>VALV.CHECK GR.MOD.RCV UL/FM 4 LEDE</v>
          </cell>
        </row>
        <row r="5080">
          <cell r="A5080" t="str">
            <v>VLCKGR06-000000</v>
          </cell>
          <cell r="B5080" t="str">
            <v xml:space="preserve">VALV.CHECK GR.MOD.RCV UL/FM 6 </v>
          </cell>
        </row>
        <row r="5081">
          <cell r="A5081" t="str">
            <v>VLCKGR06-APC</v>
          </cell>
          <cell r="B5081" t="str">
            <v>VALV.CHECK GR. RCV UL/FM 6</v>
          </cell>
        </row>
        <row r="5082">
          <cell r="A5082" t="str">
            <v>VLCKGR06-BR</v>
          </cell>
          <cell r="B5082" t="str">
            <v xml:space="preserve">VALV.CHECK GR.MOD.RCV UL/FM 6 </v>
          </cell>
        </row>
        <row r="5083">
          <cell r="A5083" t="str">
            <v>VLCKGR06-EMI</v>
          </cell>
          <cell r="B5083" t="str">
            <v>VALV.CHECK GR.MOD.RCV UL/FM 6</v>
          </cell>
        </row>
        <row r="5084">
          <cell r="A5084" t="str">
            <v>VLCKGR06-LD</v>
          </cell>
          <cell r="B5084" t="str">
            <v>VALV.CHECK GR.MOD.RCV UL/FM 6 LEDE</v>
          </cell>
        </row>
        <row r="5085">
          <cell r="A5085" t="str">
            <v>VLCKGR08-000000</v>
          </cell>
          <cell r="B5085" t="str">
            <v>VALV.CHECK GR.MOD.RCV UL/FM 8</v>
          </cell>
        </row>
        <row r="5086">
          <cell r="A5086" t="str">
            <v>VLCKGR08-APC</v>
          </cell>
          <cell r="B5086" t="str">
            <v>VALV.CHECK GR. RCV UL/FM 8</v>
          </cell>
        </row>
        <row r="5087">
          <cell r="A5087" t="str">
            <v>VLCKGR08-BR</v>
          </cell>
          <cell r="B5087" t="str">
            <v>VALV.CHECK GR.MOD.RCV UL/FM 8</v>
          </cell>
        </row>
        <row r="5088">
          <cell r="A5088" t="str">
            <v>VLCKGR08-EMI</v>
          </cell>
          <cell r="B5088" t="str">
            <v>VALV.CHECK GR.MOD.RCV UL/FM 8</v>
          </cell>
        </row>
        <row r="5089">
          <cell r="A5089" t="str">
            <v>VLCKGR08-LD</v>
          </cell>
          <cell r="B5089" t="str">
            <v>VALV.CHECK GR.MOD.RCV UL/FM 8 LEDE</v>
          </cell>
        </row>
        <row r="5090">
          <cell r="A5090" t="str">
            <v>VLCKGR10-000000</v>
          </cell>
          <cell r="B5090" t="str">
            <v>VALV.CHECK GR.MOD.RCVUL/FM 10</v>
          </cell>
        </row>
        <row r="5091">
          <cell r="A5091" t="str">
            <v>VLCKGR10-LD</v>
          </cell>
          <cell r="B5091" t="str">
            <v>VALV.CHECK GR.MOD.RCV UL/FM 10 LEDE</v>
          </cell>
        </row>
        <row r="5092">
          <cell r="A5092" t="str">
            <v>VLCKGR1M-000000</v>
          </cell>
          <cell r="B5092" t="str">
            <v>VAL.CHECK GR. RCV UL/FM 11/2</v>
          </cell>
        </row>
        <row r="5093">
          <cell r="A5093" t="str">
            <v>VLCK-GR2M-0000</v>
          </cell>
          <cell r="B5093" t="str">
            <v>Valv.Check Gr. RCV UL/FM 21/2 GL 321533</v>
          </cell>
        </row>
        <row r="5094">
          <cell r="A5094" t="str">
            <v>VLCKGR2M-000000</v>
          </cell>
          <cell r="B5094" t="str">
            <v xml:space="preserve">VALV.CHECK GR. RCV UL/FM 21/2 </v>
          </cell>
        </row>
        <row r="5095">
          <cell r="A5095" t="str">
            <v>VLCKGR2M-APC</v>
          </cell>
          <cell r="B5095" t="str">
            <v xml:space="preserve">VALV.CHECK GR. RCV UL/FM 21/2 </v>
          </cell>
        </row>
        <row r="5096">
          <cell r="A5096" t="str">
            <v>VLCK-GR2M-BR</v>
          </cell>
          <cell r="B5096" t="str">
            <v>Valv.Check Gr. UL/FM 21/2</v>
          </cell>
        </row>
        <row r="5097">
          <cell r="A5097" t="str">
            <v>VLCKGR2M-LD</v>
          </cell>
          <cell r="B5097" t="str">
            <v>VALV.CHECK GR. RCV UL/FM 21/2 LEDE</v>
          </cell>
        </row>
        <row r="5098">
          <cell r="A5098" t="str">
            <v>VLCKGRBRASS0M-0</v>
          </cell>
          <cell r="B5098" t="str">
            <v xml:space="preserve">VALV.CHECK BR.1/2CON ORIF </v>
          </cell>
        </row>
        <row r="5099">
          <cell r="A5099" t="str">
            <v>VLCKGRSHT02-APC</v>
          </cell>
          <cell r="B5099" t="str">
            <v xml:space="preserve">VALV.CHECK SHOTGUN 2 GR. </v>
          </cell>
        </row>
        <row r="5100">
          <cell r="A5100" t="str">
            <v>VLCKGRSHT03-APC</v>
          </cell>
          <cell r="B5100" t="str">
            <v>VALV.CHECK SHOTGUN 3  GR.</v>
          </cell>
        </row>
        <row r="5101">
          <cell r="A5101" t="str">
            <v>VLCKGRSHT04-APC</v>
          </cell>
          <cell r="B5101" t="str">
            <v>VALV.CHECK SHOTGUN 4  GR.</v>
          </cell>
        </row>
        <row r="5102">
          <cell r="A5102" t="str">
            <v>VLCKGRSHT06-APC</v>
          </cell>
          <cell r="B5102" t="str">
            <v>VALV.CHECK SHOTGUN 6  GR.</v>
          </cell>
        </row>
        <row r="5103">
          <cell r="A5103" t="str">
            <v>VLCKGRSHT08-APC</v>
          </cell>
          <cell r="B5103" t="str">
            <v xml:space="preserve">VALV.CHECK SHOTGUN 8 GR. </v>
          </cell>
        </row>
        <row r="5104">
          <cell r="A5104" t="str">
            <v>VLCKGRSHT2M-APC</v>
          </cell>
          <cell r="B5104" t="str">
            <v>VALV.CHECK SHOTGUN 21/2 GR.</v>
          </cell>
        </row>
        <row r="5105">
          <cell r="A5105" t="str">
            <v>VLCKGRSHTG02-00</v>
          </cell>
          <cell r="B5105" t="str">
            <v>VALV.CHECK SHOTGUN 2GR. GL 321526-S</v>
          </cell>
        </row>
        <row r="5106">
          <cell r="A5106" t="str">
            <v>VLCKGRSHTG03-00</v>
          </cell>
          <cell r="B5106" t="str">
            <v>VALV.CHECK SHOTGUN 3GR. GL 321539-S</v>
          </cell>
        </row>
        <row r="5107">
          <cell r="A5107" t="str">
            <v>VLCK-GRSHTG-04</v>
          </cell>
          <cell r="B5107" t="str">
            <v>Valv.Check Shotgun 4  Gr.GL 321547-S</v>
          </cell>
        </row>
        <row r="5108">
          <cell r="A5108" t="str">
            <v>VLCKGRSHTG04-00</v>
          </cell>
          <cell r="B5108" t="str">
            <v>VALV.CHECK SHOTGUN 4GR. GL 321547-S</v>
          </cell>
        </row>
        <row r="5109">
          <cell r="A5109" t="str">
            <v>VLCKGRSHTG04TY-</v>
          </cell>
          <cell r="B5109" t="str">
            <v xml:space="preserve">VALV.CHECK SHOTGUN 4GR. TYCO TY 59-590-1-040 </v>
          </cell>
        </row>
        <row r="5110">
          <cell r="A5110" t="str">
            <v>VLCK-GRSHTG-06</v>
          </cell>
          <cell r="B5110" t="str">
            <v>Valv.Check Shotgun 6  Gr.GL 321557-S</v>
          </cell>
        </row>
        <row r="5111">
          <cell r="A5111" t="str">
            <v>VLCKGRSHTG06-00</v>
          </cell>
          <cell r="B5111" t="str">
            <v>VALV.CHECK SHOTGUN 6GR. GL 321557S</v>
          </cell>
        </row>
        <row r="5112">
          <cell r="A5112" t="str">
            <v>VLCKGRSHTG08-00</v>
          </cell>
          <cell r="B5112" t="str">
            <v xml:space="preserve">VALV.CHECK SHOTGUN 8GR. </v>
          </cell>
        </row>
        <row r="5113">
          <cell r="A5113" t="str">
            <v>VLCKGRSHTG2M-00</v>
          </cell>
          <cell r="B5113" t="str">
            <v>VALV.CHECK SHOTGUN 21/2GR. 321533-S</v>
          </cell>
        </row>
        <row r="5114">
          <cell r="A5114" t="str">
            <v>VLCKGRTY-00</v>
          </cell>
          <cell r="B5114" t="str">
            <v>VALV.CHECK GR. 6 CV-1F TYCO P/N59-590-0-060</v>
          </cell>
        </row>
        <row r="5115">
          <cell r="A5115" t="str">
            <v>VLCKROS01-00000</v>
          </cell>
          <cell r="B5115" t="str">
            <v>VALV.CHECK ROSCADA 1</v>
          </cell>
        </row>
        <row r="5116">
          <cell r="A5116" t="str">
            <v>VLCKROS02-00000</v>
          </cell>
          <cell r="B5116" t="str">
            <v>VALV.CHECK ROSCADA 2</v>
          </cell>
        </row>
        <row r="5117">
          <cell r="A5117" t="str">
            <v>VLCKROS0M-00000</v>
          </cell>
          <cell r="B5117" t="str">
            <v>VALV.CHECK ROSCADA 1/2</v>
          </cell>
        </row>
        <row r="5118">
          <cell r="A5118" t="str">
            <v>VLCKROS0T-00000</v>
          </cell>
          <cell r="B5118" t="str">
            <v>VALV.CHECK ROSCADA 3/4</v>
          </cell>
        </row>
        <row r="5119">
          <cell r="A5119" t="str">
            <v>VLCKROS1C-00000</v>
          </cell>
          <cell r="B5119" t="str">
            <v>VALV.CHECK ROSCADA 11/4</v>
          </cell>
        </row>
        <row r="5120">
          <cell r="A5120" t="str">
            <v>VLCKROS1M-00000</v>
          </cell>
          <cell r="B5120" t="str">
            <v>VALV.CHECK ROSCADA 11/2</v>
          </cell>
        </row>
        <row r="5121">
          <cell r="A5121" t="str">
            <v>VLCKROS2M-00000</v>
          </cell>
          <cell r="B5121" t="str">
            <v>VALV.CHECK ROSCADA UL/FM 21/2</v>
          </cell>
        </row>
        <row r="5122">
          <cell r="A5122" t="str">
            <v>VLCKSHUTOFFASV1</v>
          </cell>
          <cell r="B5122" t="str">
            <v xml:space="preserve">VALVULA SHUT OFF 1/2ASV-1 TY 92-343-1-021 </v>
          </cell>
        </row>
        <row r="5123">
          <cell r="A5123" t="str">
            <v>VLCKWF06-0000</v>
          </cell>
          <cell r="B5123" t="str">
            <v>VALV.CHECK WAFER UL/FM 6</v>
          </cell>
        </row>
        <row r="5124">
          <cell r="A5124" t="str">
            <v>VLDL02-00000000</v>
          </cell>
          <cell r="B5124" t="str">
            <v>( INACTIVO )</v>
          </cell>
        </row>
        <row r="5125">
          <cell r="A5125" t="str">
            <v>VLDL1M-00000000</v>
          </cell>
          <cell r="B5125" t="str">
            <v xml:space="preserve">VALV.DILUVIO UL/FM 11/2GR/GR TY 524771919 </v>
          </cell>
        </row>
        <row r="5126">
          <cell r="A5126" t="str">
            <v>VLDLDIAFRAGMA02</v>
          </cell>
          <cell r="B5126" t="str">
            <v>DIAFRAGMA PARA DV-5 2</v>
          </cell>
        </row>
        <row r="5127">
          <cell r="A5127" t="str">
            <v>VLDLDIAFRAGMA03</v>
          </cell>
          <cell r="B5127" t="str">
            <v>DIAFRAGMA PARA DV-5 3</v>
          </cell>
        </row>
        <row r="5128">
          <cell r="A5128" t="str">
            <v>VLDLDIAFRAGMA04</v>
          </cell>
          <cell r="B5128" t="str">
            <v>DIAFRAGMA PARA4</v>
          </cell>
        </row>
        <row r="5129">
          <cell r="A5129" t="str">
            <v>VLDLDIAFRAGMA06</v>
          </cell>
          <cell r="B5129" t="str">
            <v>DIAFRAGMA VALV. DIL. 6 MOD 924771103</v>
          </cell>
        </row>
        <row r="5130">
          <cell r="A5130" t="str">
            <v>VLDLDP1-0000000</v>
          </cell>
          <cell r="B5130" t="str">
            <v xml:space="preserve">DISPARADOR NEUMATICO DP-1 TY 522801001P </v>
          </cell>
        </row>
        <row r="5131">
          <cell r="A5131" t="str">
            <v>VLDLFLFL03-0000</v>
          </cell>
          <cell r="B5131" t="str">
            <v>VALV.DILUVIO FL/FL UL/FM 3TY 524771012</v>
          </cell>
        </row>
        <row r="5132">
          <cell r="A5132" t="str">
            <v>VLDLFLFL04-0000</v>
          </cell>
          <cell r="B5132" t="str">
            <v>VALV.DILUVIO FL/FL UL/FM 4 PN 524771013</v>
          </cell>
        </row>
        <row r="5133">
          <cell r="A5133" t="str">
            <v>VLDLFLFL06-0000</v>
          </cell>
          <cell r="B5133" t="str">
            <v>VALV.DILUVIO FL/FL UL/FM 6 PN 524771015</v>
          </cell>
        </row>
        <row r="5134">
          <cell r="A5134" t="str">
            <v>VLDLFLFL08-0000</v>
          </cell>
          <cell r="B5134" t="str">
            <v xml:space="preserve">VALV.DILUVIO FL/GR UL/FM 8TY 524771416 </v>
          </cell>
        </row>
        <row r="5135">
          <cell r="A5135" t="str">
            <v>VLDLFLGR03-0000</v>
          </cell>
          <cell r="B5135" t="str">
            <v>VALV.DILUVIO FL/GR UL/FM 3 TY 524771412</v>
          </cell>
        </row>
        <row r="5136">
          <cell r="A5136" t="str">
            <v>VLDLFLGR04-0000</v>
          </cell>
          <cell r="B5136" t="str">
            <v>VALV.DILUVIO FL/GE UL/FM 4RE 4DEGX</v>
          </cell>
        </row>
        <row r="5137">
          <cell r="A5137" t="str">
            <v>VLDLFLGR06-0000</v>
          </cell>
          <cell r="B5137" t="str">
            <v>VALV.DILUVIO FL/GR UL/FM 6 TY 524774615</v>
          </cell>
        </row>
        <row r="5138">
          <cell r="A5138" t="str">
            <v>VLDLGRGR02-0000</v>
          </cell>
          <cell r="B5138" t="str">
            <v xml:space="preserve">VALV.DILUVIO GR/GR UL/FM 2TY 52-477-1-910 </v>
          </cell>
        </row>
        <row r="5139">
          <cell r="A5139" t="str">
            <v>VLDLGRGR03-0000</v>
          </cell>
          <cell r="B5139" t="str">
            <v>VALV.DILUVIO GR/GR UL/FM 3TY 524771912</v>
          </cell>
        </row>
        <row r="5140">
          <cell r="A5140" t="str">
            <v>VLDLGRGR04-0000</v>
          </cell>
          <cell r="B5140" t="str">
            <v xml:space="preserve">VALV.DILUVIO GR/GR UL/FM 4TY 524771913 </v>
          </cell>
        </row>
        <row r="5141">
          <cell r="A5141" t="str">
            <v>VLDLGRGR04-GL00</v>
          </cell>
          <cell r="B5141" t="str">
            <v>Valv Diluvio /Trim electrico y solenoide 317430 RAN</v>
          </cell>
        </row>
        <row r="5142">
          <cell r="A5142" t="str">
            <v>VLDLGRGR06-0000</v>
          </cell>
          <cell r="B5142" t="str">
            <v xml:space="preserve">VALV.DILUVIO GR/GR UL/FM 6TY 524771915 </v>
          </cell>
        </row>
        <row r="5143">
          <cell r="A5143" t="str">
            <v>VLDLGRGR06-GL00</v>
          </cell>
          <cell r="B5143" t="str">
            <v>Valv Diluvio /Trim electrico y solenoide 317485 RAN</v>
          </cell>
        </row>
        <row r="5144">
          <cell r="A5144" t="str">
            <v>VLDLGRGR08-0000</v>
          </cell>
          <cell r="B5144" t="str">
            <v xml:space="preserve">VALV.DILUVIO GE/GE UL/FM 8TY:524771916 </v>
          </cell>
        </row>
        <row r="5145">
          <cell r="A5145" t="str">
            <v>VLDLGRGR2M-0000</v>
          </cell>
          <cell r="B5145" t="str">
            <v>VALV.DILUVIO GE/GE UL/FM 21/2RE 25DEG</v>
          </cell>
        </row>
        <row r="5146">
          <cell r="A5146" t="str">
            <v>VLDLGR-WF-2</v>
          </cell>
          <cell r="B5146" t="str">
            <v>Valvula de diluvio Ran2  trim electrico pre-armado</v>
          </cell>
        </row>
        <row r="5147">
          <cell r="A5147" t="str">
            <v>VLDLGR-WF-3</v>
          </cell>
          <cell r="B5147" t="str">
            <v>Valvula de diluvio Ran 3  trim electrico pre-armado</v>
          </cell>
        </row>
        <row r="5148">
          <cell r="A5148" t="str">
            <v>VLDLGR-WF-4</v>
          </cell>
          <cell r="B5148" t="str">
            <v>Valvula de diluvio Ran 4  trim electrico pre-armado</v>
          </cell>
        </row>
        <row r="5149">
          <cell r="A5149" t="str">
            <v>VLDLGR-WF-8</v>
          </cell>
          <cell r="B5149" t="str">
            <v>Valvula de diluvio Ran 8  trim electrico pre-armado</v>
          </cell>
        </row>
        <row r="5150">
          <cell r="A5150" t="str">
            <v>VLDLMC1-000000</v>
          </cell>
          <cell r="B5150" t="str">
            <v>Actuador Manual Modelo MC-1TY 522892001</v>
          </cell>
        </row>
        <row r="5151">
          <cell r="A5151" t="str">
            <v>VLDLMC1-0000000</v>
          </cell>
          <cell r="B5151" t="str">
            <v>ACTUADOR MANUAL MODELO MC-1 TY 522892001522892001</v>
          </cell>
        </row>
        <row r="5152">
          <cell r="A5152" t="str">
            <v>VLDPCTRBAS03-00</v>
          </cell>
          <cell r="B5152" t="str">
            <v>VALV.DRY PIPE C/TRIM BASICO 3GLOBE</v>
          </cell>
        </row>
        <row r="5153">
          <cell r="A5153" t="str">
            <v>VLDPCTRBAS04-00</v>
          </cell>
          <cell r="B5153" t="str">
            <v>VALV.DRY PIPE C/TRIM BASICO 4GLOBE</v>
          </cell>
        </row>
        <row r="5154">
          <cell r="A5154" t="str">
            <v>VLDPCTRBAS06-00</v>
          </cell>
          <cell r="B5154" t="str">
            <v>VALV.DRY PIPE C/TRIM BASICO 6GLOBE</v>
          </cell>
        </row>
        <row r="5155">
          <cell r="A5155" t="str">
            <v>VLDPIPE03-00000</v>
          </cell>
          <cell r="B5155" t="str">
            <v>VALV.DRY PIPE 3TY 523101930</v>
          </cell>
        </row>
        <row r="5156">
          <cell r="A5156" t="str">
            <v>VLDPIPE-04-00000</v>
          </cell>
          <cell r="B5156" t="str">
            <v>Valv.Dry Pipe 4 GR-GR TY 523101940</v>
          </cell>
        </row>
        <row r="5157">
          <cell r="A5157" t="str">
            <v>VLDPIPE04-00000</v>
          </cell>
          <cell r="B5157" t="str">
            <v>( INACTIVO )</v>
          </cell>
        </row>
        <row r="5158">
          <cell r="A5158" t="str">
            <v>VLDPIPE-04-FL</v>
          </cell>
          <cell r="B5158" t="str">
            <v>Valv.Dry Pipe 4  FL/FL TY 523101040</v>
          </cell>
        </row>
        <row r="5159">
          <cell r="A5159" t="str">
            <v>VLDPIPE06-00000</v>
          </cell>
          <cell r="B5159" t="str">
            <v>VALV.DRY PIPE 6  GR-GR 523101960</v>
          </cell>
        </row>
        <row r="5160">
          <cell r="A5160" t="str">
            <v>VLDPIPE2M-00000</v>
          </cell>
          <cell r="B5160" t="str">
            <v>VALV.DRY PIPE 21/2</v>
          </cell>
        </row>
        <row r="5161">
          <cell r="A5161" t="str">
            <v>VLDPIPE-FLFL-06-00</v>
          </cell>
          <cell r="B5161" t="str">
            <v>VALV.DRY PIPE 6 FL FL 523101060</v>
          </cell>
        </row>
        <row r="5162">
          <cell r="A5162" t="str">
            <v>VLDRAUT-0000000</v>
          </cell>
          <cell r="B5162" t="str">
            <v>VALVULA DRENAJE BALLDRIP BH 1/2</v>
          </cell>
        </row>
        <row r="5163">
          <cell r="A5163" t="str">
            <v>VLDRAUTOM-00000</v>
          </cell>
          <cell r="B5163" t="str">
            <v>VAL.AD-2 AUTOBALLDRIP 1/2 TYCO TY 52-789-1-004</v>
          </cell>
        </row>
        <row r="5164">
          <cell r="A5164" t="str">
            <v>VLDRYPILOT-003</v>
          </cell>
          <cell r="B5164" t="str">
            <v>WET PILOT TRIM BASICO 3 PN 524772104</v>
          </cell>
        </row>
        <row r="5165">
          <cell r="A5165" t="str">
            <v>VLDRYPILOT-1.5,2</v>
          </cell>
          <cell r="B5165" t="str">
            <v>WET PILOT TRIM BASICO 11/2, 2 PN 524772107</v>
          </cell>
        </row>
        <row r="5166">
          <cell r="A5166" t="str">
            <v>VLDRYPILOTACTUATOR</v>
          </cell>
          <cell r="B5166" t="str">
            <v>DRY PILOT ACTUATOR DP-I PN522801001P</v>
          </cell>
        </row>
        <row r="5167">
          <cell r="A5167" t="str">
            <v>VLDRYWETPILOT-003</v>
          </cell>
          <cell r="B5167" t="str">
            <v>WET PILOT TRIM BASICO 3 PN 524771104</v>
          </cell>
        </row>
        <row r="5168">
          <cell r="A5168" t="str">
            <v>VLEA03-00000000</v>
          </cell>
          <cell r="B5168" t="str">
            <v>EST. ALARMA COMP. 3H3 GR/FL GL 323483</v>
          </cell>
        </row>
        <row r="5169">
          <cell r="A5169" t="str">
            <v>VLEA03H1-000000</v>
          </cell>
          <cell r="B5169" t="str">
            <v>ESTACION ALARMA COMPLETA 3H1 GLOBE</v>
          </cell>
        </row>
        <row r="5170">
          <cell r="A5170" t="str">
            <v>VLEA03H2-000000</v>
          </cell>
          <cell r="B5170" t="str">
            <v xml:space="preserve">EST. ALARMA COMP. 3H2 GR/GR GL 323652-NO </v>
          </cell>
        </row>
        <row r="5171">
          <cell r="A5171" t="str">
            <v>VLEA04-00000000</v>
          </cell>
          <cell r="B5171" t="str">
            <v>EST. ALAR. COMPLETA 4 H2 GR/GR GL 323626-NO</v>
          </cell>
        </row>
        <row r="5172">
          <cell r="A5172" t="str">
            <v>VLEA06-00000000</v>
          </cell>
          <cell r="B5172" t="str">
            <v>EST. ALAR. COMPLETA 6 H3 GR/FL GL 323589-NO</v>
          </cell>
        </row>
        <row r="5173">
          <cell r="A5173" t="str">
            <v>VLEA06H1-000000</v>
          </cell>
          <cell r="B5173" t="str">
            <v>ESTACION ALARMA COMPLETA 6H1 GLOBE</v>
          </cell>
        </row>
        <row r="5174">
          <cell r="A5174" t="str">
            <v>VLEA06H2-000000</v>
          </cell>
          <cell r="B5174" t="str">
            <v>EST. ALAR. COMPLETA 6 H2 GR/GR GL 323662-NO</v>
          </cell>
        </row>
        <row r="5175">
          <cell r="A5175" t="str">
            <v>VLEA08-00000000</v>
          </cell>
          <cell r="B5175" t="str">
            <v>EST. ALAR. COMPLETA 8 H3 GR/FL GL 323855-NO</v>
          </cell>
        </row>
        <row r="5176">
          <cell r="A5176" t="str">
            <v>VLEA0802-000000</v>
          </cell>
          <cell r="B5176" t="str">
            <v>EST. ALAR. COMPLETA 8 H2 GR/GR GL 323856-NO</v>
          </cell>
        </row>
        <row r="5177">
          <cell r="A5177" t="str">
            <v>VLEAKITREP-0000</v>
          </cell>
          <cell r="B5177" t="str">
            <v xml:space="preserve">KIT REPARACION VALVULA ALARMA </v>
          </cell>
        </row>
        <row r="5178">
          <cell r="A5178" t="str">
            <v>VLFILTROGALV08-</v>
          </cell>
          <cell r="B5178" t="str">
            <v>FILTRO GALVANIZADO 8</v>
          </cell>
        </row>
        <row r="5179">
          <cell r="A5179" t="str">
            <v>VLFILTRO-Y-10</v>
          </cell>
          <cell r="B5179" t="str">
            <v>FILTRO-Y FLANGEADO ANSI UL LISTED  10</v>
          </cell>
        </row>
        <row r="5180">
          <cell r="A5180" t="str">
            <v>VLFILTRO-Y-12</v>
          </cell>
          <cell r="B5180" t="str">
            <v>FILTRO-Y FLANGEADO ANSI UL LISTED  12</v>
          </cell>
        </row>
        <row r="5181">
          <cell r="A5181" t="str">
            <v>VLFILTRO-Y-2M</v>
          </cell>
          <cell r="B5181" t="str">
            <v xml:space="preserve">FILTRO-Y FLANGEADO ANSI UL LISTED  2 1/2 </v>
          </cell>
        </row>
        <row r="5182">
          <cell r="A5182" t="str">
            <v>VLFILTRO-Y-3</v>
          </cell>
          <cell r="B5182" t="str">
            <v>FILTRO-Y FLANGEADO ANSI UL LISTED  3</v>
          </cell>
        </row>
        <row r="5183">
          <cell r="A5183" t="str">
            <v>VLFILTRO-Y-4</v>
          </cell>
          <cell r="B5183" t="str">
            <v>FILTRO-Y FLANGEADO ANSI UL LISTED  4</v>
          </cell>
        </row>
        <row r="5184">
          <cell r="A5184" t="str">
            <v>VLFILTRO-Y-6</v>
          </cell>
          <cell r="B5184" t="str">
            <v>FILTRO-Y FLANGEADO ANSI UL LISTED  6</v>
          </cell>
        </row>
        <row r="5185">
          <cell r="A5185" t="str">
            <v>VLFILTRO-Y-6-GR</v>
          </cell>
          <cell r="B5185" t="str">
            <v>FILTRO-Y RANURADO UL LISTED  6</v>
          </cell>
        </row>
        <row r="5186">
          <cell r="A5186" t="str">
            <v>VLFILTRO-Y-8</v>
          </cell>
          <cell r="B5186" t="str">
            <v>FILTRO-Y FLANGEADO ANSI UL LISTED  8</v>
          </cell>
        </row>
        <row r="5187">
          <cell r="A5187" t="str">
            <v>VLFILTROYDILU1/2</v>
          </cell>
          <cell r="B5187" t="str">
            <v>FILTRO Y  PARA DILUV.1/2 523531005</v>
          </cell>
        </row>
        <row r="5188">
          <cell r="A5188" t="str">
            <v>VLFSV-1-00</v>
          </cell>
          <cell r="B5188" t="str">
            <v>VALVULA FSV-1  DV-5 DELUGE VALVE P/N 523431001</v>
          </cell>
        </row>
        <row r="5189">
          <cell r="A5189" t="str">
            <v>VLGLOB3V0C-0000</v>
          </cell>
          <cell r="B5189" t="str">
            <v>VALVULA DE GLOBO 1/4   3 VIAS</v>
          </cell>
        </row>
        <row r="5190">
          <cell r="A5190" t="str">
            <v>VLGLOBO01-00000</v>
          </cell>
          <cell r="B5190" t="str">
            <v>VALVULA DE GLOBO 1</v>
          </cell>
        </row>
        <row r="5191">
          <cell r="A5191" t="str">
            <v>VLGLOBO02-00000</v>
          </cell>
          <cell r="B5191" t="str">
            <v>VALVULA DE GLOBO 2</v>
          </cell>
        </row>
        <row r="5192">
          <cell r="A5192" t="str">
            <v>VLGLOBO0T-00000</v>
          </cell>
          <cell r="B5192" t="str">
            <v>VALVULA DE GLOBO 3/4</v>
          </cell>
        </row>
        <row r="5193">
          <cell r="A5193" t="str">
            <v>VLGLOBO1C-00000</v>
          </cell>
          <cell r="B5193" t="str">
            <v>VALVULA DE GLOBO 11/4</v>
          </cell>
        </row>
        <row r="5194">
          <cell r="A5194" t="str">
            <v>VLGLOBO1M-00000</v>
          </cell>
          <cell r="B5194" t="str">
            <v>VALVULA DE GLOBO 11/2</v>
          </cell>
        </row>
        <row r="5195">
          <cell r="A5195" t="str">
            <v>VLHIDCOLSEC2M2M</v>
          </cell>
          <cell r="B5195" t="str">
            <v>HIDRANTE 4,5S 21/2X21/2 5 L (pies)</v>
          </cell>
        </row>
        <row r="5196">
          <cell r="A5196" t="str">
            <v>VLHIDCOLSEC-6,5-00</v>
          </cell>
          <cell r="B5196" t="str">
            <v>HIDRANTE 4,5S 21/2 X 21/2   6.5 L (pies)</v>
          </cell>
        </row>
        <row r="5197">
          <cell r="A5197" t="str">
            <v>VLHIDHERRAMIENT</v>
          </cell>
          <cell r="B5197" t="str">
            <v xml:space="preserve">HERRAMIENTA PARA FIRE HIDRANTE </v>
          </cell>
        </row>
        <row r="5198">
          <cell r="A5198" t="str">
            <v>VLHIDKITADAPTER</v>
          </cell>
          <cell r="B5198" t="str">
            <v xml:space="preserve">KIT FLANGE ADAPTADOR HIDRANTES </v>
          </cell>
        </row>
        <row r="5199">
          <cell r="A5199" t="str">
            <v>VLHIDRA062M2M-0</v>
          </cell>
          <cell r="B5199" t="str">
            <v>HIDRANTE 4,5S 21/2X21/2 3 L (pies)</v>
          </cell>
        </row>
        <row r="5200">
          <cell r="A5200" t="str">
            <v>VLHIDRA062M3L-APC</v>
          </cell>
          <cell r="B5200" t="str">
            <v>HIDRANTE 4,5S 21/2X21/2 3 L (pies)</v>
          </cell>
        </row>
        <row r="5201">
          <cell r="A5201" t="str">
            <v>VLHIDRA062M5L-APC</v>
          </cell>
          <cell r="B5201" t="str">
            <v>HIDRANTE 4,5S 21/2X21/2 5 L (pies)</v>
          </cell>
        </row>
        <row r="5202">
          <cell r="A5202" t="str">
            <v>VLKITACELERPACKAGE</v>
          </cell>
          <cell r="B5202" t="str">
            <v>TRIM ACC-1 BASIC GALV. P/N 523112010</v>
          </cell>
        </row>
        <row r="5203">
          <cell r="A5203" t="str">
            <v>VLMAN03003M-000</v>
          </cell>
          <cell r="B5203" t="str">
            <v>MANOMETRO DE 31/2DE 300 PSI 11-550-00</v>
          </cell>
        </row>
        <row r="5204">
          <cell r="A5204" t="str">
            <v>VLMAN03003MFIT-00</v>
          </cell>
          <cell r="B5204" t="str">
            <v>MANOMETRO DE 4 PULG. 300 PSI ( FITFLOW ) 11-558-00</v>
          </cell>
        </row>
        <row r="5205">
          <cell r="A5205" t="str">
            <v>VLMANACCKIT2M3-</v>
          </cell>
          <cell r="B5205" t="str">
            <v>MANIFOLD ACCESORY KIT 21/2 -3PN: 4072</v>
          </cell>
        </row>
        <row r="5206">
          <cell r="A5206" t="str">
            <v>VLMANAIRAMD-1</v>
          </cell>
          <cell r="B5206" t="str">
            <v>MANTENEDOR DE AIRE AMD-1 (GENERAL)</v>
          </cell>
        </row>
        <row r="5207">
          <cell r="A5207" t="str">
            <v>VLMANAIRAMD-2</v>
          </cell>
          <cell r="B5207" t="str">
            <v>MANTENEDOR DE AIRE AMD-2</v>
          </cell>
        </row>
        <row r="5208">
          <cell r="A5208" t="str">
            <v>VLMPGR17502-000</v>
          </cell>
          <cell r="B5208" t="str">
            <v>VALV. MAR.GRV. UL T.S.2</v>
          </cell>
        </row>
        <row r="5209">
          <cell r="A5209" t="str">
            <v>VLMPGR17502-GL</v>
          </cell>
          <cell r="B5209" t="str">
            <v>VALV. MAR.GRV. UL/FM T.S.2 GL</v>
          </cell>
        </row>
        <row r="5210">
          <cell r="A5210" t="str">
            <v>VLMPGR17502M-000</v>
          </cell>
          <cell r="B5210" t="str">
            <v>( INACTIVO )</v>
          </cell>
        </row>
        <row r="5211">
          <cell r="A5211" t="str">
            <v>VLMPGR1751M-000</v>
          </cell>
          <cell r="B5211" t="str">
            <v>VALV.MAR.GRV. UL/FM T.S.11/2</v>
          </cell>
        </row>
        <row r="5212">
          <cell r="A5212" t="str">
            <v>VLMPGR1751M-GL</v>
          </cell>
          <cell r="B5212" t="str">
            <v>VALV.MARIP.GRV.UL/FM T.S.11/2 GL</v>
          </cell>
        </row>
        <row r="5213">
          <cell r="A5213" t="str">
            <v>VLMPGR30003-000</v>
          </cell>
          <cell r="B5213" t="str">
            <v>VALV. MAR.GRV. UL/FM T.S.3</v>
          </cell>
        </row>
        <row r="5214">
          <cell r="A5214" t="str">
            <v>VLMPGR30003-APC</v>
          </cell>
          <cell r="B5214" t="str">
            <v>VALV. MAR.GRV. UL/FM T.S.3</v>
          </cell>
        </row>
        <row r="5215">
          <cell r="A5215" t="str">
            <v>VLMPGR30003-BR</v>
          </cell>
          <cell r="B5215" t="str">
            <v>VALV. MAR.GRV. UL/FM T.S.3</v>
          </cell>
        </row>
        <row r="5216">
          <cell r="A5216" t="str">
            <v>VLMPGR30003-GL</v>
          </cell>
          <cell r="B5216" t="str">
            <v>VALV. MAR.GRV. UL/FM T.S.3 GL</v>
          </cell>
        </row>
        <row r="5217">
          <cell r="A5217" t="str">
            <v>VLMPGR30004-000</v>
          </cell>
          <cell r="B5217" t="str">
            <v>VALV. MAR.GRV. UL/FM T.S.4</v>
          </cell>
        </row>
        <row r="5218">
          <cell r="A5218" t="str">
            <v>VLMPGR30004-APC</v>
          </cell>
          <cell r="B5218" t="str">
            <v>VALV. MAR.GRV. UL/FM T.S.4</v>
          </cell>
        </row>
        <row r="5219">
          <cell r="A5219" t="str">
            <v>VLMPGR30004-BR</v>
          </cell>
          <cell r="B5219" t="str">
            <v>VALV. MAR.GRV. UL/FM T.S.4</v>
          </cell>
        </row>
        <row r="5220">
          <cell r="A5220" t="str">
            <v>VLMPGR30004-GL</v>
          </cell>
          <cell r="B5220" t="str">
            <v>VALV. MAR.GRV. UL/FM T.S.4 GL</v>
          </cell>
        </row>
        <row r="5221">
          <cell r="A5221" t="str">
            <v>VLMPGR30006-000</v>
          </cell>
          <cell r="B5221" t="str">
            <v>VALV. MAR.GRV. UL/FM T.S.6</v>
          </cell>
        </row>
        <row r="5222">
          <cell r="A5222" t="str">
            <v>VLMPGR30006-APC</v>
          </cell>
          <cell r="B5222" t="str">
            <v xml:space="preserve">VALV. MAR.GRV. UL/FM T.S.6 </v>
          </cell>
        </row>
        <row r="5223">
          <cell r="A5223" t="str">
            <v>VLMPGR30006-BR</v>
          </cell>
          <cell r="B5223" t="str">
            <v>VALV. MAR.GRV. UL/FM T.S.6</v>
          </cell>
        </row>
        <row r="5224">
          <cell r="A5224" t="str">
            <v>VLMPGR30006-GL</v>
          </cell>
          <cell r="B5224" t="str">
            <v>VALV. MAR.GRV. UL/FM T.S.6 GL</v>
          </cell>
        </row>
        <row r="5225">
          <cell r="A5225" t="str">
            <v>VLMPGR30008-000</v>
          </cell>
          <cell r="B5225" t="str">
            <v>VALV. MAR.GRV. UL/FM T.S.8</v>
          </cell>
        </row>
        <row r="5226">
          <cell r="A5226" t="str">
            <v>VLMPGR30008-APC</v>
          </cell>
          <cell r="B5226" t="str">
            <v>VALV. MAR.GRV. UL/FM T.S.8</v>
          </cell>
        </row>
        <row r="5227">
          <cell r="A5227" t="str">
            <v>VLMPGR30008-BR</v>
          </cell>
          <cell r="B5227" t="str">
            <v>VALV. MAR.GRV. UL/FM T.S.8</v>
          </cell>
        </row>
        <row r="5228">
          <cell r="A5228" t="str">
            <v>VLMPGR30008-GL</v>
          </cell>
          <cell r="B5228" t="str">
            <v>VALV. MAR.GRV. UL/FM T.S.8 GL</v>
          </cell>
        </row>
        <row r="5229">
          <cell r="A5229" t="str">
            <v>VLMPGR30010-000</v>
          </cell>
          <cell r="B5229" t="str">
            <v>VALV. MAR.GRV. UL/FM T.S.10</v>
          </cell>
        </row>
        <row r="5230">
          <cell r="A5230" t="str">
            <v>VLMPGR30010-GL</v>
          </cell>
          <cell r="B5230" t="str">
            <v>VALV. MAR.GRV. UL/FM T.S.10 GL</v>
          </cell>
        </row>
        <row r="5231">
          <cell r="A5231" t="str">
            <v>VLMPGR30012-000</v>
          </cell>
          <cell r="B5231" t="str">
            <v xml:space="preserve">Válvula mariposa Sup. Ran. UL 12 Mod. 2905-300 </v>
          </cell>
        </row>
        <row r="5232">
          <cell r="A5232" t="str">
            <v>VLMPGR3002M-000</v>
          </cell>
          <cell r="B5232" t="str">
            <v>VALV. MAR.GRV. UL/FM T.S.21/2</v>
          </cell>
        </row>
        <row r="5233">
          <cell r="A5233" t="str">
            <v>VLMPGR3002M-APC</v>
          </cell>
          <cell r="B5233" t="str">
            <v>VALV. MAR.GRV. UL/FM T.S.2 1/2</v>
          </cell>
        </row>
        <row r="5234">
          <cell r="A5234" t="str">
            <v>VLMPGR3002M-BR</v>
          </cell>
          <cell r="B5234" t="str">
            <v>VALV. MAR.GRV. UL/FM T.S.2 1/2</v>
          </cell>
        </row>
        <row r="5235">
          <cell r="A5235" t="str">
            <v>VLMPGR3002M-GL</v>
          </cell>
          <cell r="B5235" t="str">
            <v>VALV. MAR.GRV. UL/FM T.S.21/2 GL</v>
          </cell>
        </row>
        <row r="5236">
          <cell r="A5236" t="str">
            <v>VLMPGRADM-02-00</v>
          </cell>
          <cell r="B5236" t="str">
            <v xml:space="preserve">VALVULA MARIP. DE 2 GROOV.  UL-FM A.D.M. </v>
          </cell>
        </row>
        <row r="5237">
          <cell r="A5237" t="str">
            <v>VLMPGRADM-04-00</v>
          </cell>
          <cell r="B5237" t="str">
            <v xml:space="preserve">VALVULA MARIP. DE 4 GROOV.  UL-FM A.D.M. </v>
          </cell>
        </row>
        <row r="5238">
          <cell r="A5238" t="str">
            <v>VLMPGRADM-06-00</v>
          </cell>
          <cell r="B5238" t="str">
            <v xml:space="preserve">VALVULA MARIP. DE 6 GROOV.  UL-FM A.D.M. </v>
          </cell>
        </row>
        <row r="5239">
          <cell r="A5239" t="str">
            <v>VLMPGRADM-08-00</v>
          </cell>
          <cell r="B5239" t="str">
            <v xml:space="preserve">VALVULA MARIP. DE 8 GROOV.  UL-FM A.D.M. </v>
          </cell>
        </row>
        <row r="5240">
          <cell r="A5240" t="str">
            <v>VLMPHI3002M-000</v>
          </cell>
          <cell r="B5240" t="str">
            <v xml:space="preserve">VALV. MAR.HI UL/FM 2 1/2 </v>
          </cell>
        </row>
        <row r="5241">
          <cell r="A5241" t="str">
            <v>VLMPWF30002-000</v>
          </cell>
          <cell r="B5241" t="str">
            <v>VALV. MAR.WAFER UL/FM T.S.2</v>
          </cell>
        </row>
        <row r="5242">
          <cell r="A5242" t="str">
            <v>VLMPWF30003-000</v>
          </cell>
          <cell r="B5242" t="str">
            <v>VALV. MAR.WAFER UL/FM T.S.3</v>
          </cell>
        </row>
        <row r="5243">
          <cell r="A5243" t="str">
            <v>VLMPWF30004-000</v>
          </cell>
          <cell r="B5243" t="str">
            <v>VALV. MAR.WAFER UL/FM T.S.4</v>
          </cell>
        </row>
        <row r="5244">
          <cell r="A5244" t="str">
            <v>VLMPWF30004-APC</v>
          </cell>
          <cell r="B5244" t="str">
            <v>VALV. MAR.WAFER UL/FM T.S.4</v>
          </cell>
        </row>
        <row r="5245">
          <cell r="A5245" t="str">
            <v>VLMPWF30004-BR</v>
          </cell>
          <cell r="B5245" t="str">
            <v>VALV. MAR.WAFER UL/FM T.S.4</v>
          </cell>
        </row>
        <row r="5246">
          <cell r="A5246" t="str">
            <v>VLMPWF30006-000</v>
          </cell>
          <cell r="B5246" t="str">
            <v>VALV. MAR.WAFER UL/FM T.S.6</v>
          </cell>
        </row>
        <row r="5247">
          <cell r="A5247" t="str">
            <v>VLMPWF30006-APC</v>
          </cell>
          <cell r="B5247" t="str">
            <v>VALV. MAR.WAFER UL/FM T.S.6</v>
          </cell>
        </row>
        <row r="5248">
          <cell r="A5248" t="str">
            <v>VLMPWF30006-BR</v>
          </cell>
          <cell r="B5248" t="str">
            <v>VALV. MAR.WAFER UL/FM T.S.6</v>
          </cell>
        </row>
        <row r="5249">
          <cell r="A5249" t="str">
            <v>VLMPWF30007-000</v>
          </cell>
          <cell r="B5249" t="str">
            <v xml:space="preserve">VALV.MAR.SUPER.WAFER 10 ULFM </v>
          </cell>
        </row>
        <row r="5250">
          <cell r="A5250" t="str">
            <v>VLMPWF30008-000</v>
          </cell>
          <cell r="B5250" t="str">
            <v>VALV. MAR.WAFER UL/FM T.S.8</v>
          </cell>
        </row>
        <row r="5251">
          <cell r="A5251" t="str">
            <v>VLMPWF30008-APC</v>
          </cell>
          <cell r="B5251" t="str">
            <v>VALV. MAR.WAFER UL/FM T.S.8</v>
          </cell>
        </row>
        <row r="5252">
          <cell r="A5252" t="str">
            <v>VLMPWF30010-000</v>
          </cell>
          <cell r="B5252" t="str">
            <v>VALV. MAR.WAFER UL/FM T.S.10</v>
          </cell>
        </row>
        <row r="5253">
          <cell r="A5253" t="str">
            <v>VLNRHERRAMIENTA</v>
          </cell>
          <cell r="B5253" t="str">
            <v xml:space="preserve">HERRAMIENTA COL.VAL. C/POSTE </v>
          </cell>
        </row>
        <row r="5254">
          <cell r="A5254" t="str">
            <v>VLNRSC502-04</v>
          </cell>
          <cell r="B5254" t="str">
            <v>VAL. NRS AWWA FLG  300PSI UL/FM 04 ANSI</v>
          </cell>
        </row>
        <row r="5255">
          <cell r="A5255" t="str">
            <v>VLNRSC502-06</v>
          </cell>
          <cell r="B5255" t="str">
            <v>VAL. NRS AWWA FLG  300PSI UL/FM 06 ANSI</v>
          </cell>
        </row>
        <row r="5256">
          <cell r="A5256" t="str">
            <v>VLNRSC502-08</v>
          </cell>
          <cell r="B5256" t="str">
            <v>VAL. NRS AWWA FLG  300PSI UL/FM 08 ANSI</v>
          </cell>
        </row>
        <row r="5257">
          <cell r="A5257" t="str">
            <v>VLNRSCAJAREG</v>
          </cell>
          <cell r="B5257" t="str">
            <v xml:space="preserve">VAL. NRS ACC CAJA REGISTRO </v>
          </cell>
        </row>
        <row r="5258">
          <cell r="A5258" t="str">
            <v>VLNRSFL200010PI</v>
          </cell>
          <cell r="B5258" t="str">
            <v>VAL. NRS FLG 300PSI UL/FM 10</v>
          </cell>
        </row>
        <row r="5259">
          <cell r="A5259" t="str">
            <v>VLNRSFL200012PI</v>
          </cell>
          <cell r="B5259" t="str">
            <v>VAL. NRS FLG 300PSI UL/FM 12</v>
          </cell>
        </row>
        <row r="5260">
          <cell r="A5260" t="str">
            <v>VLNRSFL200014PI</v>
          </cell>
          <cell r="B5260" t="str">
            <v>VAL. NRS FLG 300PSI UL 14</v>
          </cell>
        </row>
        <row r="5261">
          <cell r="A5261" t="str">
            <v>VLNRSFL20004-APC</v>
          </cell>
          <cell r="B5261" t="str">
            <v>VAL. NRS FLG 300PSI UL/FM 4</v>
          </cell>
        </row>
        <row r="5262">
          <cell r="A5262" t="str">
            <v>VLNRSFL20004-EMI</v>
          </cell>
          <cell r="B5262" t="str">
            <v>VAL. NRS FLG 300PSI UL/FM 4</v>
          </cell>
        </row>
        <row r="5263">
          <cell r="A5263" t="str">
            <v>VLNRSFL20004PI-</v>
          </cell>
          <cell r="B5263" t="str">
            <v>VAL. NRS FLG 300PSI UL/FM 4</v>
          </cell>
        </row>
        <row r="5264">
          <cell r="A5264" t="str">
            <v>VLNRSFL20006-EMI</v>
          </cell>
          <cell r="B5264" t="str">
            <v>VAL. NRS FLG 300PSI UL/FM 6</v>
          </cell>
        </row>
        <row r="5265">
          <cell r="A5265" t="str">
            <v>VLNRSFL20006PI-</v>
          </cell>
          <cell r="B5265" t="str">
            <v>VAL. NRS FLG 300PSI UL/FM 6</v>
          </cell>
        </row>
        <row r="5266">
          <cell r="A5266" t="str">
            <v>VLNRSFL20006PI-APC</v>
          </cell>
          <cell r="B5266" t="str">
            <v>VAL. NRS FLG 300PSI UL/FM 6</v>
          </cell>
        </row>
        <row r="5267">
          <cell r="A5267" t="str">
            <v>VLNRSFL20006PI-BR</v>
          </cell>
          <cell r="B5267" t="str">
            <v>VAL. NRS FLG 300PSI UL/FM 6</v>
          </cell>
        </row>
        <row r="5268">
          <cell r="A5268" t="str">
            <v>VLNRSFL20008-EMI</v>
          </cell>
          <cell r="B5268" t="str">
            <v>VAL. NRS FLG 300PSI UL/FM 8</v>
          </cell>
        </row>
        <row r="5269">
          <cell r="A5269" t="str">
            <v>VLNRSFL20008PI-</v>
          </cell>
          <cell r="B5269" t="str">
            <v>VAL. NRS FLG 300PSI UL/FM 8</v>
          </cell>
        </row>
        <row r="5270">
          <cell r="A5270" t="str">
            <v>VLNRSFL20008PI-APC</v>
          </cell>
          <cell r="B5270" t="str">
            <v>VAL. NRS FLG 300PSI UL/FM 8</v>
          </cell>
        </row>
        <row r="5271">
          <cell r="A5271" t="str">
            <v>VLNRSFL20008PI-BR</v>
          </cell>
          <cell r="B5271" t="str">
            <v>VAL. NRS FLG 300PSI UL/FM 8</v>
          </cell>
        </row>
        <row r="5272">
          <cell r="A5272" t="str">
            <v>VLNRSJMC502-04</v>
          </cell>
          <cell r="B5272" t="str">
            <v>VAL. NRS AWWA FLG  JUNTA MECANICA 300PSI UL/FM 04</v>
          </cell>
        </row>
        <row r="5273">
          <cell r="A5273" t="str">
            <v>VLNRSJMC502-06</v>
          </cell>
          <cell r="B5273" t="str">
            <v>VAL. NRS AWWA FLG  JUNTA MECANICA 300PSI UL/FM 06</v>
          </cell>
        </row>
        <row r="5274">
          <cell r="A5274" t="str">
            <v>VLNRSJMC502-08</v>
          </cell>
          <cell r="B5274" t="str">
            <v>VAL. NRS AWWA FLG  JUNTA MECANICA 300PSI UL/FM 08</v>
          </cell>
        </row>
        <row r="5275">
          <cell r="A5275" t="str">
            <v>VLNRSJMC502-10</v>
          </cell>
          <cell r="B5275" t="str">
            <v>VAL. NRS AWWA FLG  JUNTA MECANICA 300PSI UL/FM 10</v>
          </cell>
        </row>
        <row r="5276">
          <cell r="A5276" t="str">
            <v>VLNRSPIH-000000</v>
          </cell>
          <cell r="B5276" t="str">
            <v xml:space="preserve">POSTE INDICADOR HOR. UL/FM </v>
          </cell>
        </row>
        <row r="5277">
          <cell r="A5277" t="str">
            <v>VLNRSPIV-000000</v>
          </cell>
          <cell r="B5277" t="str">
            <v xml:space="preserve">POSTE INDICADOR VERT. UL/FM </v>
          </cell>
        </row>
        <row r="5278">
          <cell r="A5278" t="str">
            <v>VLNRSPIV28-0000</v>
          </cell>
          <cell r="B5278" t="str">
            <v xml:space="preserve">POSTE IND. VERT. UL/FM 2,8 MT. </v>
          </cell>
        </row>
        <row r="5279">
          <cell r="A5279" t="str">
            <v>VLNRSPIV-APC</v>
          </cell>
          <cell r="B5279" t="str">
            <v xml:space="preserve">POSTE INDICADOR VERT. UL/FM </v>
          </cell>
        </row>
        <row r="5280">
          <cell r="A5280" t="str">
            <v>VLNRSPIV-EMI</v>
          </cell>
          <cell r="B5280" t="str">
            <v xml:space="preserve">POSTE INDICADOR VERT. UL/FM </v>
          </cell>
        </row>
        <row r="5281">
          <cell r="A5281" t="str">
            <v>VLOSYADM-02-00</v>
          </cell>
          <cell r="B5281" t="str">
            <v>VALVULA OSY COMPUERTA DE 2 UL-FM A.D.M. 300 PSI.</v>
          </cell>
        </row>
        <row r="5282">
          <cell r="A5282" t="str">
            <v>VLOSYADM-06-00</v>
          </cell>
          <cell r="B5282" t="str">
            <v>VALVULA OSY COMPUERTA DE 6 UL-FM A.D.M. 300 PSI.</v>
          </cell>
        </row>
        <row r="5283">
          <cell r="A5283" t="str">
            <v>VLOSYADM-08-00</v>
          </cell>
          <cell r="B5283" t="str">
            <v>VALVULA OSY COMPUERTA DE 8 UL-FM A.D.M. 300 PSI.</v>
          </cell>
        </row>
        <row r="5284">
          <cell r="A5284" t="str">
            <v>VLOSYADM-2 1/2-00</v>
          </cell>
          <cell r="B5284" t="str">
            <v>VALVULA OSY COMPUERTA DE 2 1/2 UL-FM A.D.M. 300 PSI.</v>
          </cell>
        </row>
        <row r="5285">
          <cell r="A5285" t="str">
            <v>VLOSYFL-02-00</v>
          </cell>
          <cell r="B5285" t="str">
            <v>VAL OS&amp;Y FL/FL UL/FM 2</v>
          </cell>
        </row>
        <row r="5286">
          <cell r="A5286" t="str">
            <v>VLOSYFL03-LD</v>
          </cell>
          <cell r="B5286" t="str">
            <v>VAL OS&amp;Y FLG 300PSI UL/FM 3 LEDE</v>
          </cell>
        </row>
        <row r="5287">
          <cell r="A5287" t="str">
            <v>VLOSYFL04-LD</v>
          </cell>
          <cell r="B5287" t="str">
            <v>VAL OS&amp;Y FLG 300PSI UL/FM 4 LEDE</v>
          </cell>
        </row>
        <row r="5288">
          <cell r="A5288" t="str">
            <v>VLOSYFL06-LD</v>
          </cell>
          <cell r="B5288" t="str">
            <v>VAL OS&amp;Y FLG 300PSI UL/FM 6 LEDE</v>
          </cell>
        </row>
        <row r="5289">
          <cell r="A5289" t="str">
            <v>VLOSYFL08-LD</v>
          </cell>
          <cell r="B5289" t="str">
            <v>VAL OS&amp;Y FLG 300PSI UL/FM 8 LEDE</v>
          </cell>
        </row>
        <row r="5290">
          <cell r="A5290" t="str">
            <v>VLOSYFL10-LD</v>
          </cell>
          <cell r="B5290" t="str">
            <v>VAL OS&amp;Y FLG 300PSI UL/FM 10 LEDE</v>
          </cell>
        </row>
        <row r="5291">
          <cell r="A5291" t="str">
            <v>VLOSYFL-14-00</v>
          </cell>
          <cell r="B5291" t="str">
            <v>VAL OS&amp;Y FLG  UL/FM 14</v>
          </cell>
        </row>
        <row r="5292">
          <cell r="A5292" t="str">
            <v>VLOSYFL20003-00</v>
          </cell>
          <cell r="B5292" t="str">
            <v xml:space="preserve">VAL OS&amp;Y FLG 300PSI UL/FM 3 </v>
          </cell>
        </row>
        <row r="5293">
          <cell r="A5293" t="str">
            <v>VLOSYFL20003-APC</v>
          </cell>
          <cell r="B5293" t="str">
            <v>VAL OS&amp;Y FLG 300PSI UL/FM 3</v>
          </cell>
        </row>
        <row r="5294">
          <cell r="A5294" t="str">
            <v>VLOSYFL20003-BR</v>
          </cell>
          <cell r="B5294" t="str">
            <v xml:space="preserve">VAL OS&amp;Y FLG 300PSI UL/FM 3 </v>
          </cell>
        </row>
        <row r="5295">
          <cell r="A5295" t="str">
            <v>VLOSYFL20003-EMI</v>
          </cell>
          <cell r="B5295" t="str">
            <v xml:space="preserve">VAL OS&amp;Y FLG 300PSI UL/FM 3 </v>
          </cell>
        </row>
        <row r="5296">
          <cell r="A5296" t="str">
            <v>VLOSYFL20004-00</v>
          </cell>
          <cell r="B5296" t="str">
            <v xml:space="preserve">VAL OS&amp;Y FLG 300PSI UL/FM 4 </v>
          </cell>
        </row>
        <row r="5297">
          <cell r="A5297" t="str">
            <v>VLOSYFL20004-APC</v>
          </cell>
          <cell r="B5297" t="str">
            <v xml:space="preserve">VAL OS&amp;Y FLG 300PSI UL/FM 4 </v>
          </cell>
        </row>
        <row r="5298">
          <cell r="A5298" t="str">
            <v>VLOSYFL20004-BR</v>
          </cell>
          <cell r="B5298" t="str">
            <v xml:space="preserve">VAL OS&amp;Y FLG 300PSI UL/FM 4 </v>
          </cell>
        </row>
        <row r="5299">
          <cell r="A5299" t="str">
            <v>VLOSYFL20004-EMI</v>
          </cell>
          <cell r="B5299" t="str">
            <v>VAL OS&amp;Y FLG 300PSI UL/FM 4</v>
          </cell>
        </row>
        <row r="5300">
          <cell r="A5300" t="str">
            <v>VLOSYFL20006-00</v>
          </cell>
          <cell r="B5300" t="str">
            <v xml:space="preserve">VAL OS&amp;Y FLG 300PSI UL/FM 6 </v>
          </cell>
        </row>
        <row r="5301">
          <cell r="A5301" t="str">
            <v>VLOSYFL20006-EMI</v>
          </cell>
          <cell r="B5301" t="str">
            <v>VAL OS&amp;Y FLG 300PSI UL/FM 6</v>
          </cell>
        </row>
        <row r="5302">
          <cell r="A5302" t="str">
            <v>VLOSYFL20006PI-</v>
          </cell>
          <cell r="B5302" t="str">
            <v xml:space="preserve">VAL OS&amp;Y FLG 300PSI UL/FM 6 </v>
          </cell>
        </row>
        <row r="5303">
          <cell r="A5303" t="str">
            <v>VLOSYFL20006PI-APC</v>
          </cell>
          <cell r="B5303" t="str">
            <v xml:space="preserve">VAL OS&amp;Y FLG 300PSI UL/FM 6 </v>
          </cell>
        </row>
        <row r="5304">
          <cell r="A5304" t="str">
            <v>VLOSYFL20006PI-BR</v>
          </cell>
          <cell r="B5304" t="str">
            <v xml:space="preserve">VAL OS&amp;Y FLG 300PSI UL/FM 6 </v>
          </cell>
        </row>
        <row r="5305">
          <cell r="A5305" t="str">
            <v>VLOSYFL20008-00</v>
          </cell>
          <cell r="B5305" t="str">
            <v xml:space="preserve">VAL OS&amp;Y FLG 300PSI UL/FM 8 </v>
          </cell>
        </row>
        <row r="5306">
          <cell r="A5306" t="str">
            <v>VLOSYFL20008-APC</v>
          </cell>
          <cell r="B5306" t="str">
            <v xml:space="preserve">VAL OS&amp;Y FLG 300PSI UL/FM 8 </v>
          </cell>
        </row>
        <row r="5307">
          <cell r="A5307" t="str">
            <v>VLOSYFL20008-BR</v>
          </cell>
          <cell r="B5307" t="str">
            <v>VAL OS&amp;Y FLG 300PSI UL/FM 8</v>
          </cell>
        </row>
        <row r="5308">
          <cell r="A5308" t="str">
            <v>VLOSYFL20008-EMI</v>
          </cell>
          <cell r="B5308" t="str">
            <v xml:space="preserve">VAL OS&amp;Y FLG 300PSI UL/FM 8 </v>
          </cell>
        </row>
        <row r="5309">
          <cell r="A5309" t="str">
            <v>VLOSYFL20010-00</v>
          </cell>
          <cell r="B5309" t="str">
            <v xml:space="preserve">VAL OS&amp;Y FLG 300PSI UL/FM 10 </v>
          </cell>
        </row>
        <row r="5310">
          <cell r="A5310" t="str">
            <v>VLOSYFL20010-00-A</v>
          </cell>
          <cell r="B5310" t="str">
            <v xml:space="preserve">VAL OS&amp;Y FLG 300PSI UL/FM 10 </v>
          </cell>
        </row>
        <row r="5311">
          <cell r="A5311" t="str">
            <v>VLOSYFL20010-APC</v>
          </cell>
          <cell r="B5311" t="str">
            <v>VAL OS&amp;Y FLG 300PSI UL/FM 10</v>
          </cell>
        </row>
        <row r="5312">
          <cell r="A5312" t="str">
            <v>VLOSYFL20010-EMI</v>
          </cell>
          <cell r="B5312" t="str">
            <v>VAL OS&amp;Y FLG 300PSI UL/FM 10</v>
          </cell>
        </row>
        <row r="5313">
          <cell r="A5313" t="str">
            <v>VLOSYFL20012-00</v>
          </cell>
          <cell r="B5313" t="str">
            <v>VAL OS&amp;Y FLG 300PSI UL/FM 12</v>
          </cell>
        </row>
        <row r="5314">
          <cell r="A5314" t="str">
            <v>VLOSYFL20012-APC</v>
          </cell>
          <cell r="B5314" t="str">
            <v>VAL OS&amp;Y FLG 300PSI UL/FM 12</v>
          </cell>
        </row>
        <row r="5315">
          <cell r="A5315" t="str">
            <v>VLOSYFL200212-0</v>
          </cell>
          <cell r="B5315" t="str">
            <v>VAL OS&amp;Y FLG 200PSI UL/FM 12</v>
          </cell>
        </row>
        <row r="5316">
          <cell r="A5316" t="str">
            <v>VLOSYFL2002M-00</v>
          </cell>
          <cell r="B5316" t="str">
            <v xml:space="preserve">VAL OS&amp;Y FLG 300PSI UL/FM 2.5 </v>
          </cell>
        </row>
        <row r="5317">
          <cell r="A5317" t="str">
            <v>VLOSYFL2002M-APC</v>
          </cell>
          <cell r="B5317" t="str">
            <v>VAL OS&amp;Y FLG 300PSI UL/FM 2.5</v>
          </cell>
        </row>
        <row r="5318">
          <cell r="A5318" t="str">
            <v>VLOSYFL2002M-BR</v>
          </cell>
          <cell r="B5318" t="str">
            <v xml:space="preserve">VAL OS&amp;Y FLG 300PSI UL/FM 2.5 </v>
          </cell>
        </row>
        <row r="5319">
          <cell r="A5319" t="str">
            <v>VLOSYFL2002M-EMI</v>
          </cell>
          <cell r="B5319" t="str">
            <v>VAL OS&amp;Y FLG 300 PSI UL/FM 2 1/2</v>
          </cell>
        </row>
        <row r="5320">
          <cell r="A5320" t="str">
            <v>VLOSYFL2M-LD</v>
          </cell>
          <cell r="B5320" t="str">
            <v>VAL OS&amp;Y FLG 300PSI UL/FM 2.5 LEDE</v>
          </cell>
        </row>
        <row r="5321">
          <cell r="A5321" t="str">
            <v>VLOSYFLC502-03</v>
          </cell>
          <cell r="B5321" t="str">
            <v>VAL OS&amp;Y FLG AWWA  300PSI UL/FM 03</v>
          </cell>
        </row>
        <row r="5322">
          <cell r="A5322" t="str">
            <v>VLOSYFLC502-04</v>
          </cell>
          <cell r="B5322" t="str">
            <v>VAL OS&amp;Y FLG AWWA  300PSI UL/FM 04</v>
          </cell>
        </row>
        <row r="5323">
          <cell r="A5323" t="str">
            <v>VLOSYFLC502-06</v>
          </cell>
          <cell r="B5323" t="str">
            <v>VAL OS&amp;Y FLG AWWA  300PSI UL/FM 06</v>
          </cell>
        </row>
        <row r="5324">
          <cell r="A5324" t="str">
            <v>VLOSYFLC502-08</v>
          </cell>
          <cell r="B5324" t="str">
            <v>VAL OS&amp;Y FLG AWWA  300PSI UL/FM 08</v>
          </cell>
        </row>
        <row r="5325">
          <cell r="A5325" t="str">
            <v>VLOSYFLC502-10</v>
          </cell>
          <cell r="B5325" t="str">
            <v>VAL OS&amp;Y FLG AWWA  300PSI UL/FM 10</v>
          </cell>
        </row>
        <row r="5326">
          <cell r="A5326" t="str">
            <v>VLOSYFLC502-12</v>
          </cell>
          <cell r="B5326" t="str">
            <v>VAL OS&amp;Y FLG AWWA  300PSI UL/FM 12</v>
          </cell>
        </row>
        <row r="5327">
          <cell r="A5327" t="str">
            <v>VLOSYFLC502-2M</v>
          </cell>
          <cell r="B5327" t="str">
            <v>VAL OS&amp;Y FLG AWWA  300PSI UL/FM  2 1/2</v>
          </cell>
        </row>
        <row r="5328">
          <cell r="A5328" t="str">
            <v>VLOSYFLGRC502-06</v>
          </cell>
          <cell r="B5328" t="str">
            <v>VAL OS&amp;Y FLG - GROOV AWWA  300PSI UL/FM  06</v>
          </cell>
        </row>
        <row r="5329">
          <cell r="A5329" t="str">
            <v>VLOSYFLGRC502-08</v>
          </cell>
          <cell r="B5329" t="str">
            <v>VAL OS&amp;Y FLG - GROOV AWWA  300PSI UL/FM  08</v>
          </cell>
        </row>
        <row r="5330">
          <cell r="A5330" t="str">
            <v>VLOSYFLGRC502-10</v>
          </cell>
          <cell r="B5330" t="str">
            <v>VAL OS&amp;Y FLG - GROOV AWWA  300PSI UL/FM  10</v>
          </cell>
        </row>
        <row r="5331">
          <cell r="A5331" t="str">
            <v>VLOSYGR20004-0</v>
          </cell>
          <cell r="B5331" t="str">
            <v>VAL OS&amp;Y GR 300PSI UL/FM 4</v>
          </cell>
        </row>
        <row r="5332">
          <cell r="A5332" t="str">
            <v>VLOSYGR200-2-APC</v>
          </cell>
          <cell r="B5332" t="str">
            <v>VAL OS&amp;Y GROOV 200PSI UL/FM 2</v>
          </cell>
        </row>
        <row r="5333">
          <cell r="A5333" t="str">
            <v>VLOSYGROOV300-2-00</v>
          </cell>
          <cell r="B5333" t="str">
            <v>VAL OS&amp;Y GROOV 300PSI UL/FM 2</v>
          </cell>
        </row>
        <row r="5334">
          <cell r="A5334" t="str">
            <v>VLOSYMANENESTAT</v>
          </cell>
          <cell r="B5334" t="str">
            <v xml:space="preserve">MANUAL EMEREGENCY STATION </v>
          </cell>
        </row>
        <row r="5335">
          <cell r="A5335" t="str">
            <v>VLOSYRS02-00000</v>
          </cell>
          <cell r="B5335" t="str">
            <v>VAL OS&amp;Y BR NPT 175PSI UL 2</v>
          </cell>
        </row>
        <row r="5336">
          <cell r="A5336" t="str">
            <v>VLOSYRS1C-00000</v>
          </cell>
          <cell r="B5336" t="str">
            <v xml:space="preserve">VAL OS&amp;Y B NPT 175PSI UL 1 1/4 </v>
          </cell>
        </row>
        <row r="5337">
          <cell r="A5337" t="str">
            <v>VLOSYRS1M-00000</v>
          </cell>
          <cell r="B5337" t="str">
            <v>VAL OS&amp;Y BR NPT 175PSI UL 1 1/2</v>
          </cell>
        </row>
        <row r="5338">
          <cell r="A5338" t="str">
            <v>VLPAV-00</v>
          </cell>
          <cell r="B5338" t="str">
            <v>Valvula de alivio de aire para red de rociadores Modelo PAV</v>
          </cell>
        </row>
        <row r="5339">
          <cell r="A5339" t="str">
            <v>VLPRTRIMALARVAL</v>
          </cell>
          <cell r="B5339" t="str">
            <v>(INACTIVO)</v>
          </cell>
        </row>
        <row r="5340">
          <cell r="A5340" t="str">
            <v>VLREDPRE02GRXGR</v>
          </cell>
          <cell r="B5340" t="str">
            <v>VAL. RED. PRES.2RAN 9021-G CLAVAL</v>
          </cell>
        </row>
        <row r="5341">
          <cell r="A5341" t="str">
            <v>VLREDPRE03GRXGR</v>
          </cell>
          <cell r="B5341" t="str">
            <v>VAL. RED. PRES.3RAN 9021-G CLAVAL</v>
          </cell>
        </row>
        <row r="5342">
          <cell r="A5342" t="str">
            <v>VLREDPRE04GRXGR</v>
          </cell>
          <cell r="B5342" t="str">
            <v>VAL. RED. PRES.4RAN 9021-G CLAVAL</v>
          </cell>
        </row>
        <row r="5343">
          <cell r="A5343" t="str">
            <v>VLREDPRE06GRXGR</v>
          </cell>
          <cell r="B5343" t="str">
            <v>VAL. RED. PRES.6RAN 9021-G CLAVAL</v>
          </cell>
        </row>
        <row r="5344">
          <cell r="A5344" t="str">
            <v>VLREDPRE08GRXGR</v>
          </cell>
          <cell r="B5344" t="str">
            <v>VAL. RED. PRES.8RAN 9021-G CLAVAL</v>
          </cell>
        </row>
        <row r="5345">
          <cell r="A5345" t="str">
            <v>VLREDPRE2MGRXGR</v>
          </cell>
          <cell r="B5345" t="str">
            <v>VAL. RED. PRES.21/2 RAN 9021-G CLAVAL</v>
          </cell>
        </row>
        <row r="5346">
          <cell r="A5346" t="str">
            <v>VLREDPREFLFL-06</v>
          </cell>
          <cell r="B5346" t="str">
            <v>VAL. RED. PRES.6 FLANGE 9021 CLASE 150 CLAVAL</v>
          </cell>
        </row>
        <row r="5347">
          <cell r="A5347" t="str">
            <v>VLREDPRESGR-02-WF</v>
          </cell>
          <cell r="B5347" t="str">
            <v>VAL. RED. PRES.2 RAN 1388-GG</v>
          </cell>
        </row>
        <row r="5348">
          <cell r="A5348" t="str">
            <v>VLREDPRESGR-2M-WF</v>
          </cell>
          <cell r="B5348" t="str">
            <v>VAL. RED. PRES.2 1/2 RAN 1388-GG</v>
          </cell>
        </row>
        <row r="5349">
          <cell r="A5349" t="str">
            <v>VLREDPRESGR-3-WF</v>
          </cell>
          <cell r="B5349" t="str">
            <v>VAL. RED. PRES.3 RAN 1388-GG</v>
          </cell>
        </row>
        <row r="5350">
          <cell r="A5350" t="str">
            <v>VLREDPRESGR-4-WF</v>
          </cell>
          <cell r="B5350" t="str">
            <v>VAL. RED. PRES.4 RAN 1388-GG</v>
          </cell>
        </row>
        <row r="5351">
          <cell r="A5351" t="str">
            <v>VLREDPRESGR-6-WF</v>
          </cell>
          <cell r="B5351" t="str">
            <v>VAL. RED. PRES.6 RAN 1388-GG</v>
          </cell>
        </row>
        <row r="5352">
          <cell r="A5352" t="str">
            <v>VLREGPRES02-000</v>
          </cell>
          <cell r="B5352" t="str">
            <v>VALVULA REGULADORA PRESION 2TYCO - RAPHAEL</v>
          </cell>
        </row>
        <row r="5353">
          <cell r="A5353" t="str">
            <v>VLREGPRES03-000</v>
          </cell>
          <cell r="B5353" t="str">
            <v>VALVULA REGULADORA PRESION 3</v>
          </cell>
        </row>
        <row r="5354">
          <cell r="A5354" t="str">
            <v>VLREGPRES04-000</v>
          </cell>
          <cell r="B5354" t="str">
            <v>VALVULA REGULADORA PRESION 4</v>
          </cell>
        </row>
        <row r="5355">
          <cell r="A5355" t="str">
            <v>VLREGPRES06-000</v>
          </cell>
          <cell r="B5355" t="str">
            <v>VALVULA REG.PRESION 6 TYCO 525708925</v>
          </cell>
        </row>
        <row r="5356">
          <cell r="A5356" t="str">
            <v>VLREGPRES08-000</v>
          </cell>
          <cell r="B5356" t="str">
            <v>VALVULA REGULADORA PRESION 8</v>
          </cell>
        </row>
        <row r="5357">
          <cell r="A5357" t="str">
            <v>VLREGPRESVFL02-</v>
          </cell>
          <cell r="B5357" t="str">
            <v>VAL.REG PRES.VERTICAL FLANG 2</v>
          </cell>
        </row>
        <row r="5358">
          <cell r="A5358" t="str">
            <v>VLREGPRESVFL06-</v>
          </cell>
          <cell r="B5358" t="str">
            <v>VAL.REG PRES.VERTICAL FLANG 6</v>
          </cell>
        </row>
        <row r="5359">
          <cell r="A5359" t="str">
            <v>VLREGPRESVGV03-</v>
          </cell>
          <cell r="B5359" t="str">
            <v>VAL.REG PRES.VERTICAL RANUR 3</v>
          </cell>
        </row>
        <row r="5360">
          <cell r="A5360" t="str">
            <v>VLRETADAPTAD02-</v>
          </cell>
          <cell r="B5360" t="str">
            <v>ADAPATADOR VALVULA RETENCION2</v>
          </cell>
        </row>
        <row r="5361">
          <cell r="A5361" t="str">
            <v>VLRISERMANI3GXG</v>
          </cell>
          <cell r="B5361" t="str">
            <v>RISER MANIFOLD 3GXG COMM PN: 4062</v>
          </cell>
        </row>
        <row r="5362">
          <cell r="A5362" t="str">
            <v>VLSMANG 04X2M-0</v>
          </cell>
          <cell r="B5362" t="str">
            <v xml:space="preserve">SIAMESAS NST NH SALIDA 90º SIMPLE 4X 21/2 </v>
          </cell>
        </row>
        <row r="5363">
          <cell r="A5363" t="str">
            <v>VLSMANG 06X2M-0</v>
          </cell>
          <cell r="B5363" t="str">
            <v>SIAMESAS NST NH SALIDA 90º SIMPLE 6X 21/2CK PN:6422CB01S</v>
          </cell>
        </row>
        <row r="5364">
          <cell r="A5364" t="str">
            <v>VLSMANG204X03-0</v>
          </cell>
          <cell r="B5364" t="str">
            <v>SIAMESAS NST NH SALIDA 90º 4X 3 CK PN:6413CB01S</v>
          </cell>
        </row>
        <row r="5365">
          <cell r="A5365" t="str">
            <v>VLSMANG204X2M-0</v>
          </cell>
          <cell r="B5365" t="str">
            <v xml:space="preserve">SIAMESAS NST NH SALIDA 90º DOBLE 4X 21/2 </v>
          </cell>
        </row>
        <row r="5366">
          <cell r="A5366" t="str">
            <v>VLSMANG206X03-0</v>
          </cell>
          <cell r="B5366" t="str">
            <v>SIAMESAS NST NH SALIDA 90º DOBLE 6X 3 CK PN:6425CB01S</v>
          </cell>
        </row>
        <row r="5367">
          <cell r="A5367" t="str">
            <v>VLSMANG206X2M-0</v>
          </cell>
          <cell r="B5367" t="str">
            <v xml:space="preserve">SIAMESAS NST NH SALIDA 90º DOBLE 6X 21/2 </v>
          </cell>
        </row>
        <row r="5368">
          <cell r="A5368" t="str">
            <v>VLSMLLAVEANG2M-0</v>
          </cell>
          <cell r="B5368" t="str">
            <v>LLAVE ANGULAR STORZ  2 1 /2</v>
          </cell>
        </row>
        <row r="5369">
          <cell r="A5369" t="str">
            <v>VLSMNIPLESTORZ-2.5</v>
          </cell>
          <cell r="B5369" t="str">
            <v xml:space="preserve">NIPLE ADAPTADOR 2.1/2  NH A NPT </v>
          </cell>
        </row>
        <row r="5370">
          <cell r="A5370" t="str">
            <v>VLSMREC04X2M-00</v>
          </cell>
          <cell r="B5370" t="str">
            <v xml:space="preserve">SIAMESAS NST NH SALIDA RECTA SIMPLE 4X 21/2 </v>
          </cell>
        </row>
        <row r="5371">
          <cell r="A5371" t="str">
            <v>VLSMREC06X2M-00</v>
          </cell>
          <cell r="B5371" t="str">
            <v xml:space="preserve">SIAMESAS NST NH SALIDA RECTASIMPLE 6X 21/2 </v>
          </cell>
        </row>
        <row r="5372">
          <cell r="A5372" t="str">
            <v>VLSMREC204X03-0</v>
          </cell>
          <cell r="B5372" t="str">
            <v xml:space="preserve">SIAMESAS NST NH SALIDA RECTA 4X 3 </v>
          </cell>
        </row>
        <row r="5373">
          <cell r="A5373" t="str">
            <v>VLSMREC204X2M-0</v>
          </cell>
          <cell r="B5373" t="str">
            <v xml:space="preserve">SIAMESAS NST NH SALIDA RECTA DOBLE 4X 21/2 </v>
          </cell>
        </row>
        <row r="5374">
          <cell r="A5374" t="str">
            <v>VLSMREC206X03-0</v>
          </cell>
          <cell r="B5374" t="str">
            <v xml:space="preserve">SIAMESAS NST NH SALIDA RECTA 6X 3 </v>
          </cell>
        </row>
        <row r="5375">
          <cell r="A5375" t="str">
            <v>VLSMREC206X2M-0</v>
          </cell>
          <cell r="B5375" t="str">
            <v xml:space="preserve">SIAMESAS NST NH SALIDA RECTA DOBLE 6X 21/2 </v>
          </cell>
        </row>
        <row r="5376">
          <cell r="A5376" t="str">
            <v>VLSMRECSTORZ04X03-0</v>
          </cell>
          <cell r="B5376" t="str">
            <v>SIAMESAS RECTA 4X 3 CON COPLA TAPA CADENA STORZ</v>
          </cell>
        </row>
        <row r="5377">
          <cell r="A5377" t="str">
            <v>VLSMREDSTORZ-03X2M</v>
          </cell>
          <cell r="B5377" t="str">
            <v>REDUCCION STORZ NPT  HE 3 X 2 1/2</v>
          </cell>
        </row>
        <row r="5378">
          <cell r="A5378" t="str">
            <v>VLSMREDSTORZ2M2-0</v>
          </cell>
          <cell r="B5378" t="str">
            <v>REDUCCION STORZ 2 1/2 X 2</v>
          </cell>
        </row>
        <row r="5379">
          <cell r="A5379" t="str">
            <v>VLSMREDSZNH/NST3X2M</v>
          </cell>
          <cell r="B5379" t="str">
            <v>REDUCCION STORZ NH/NST HE 3 X 2 1/2</v>
          </cell>
        </row>
        <row r="5380">
          <cell r="A5380" t="str">
            <v>VLSMSTORZTA-03--AL</v>
          </cell>
          <cell r="B5380" t="str">
            <v>TAPA STORZ DE 3 ALUMINIO</v>
          </cell>
        </row>
        <row r="5381">
          <cell r="A5381" t="str">
            <v>VLSMSTORZTU-2M-NH</v>
          </cell>
          <cell r="B5381" t="str">
            <v>TUERCA STORZ 3 HE 2 1/2 NH ALUMINIO</v>
          </cell>
        </row>
        <row r="5382">
          <cell r="A5382" t="str">
            <v>VLSMTCASTORZ-02</v>
          </cell>
          <cell r="B5382" t="str">
            <v xml:space="preserve">TUERCA STORZ 2HE NPT </v>
          </cell>
        </row>
        <row r="5383">
          <cell r="A5383" t="str">
            <v>VLSMTCASTORZ-02-00</v>
          </cell>
          <cell r="B5383" t="str">
            <v>TUERCA STORZ 2 CON HI NPT NH 2 1/2</v>
          </cell>
        </row>
        <row r="5384">
          <cell r="A5384" t="str">
            <v>VLSMTCASTORZ-02-02</v>
          </cell>
          <cell r="B5384" t="str">
            <v>TUERCA STORZ 2 HE 2 NPT ALUMINIO FEUER VOGEL</v>
          </cell>
        </row>
        <row r="5385">
          <cell r="A5385" t="str">
            <v>VLSMTCASTORZ03-00</v>
          </cell>
          <cell r="B5385" t="str">
            <v>TUERCA STORZ 3 NPT</v>
          </cell>
        </row>
        <row r="5386">
          <cell r="A5386" t="str">
            <v>VLSMTCASTORZ1-0</v>
          </cell>
          <cell r="B5386" t="str">
            <v>TUERCA STORZ 1 HE NPT</v>
          </cell>
        </row>
        <row r="5387">
          <cell r="A5387" t="str">
            <v>VLSMTCASTORZ2-0</v>
          </cell>
          <cell r="B5387" t="str">
            <v xml:space="preserve">TUERCA STORZ 2HE NPT </v>
          </cell>
        </row>
        <row r="5388">
          <cell r="A5388" t="str">
            <v>VLSMTCASTORZ-2M</v>
          </cell>
          <cell r="B5388" t="str">
            <v xml:space="preserve">TUERCA STORZ 2 1/2 HE NPT </v>
          </cell>
        </row>
        <row r="5389">
          <cell r="A5389" t="str">
            <v>VLSMTCASTORZ2M-</v>
          </cell>
          <cell r="B5389" t="str">
            <v xml:space="preserve">TUERCA STORZ 2.1/2HE NPT </v>
          </cell>
        </row>
        <row r="5390">
          <cell r="A5390" t="str">
            <v>VLSMTCASTORZ-2M-00</v>
          </cell>
          <cell r="B5390" t="str">
            <v>TUERCA STORZ DE 3 HE 21/2 BSP AL DIN</v>
          </cell>
        </row>
        <row r="5391">
          <cell r="A5391" t="str">
            <v>VLSMTPASTOR-02</v>
          </cell>
          <cell r="B5391" t="str">
            <v>TAPA STORZ 2 CON CADENA</v>
          </cell>
        </row>
        <row r="5392">
          <cell r="A5392" t="str">
            <v>VLSMTPASTOR-03</v>
          </cell>
          <cell r="B5392" t="str">
            <v>TAPA STORZ 3 CON CADENA</v>
          </cell>
        </row>
        <row r="5393">
          <cell r="A5393" t="str">
            <v>VLSMTPASTOR-2M</v>
          </cell>
          <cell r="B5393" t="str">
            <v>TAPA STORZ 2 1/2 CON CADENA</v>
          </cell>
        </row>
        <row r="5394">
          <cell r="A5394" t="str">
            <v>VLSMTPASTORZ03-00</v>
          </cell>
          <cell r="B5394" t="str">
            <v>TAPA STORZ 3 CON CADENA</v>
          </cell>
        </row>
        <row r="5395">
          <cell r="A5395" t="str">
            <v>VLSMTPASTORZ1</v>
          </cell>
          <cell r="B5395" t="str">
            <v>TAPA STORZ 1 CON CADENA</v>
          </cell>
        </row>
        <row r="5396">
          <cell r="A5396" t="str">
            <v>VLSMTPASTORZ2-0</v>
          </cell>
          <cell r="B5396" t="str">
            <v xml:space="preserve">TAPA STORZ 2CON CADENA </v>
          </cell>
        </row>
        <row r="5397">
          <cell r="A5397" t="str">
            <v>VLSMTPASTORZ2M-</v>
          </cell>
          <cell r="B5397" t="str">
            <v>TAPA STORZ 2.1/2CON CADENA HE</v>
          </cell>
        </row>
        <row r="5398">
          <cell r="A5398" t="str">
            <v>VLSMTTCSTORZ-03-00</v>
          </cell>
          <cell r="B5398" t="str">
            <v xml:space="preserve">TUERCA STORZ 3 MAS TAPA Y CADENA NPT </v>
          </cell>
        </row>
        <row r="5399">
          <cell r="A5399" t="str">
            <v>VLSMTUETAP2M-2M</v>
          </cell>
          <cell r="B5399" t="str">
            <v xml:space="preserve">TUERCA Y TAPA STORZ DE 2 1/2 HE 21/2 HE NPT LEGEND  </v>
          </cell>
        </row>
        <row r="5400">
          <cell r="A5400" t="str">
            <v>VLSOLEDILEXP-1/2</v>
          </cell>
          <cell r="B5400" t="str">
            <v>SOLEN. VALV.DILUV.EXP. PROOF 1/2 24VOL 522871224</v>
          </cell>
        </row>
        <row r="5401">
          <cell r="A5401" t="str">
            <v>VLSOLEDILUV1/2</v>
          </cell>
          <cell r="B5401" t="str">
            <v>SOLENOIDE 24V DC 1/2</v>
          </cell>
        </row>
        <row r="5402">
          <cell r="A5402" t="str">
            <v>VLTD01-00000000</v>
          </cell>
          <cell r="B5402" t="str">
            <v>VALV.TEST &amp; DRAIN C/VISOR    1</v>
          </cell>
        </row>
        <row r="5403">
          <cell r="A5403" t="str">
            <v>VLTD02-00000000</v>
          </cell>
          <cell r="B5403" t="str">
            <v>VALV.TEST &amp; DRAIN C/VISOR    2</v>
          </cell>
        </row>
        <row r="5404">
          <cell r="A5404" t="str">
            <v>VLTD0M-00000000</v>
          </cell>
          <cell r="B5404" t="str">
            <v>VALV.TEST &amp; DRAIN C/VISOR   1/2</v>
          </cell>
        </row>
        <row r="5405">
          <cell r="A5405" t="str">
            <v>VLTD1C-00000000</v>
          </cell>
          <cell r="B5405" t="str">
            <v>VALV.TEST &amp;DRAIN C/VISOR   11/4</v>
          </cell>
        </row>
        <row r="5406">
          <cell r="A5406" t="str">
            <v>VLTDAGF-213A</v>
          </cell>
          <cell r="B5406" t="str">
            <v xml:space="preserve">10111  X 17/32 (AGF ITEM 213A) </v>
          </cell>
        </row>
        <row r="5407">
          <cell r="A5407" t="str">
            <v>VLTDAGF-225A</v>
          </cell>
          <cell r="B5407" t="str">
            <v xml:space="preserve">10111 1/4 X 3/4 ORIFICE (AGF ITEM 225A) </v>
          </cell>
        </row>
        <row r="5408">
          <cell r="A5408" t="str">
            <v>VLTDAGF-304A</v>
          </cell>
          <cell r="B5408" t="str">
            <v xml:space="preserve">AFG 30111  X 5/8 ORIFICE (AGF ITEM ID 304A) </v>
          </cell>
        </row>
        <row r="5409">
          <cell r="A5409" t="str">
            <v>VLTRAIRMANH1-00</v>
          </cell>
          <cell r="B5409" t="str">
            <v xml:space="preserve">MANTENEDOR DE AIRE GLOBE H1 </v>
          </cell>
        </row>
        <row r="5410">
          <cell r="A5410" t="str">
            <v>VLTRAIRMANH2-00</v>
          </cell>
          <cell r="B5410" t="str">
            <v xml:space="preserve">MANTENEDOR DE AIRE GLOBE H2 </v>
          </cell>
        </row>
        <row r="5411">
          <cell r="A5411" t="str">
            <v>VLTRAIRMANH3-00</v>
          </cell>
          <cell r="B5411" t="str">
            <v xml:space="preserve">MANTENEDOR DE AIRE GLOBE H3 </v>
          </cell>
        </row>
        <row r="5412">
          <cell r="A5412" t="str">
            <v>VLTRALAOPA6-000</v>
          </cell>
          <cell r="B5412" t="str">
            <v xml:space="preserve">TRIM P/VAL ALARMA 4&amp; 6OPEN TY 522044954 </v>
          </cell>
        </row>
        <row r="5413">
          <cell r="A5413" t="str">
            <v>VLTRALARMA-08-00</v>
          </cell>
          <cell r="B5413" t="str">
            <v>TRIM P/VAL. ALARMA 8 CLOSE TY 522044952</v>
          </cell>
        </row>
        <row r="5414">
          <cell r="A5414" t="str">
            <v>VLTRALARMA2M-00</v>
          </cell>
          <cell r="B5414" t="str">
            <v>TRIM P/VAL. ALARMA CLOSED 21/2TY 522044950</v>
          </cell>
        </row>
        <row r="5415">
          <cell r="A5415" t="str">
            <v>VLTRALARMA6-000</v>
          </cell>
          <cell r="B5415" t="str">
            <v>TRIM P/VAL. ALARMA 4&amp; 6CLO TY 522044951</v>
          </cell>
        </row>
        <row r="5416">
          <cell r="A5416" t="str">
            <v>VLTRALASPA4-000</v>
          </cell>
          <cell r="B5416" t="str">
            <v>TRIM SOBREPRESION 175 PSI P/VAL ALARMA - TY 522012047</v>
          </cell>
        </row>
        <row r="5417">
          <cell r="A5417" t="str">
            <v>VLTRBSWET04&amp;06-</v>
          </cell>
          <cell r="B5417" t="str">
            <v>TRIM BASICO WET PILOT DE 4,6,8 524772101</v>
          </cell>
        </row>
        <row r="5418">
          <cell r="A5418" t="str">
            <v>VLTRDPBAS03-000</v>
          </cell>
          <cell r="B5418" t="str">
            <v>TRIM BASICO 3VALV INACTIVO</v>
          </cell>
        </row>
        <row r="5419">
          <cell r="A5419" t="str">
            <v>VLTRDPBAS04-000</v>
          </cell>
          <cell r="B5419" t="str">
            <v>TRIM BASICO 4VALV.DRY PIPE TY 52-309-2-001</v>
          </cell>
        </row>
        <row r="5420">
          <cell r="A5420" t="str">
            <v>VLTRDPBAS06-000</v>
          </cell>
          <cell r="B5420" t="str">
            <v>TRIM BASICO 6VALV.DRY PIPE TY 523092002</v>
          </cell>
        </row>
        <row r="5421">
          <cell r="A5421" t="str">
            <v>VLTRDP-BAS2M-00</v>
          </cell>
          <cell r="B5421" t="str">
            <v>Trim Bas.21/2 -3 INACTIVO</v>
          </cell>
        </row>
        <row r="5422">
          <cell r="A5422" t="str">
            <v>VLTRDPBAS2M-000</v>
          </cell>
          <cell r="B5422" t="str">
            <v xml:space="preserve">TRIM BASICO 21/2 &amp; 3 VALVDRY PIPE TY 52-309-2-005 </v>
          </cell>
        </row>
        <row r="5423">
          <cell r="A5423" t="str">
            <v>VLTRDRIPBRACKET</v>
          </cell>
          <cell r="B5423" t="str">
            <v>TRIM DRIP BRACKET P/N 922111003</v>
          </cell>
        </row>
        <row r="5424">
          <cell r="A5424" t="str">
            <v>VLTRDRIPCONNECTOR</v>
          </cell>
          <cell r="B5424" t="str">
            <v>TRIM DRIP CONNECTOR P/N 922111004</v>
          </cell>
        </row>
        <row r="5425">
          <cell r="A5425" t="str">
            <v>VLTRDRIPFUNNEL</v>
          </cell>
          <cell r="B5425" t="str">
            <v>TRIM DRIP FUNNEL P/N 923431007</v>
          </cell>
        </row>
        <row r="5426">
          <cell r="A5426" t="str">
            <v>VLTRELSEDV04&amp;06</v>
          </cell>
          <cell r="B5426" t="str">
            <v>TRIM ELECT.SECO VAL.DEL.4,6&amp;8TY 52-477-2-202</v>
          </cell>
        </row>
        <row r="5427">
          <cell r="A5427" t="str">
            <v>VLTRELSYS02-000</v>
          </cell>
          <cell r="B5427" t="str">
            <v xml:space="preserve">INACTIVO </v>
          </cell>
        </row>
        <row r="5428">
          <cell r="A5428" t="str">
            <v>VLTRELSYS03-000</v>
          </cell>
          <cell r="B5428" t="str">
            <v>TRIM ELECTRICO P/VAL.DEL.3TY 52-477-2-106</v>
          </cell>
        </row>
        <row r="5429">
          <cell r="A5429" t="str">
            <v>VLTRELSYS04&amp;06-</v>
          </cell>
          <cell r="B5429" t="str">
            <v>TRIM ELECT. P/VAL.DEL.4,6&amp;8TY 52-477-2-103  (303)</v>
          </cell>
        </row>
        <row r="5430">
          <cell r="A5430" t="str">
            <v>VLTRELSYS2M-000</v>
          </cell>
          <cell r="B5430" t="str">
            <v>TRIM ELECTRICO P/VAL.DEL.21/2RE 25ERL</v>
          </cell>
        </row>
        <row r="5431">
          <cell r="A5431" t="str">
            <v>VLTRELSYSBRON02</v>
          </cell>
          <cell r="B5431" t="str">
            <v>TRIM ELECT.P/VAL.DIL. 11/2 -2TY 52-477-2-109 (309)</v>
          </cell>
        </row>
        <row r="5432">
          <cell r="A5432" t="str">
            <v>VLTRELSYSBRON03</v>
          </cell>
          <cell r="B5432" t="str">
            <v>TRIM ELEC.BRONCE P/VAL.DEL.3</v>
          </cell>
        </row>
        <row r="5433">
          <cell r="A5433" t="str">
            <v>VLTRELSYSGALV02</v>
          </cell>
          <cell r="B5433" t="str">
            <v>TRIM ELEC. HORIZONTAL 2 PN 524772409</v>
          </cell>
        </row>
        <row r="5434">
          <cell r="A5434" t="str">
            <v>VLTRELSYSGALV03</v>
          </cell>
          <cell r="B5434" t="str">
            <v>TRIM ELEC. HORIZONTAL 3 PN 524772206</v>
          </cell>
        </row>
        <row r="5435">
          <cell r="A5435" t="str">
            <v>VLTRIACCEL-0000</v>
          </cell>
          <cell r="B5435" t="str">
            <v>ACELERADOR P/ DRY PIPE VALVE TY 523111OO1P</v>
          </cell>
        </row>
        <row r="5436">
          <cell r="A5436" t="str">
            <v>VLTRIAIRCOM110G</v>
          </cell>
          <cell r="B5436" t="str">
            <v xml:space="preserve">COMPRESOR DE AIRE 110 GAL </v>
          </cell>
        </row>
        <row r="5437">
          <cell r="A5437" t="str">
            <v>VLTRIAIRCOM125G</v>
          </cell>
          <cell r="B5437" t="str">
            <v>COMPRESOR DE AIRE 103 G 50 HZ ( GENERAL )</v>
          </cell>
        </row>
        <row r="5438">
          <cell r="A5438" t="str">
            <v>VLTRIAIRCOM215G</v>
          </cell>
          <cell r="B5438" t="str">
            <v xml:space="preserve">COMPRESOR DE AIRE 198 GAL Mod OL-75025AC-51 </v>
          </cell>
        </row>
        <row r="5439">
          <cell r="A5439" t="str">
            <v>VLTRIAIRCOM335G</v>
          </cell>
          <cell r="B5439" t="str">
            <v xml:space="preserve">COMPRESOR DE AIRE 301 GAL OL-114056AC-52 </v>
          </cell>
        </row>
        <row r="5440">
          <cell r="A5440" t="str">
            <v>VLTRIAIRCOM435G</v>
          </cell>
          <cell r="B5440" t="str">
            <v xml:space="preserve">COMPRESOR DE AIRE 356 GAL OL-135075AC-53 </v>
          </cell>
        </row>
        <row r="5441">
          <cell r="A5441" t="str">
            <v>VLTRIAIRCOM610G</v>
          </cell>
          <cell r="B5441" t="str">
            <v>COMPRESOR DE AIRE 520 GAL OL-1965120AC-54</v>
          </cell>
        </row>
        <row r="5442">
          <cell r="A5442" t="str">
            <v>VLTRIAIRCOM640G</v>
          </cell>
          <cell r="B5442" t="str">
            <v>COMPRESOR DE AIRE 758 GAL  OL-2870150AC-55</v>
          </cell>
        </row>
        <row r="5443">
          <cell r="A5443" t="str">
            <v>VLTRIAIRMANAMD1</v>
          </cell>
          <cell r="B5443" t="str">
            <v xml:space="preserve">MANTENEDOR DE AIRE AMD 1 TY 523242002 </v>
          </cell>
        </row>
        <row r="5444">
          <cell r="A5444" t="str">
            <v>VLTRIMODELC-0000</v>
          </cell>
          <cell r="B5444" t="str">
            <v>ACELERADOR AND AFC MODEL C PN-300400</v>
          </cell>
        </row>
        <row r="5445">
          <cell r="A5445" t="str">
            <v>VLTRIMSHTG4-000</v>
          </cell>
          <cell r="B5445" t="str">
            <v>TRIM P/VAL.CHECKSHOTG 4GL 321563</v>
          </cell>
        </row>
        <row r="5446">
          <cell r="A5446" t="str">
            <v>VLTRIMSHTG4-APC</v>
          </cell>
          <cell r="B5446" t="str">
            <v xml:space="preserve">TRIM P/VAL.CHECKSHOTG 4 </v>
          </cell>
        </row>
        <row r="5447">
          <cell r="A5447" t="str">
            <v>VLTRIPREDBL02-0</v>
          </cell>
          <cell r="B5447" t="str">
            <v>TRIM PRE DOB INTERL P/VDIL11/2 &amp; 2 P/N 524782127 (327) (527)</v>
          </cell>
        </row>
        <row r="5448">
          <cell r="A5448" t="str">
            <v>VLTRIPREDBL03-0</v>
          </cell>
          <cell r="B5448" t="str">
            <v>TRIM PREAC DOB INTERL P/VDIL3TY 52-478-2-124</v>
          </cell>
        </row>
        <row r="5449">
          <cell r="A5449" t="str">
            <v>VLTRIPREDBL1M-0</v>
          </cell>
          <cell r="B5449" t="str">
            <v>( INACTIVO )</v>
          </cell>
        </row>
        <row r="5450">
          <cell r="A5450" t="str">
            <v>VLTRIPREDBL4&amp;6-</v>
          </cell>
          <cell r="B5450" t="str">
            <v xml:space="preserve">TRIM PREA DOB INTERL P/VDIL4&amp;6 TY 52-478-2-121 </v>
          </cell>
        </row>
        <row r="5451">
          <cell r="A5451" t="str">
            <v>VLTRIPREDBLELEC-02-0</v>
          </cell>
          <cell r="B5451" t="str">
            <v>TRIM PRE DOB INTERL P/VDIL ELEC-ELEC 11/2 &amp; 2 P/N 524782128</v>
          </cell>
        </row>
        <row r="5452">
          <cell r="A5452" t="str">
            <v>VLTRIPRESGL03-0</v>
          </cell>
          <cell r="B5452" t="str">
            <v>TRIM PREA SIN INTERL P/VDIL 3</v>
          </cell>
        </row>
        <row r="5453">
          <cell r="A5453" t="str">
            <v>VLTRIPRESGL4&amp;6-</v>
          </cell>
          <cell r="B5453" t="str">
            <v xml:space="preserve">TRIM PREA SIN INTERL P/VDIL4&amp;6 </v>
          </cell>
        </row>
        <row r="5454">
          <cell r="A5454" t="str">
            <v>VLTRIPRESINGELEC-03</v>
          </cell>
          <cell r="B5454" t="str">
            <v>Trim Single Interlock Eléctrico 3  P/N52-478-2-116</v>
          </cell>
        </row>
        <row r="5455">
          <cell r="A5455" t="str">
            <v>VLTRSECODV03-00</v>
          </cell>
          <cell r="B5455" t="str">
            <v>TRIM SECO PARA VAL. DILUVIO 3 P/N 52-477-2-105</v>
          </cell>
        </row>
        <row r="5456">
          <cell r="A5456" t="str">
            <v xml:space="preserve">VLTRSECODV4-6-8-00 </v>
          </cell>
          <cell r="B5456" t="str">
            <v>Trim Basico Seco para VL Diluvio 4-6 y 8  P/N 524772102</v>
          </cell>
        </row>
        <row r="5457">
          <cell r="A5457" t="str">
            <v>VLTRSHTGLRG-000</v>
          </cell>
          <cell r="B5457" t="str">
            <v>TRIM P/VAL.CHECKSHOTG 6Y 8GL 321564</v>
          </cell>
        </row>
        <row r="5458">
          <cell r="A5458" t="str">
            <v>VLTRSHTGSML-000</v>
          </cell>
          <cell r="B5458" t="str">
            <v>TRIM P/CHECKSHOTG 21/2 Y3GL 321562</v>
          </cell>
        </row>
        <row r="5459">
          <cell r="A5459" t="str">
            <v>VLTRSHTGSML02-0</v>
          </cell>
          <cell r="B5459" t="str">
            <v>TRIM P/CHECKSHOTG 2GL 321561</v>
          </cell>
        </row>
        <row r="5460">
          <cell r="A5460" t="str">
            <v>VLVENTEOO01-000</v>
          </cell>
          <cell r="B5460" t="str">
            <v>VALVULA DE VENTEO 1SERIE 34 CLAVALAIR RELEASE</v>
          </cell>
        </row>
        <row r="5461">
          <cell r="A5461" t="str">
            <v>VLVRCAMP-000000</v>
          </cell>
          <cell r="B5461" t="str">
            <v>CAMPANA ALARMA GLOBE  325500</v>
          </cell>
        </row>
        <row r="5462">
          <cell r="A5462" t="str">
            <v>VLVRCAMPMOT-000</v>
          </cell>
          <cell r="B5462" t="str">
            <v>CAMPANA ALARMA C/MOTOR H. TY 526301001P</v>
          </cell>
        </row>
        <row r="5463">
          <cell r="A5463" t="str">
            <v>VLVRCAMPMOT-ALUMINIO</v>
          </cell>
          <cell r="B5463" t="str">
            <v>CAMPANA ALARMA C/MOTOR H. ALUMINIO TY 526302001P</v>
          </cell>
        </row>
        <row r="5464">
          <cell r="A5464" t="str">
            <v>VLVRCAMPMOT-HD</v>
          </cell>
          <cell r="B5464" t="str">
            <v>CAMPANA ALAR C/MOTOR HIDR. TYPE ( A )  HD107</v>
          </cell>
        </row>
        <row r="5465">
          <cell r="A5465" t="str">
            <v>VLVRCAMPMOT-HD-TYPEB</v>
          </cell>
          <cell r="B5465" t="str">
            <v>CAMPANA ALAR C/MOTOR HIDR. TYPE ( B )  HD107</v>
          </cell>
        </row>
        <row r="5466">
          <cell r="A5466" t="str">
            <v>VLVRCAMPMOT-WF</v>
          </cell>
          <cell r="B5466" t="str">
            <v xml:space="preserve">CAMPANA ALARMA C/MOTOR HIDRAULICA </v>
          </cell>
        </row>
        <row r="5467">
          <cell r="A5467" t="str">
            <v>VLVRCAMRET-0000</v>
          </cell>
          <cell r="B5467" t="str">
            <v>CAMPANA DE RETARDO GLOBE</v>
          </cell>
        </row>
        <row r="5468">
          <cell r="A5468" t="str">
            <v>VLWMWP2302-02-0</v>
          </cell>
          <cell r="B5468" t="str">
            <v>VALV MARI WAFER DI PALANCA 2</v>
          </cell>
        </row>
        <row r="5469">
          <cell r="A5469" t="str">
            <v>VLWMWP2302-03-0</v>
          </cell>
          <cell r="B5469" t="str">
            <v>VALV MARI WAFER DI PALANCA 3</v>
          </cell>
        </row>
        <row r="5470">
          <cell r="A5470" t="str">
            <v>VLWMWP2302-04-0</v>
          </cell>
          <cell r="B5470" t="str">
            <v>VALV MARI WAFER DI PALANCA 4</v>
          </cell>
        </row>
        <row r="5471">
          <cell r="A5471" t="str">
            <v>VLWMWP2302-06-0</v>
          </cell>
          <cell r="B5471" t="str">
            <v>VALV MARI WAFER DI PALANCA 6</v>
          </cell>
        </row>
        <row r="5472">
          <cell r="A5472" t="str">
            <v>VLWMWP2302-08-0</v>
          </cell>
          <cell r="B5472" t="str">
            <v>VALV MARI WAFER DI PALANCA 8</v>
          </cell>
        </row>
        <row r="5473">
          <cell r="A5473" t="str">
            <v>VLWMWP2302-2M-0</v>
          </cell>
          <cell r="B5473" t="str">
            <v>VAL MARI WAFER DI PALANCA 2.5</v>
          </cell>
        </row>
        <row r="5474">
          <cell r="A5474" t="str">
            <v>VLWMWP2304-03-0</v>
          </cell>
          <cell r="B5474" t="str">
            <v>VALV MARI WAFER DHC PALANCA 3</v>
          </cell>
        </row>
        <row r="5475">
          <cell r="A5475" t="str">
            <v>VLWMWP2304-04-0</v>
          </cell>
          <cell r="B5475" t="str">
            <v>VALV MARI WAFER DHC PALANCA 4</v>
          </cell>
        </row>
        <row r="5476">
          <cell r="A5476" t="str">
            <v>VLWMWV2302-10-0</v>
          </cell>
          <cell r="B5476" t="str">
            <v>VALV MARI WAFER DI VOLANTE 10</v>
          </cell>
        </row>
        <row r="5477">
          <cell r="A5477" t="str">
            <v>VLWMWV2302-12-0</v>
          </cell>
          <cell r="B5477" t="str">
            <v>VALV MARI WAFER DI VOLANTE 12</v>
          </cell>
        </row>
        <row r="5478">
          <cell r="A5478" t="str">
            <v>VLWMWV2304-04-0</v>
          </cell>
          <cell r="B5478" t="str">
            <v>VALV MARI WAFER DHC VOLANTE 4</v>
          </cell>
        </row>
        <row r="5479">
          <cell r="A5479" t="str">
            <v>VLWMWV2304-06-0</v>
          </cell>
          <cell r="B5479" t="str">
            <v>VALV MARI WAFER DHC VOLANTE 6</v>
          </cell>
        </row>
        <row r="5480">
          <cell r="A5480" t="str">
            <v>VLWMWV2304-08-0</v>
          </cell>
          <cell r="B5480" t="str">
            <v>VALV MARI WAFER DHC VOLANTE 8</v>
          </cell>
        </row>
        <row r="5481">
          <cell r="A5481" t="str">
            <v>VLWMXLP2502-06-</v>
          </cell>
          <cell r="B5481" t="str">
            <v>VALV MARI LUG DI PALANCA 6</v>
          </cell>
        </row>
        <row r="5482">
          <cell r="A5482" t="str">
            <v>VLWMXLP2502-08-</v>
          </cell>
          <cell r="B5482" t="str">
            <v>VALV MARI LUG DI PALANCA 8</v>
          </cell>
        </row>
        <row r="5483">
          <cell r="A5483" t="str">
            <v>VLWMXLV2502-10-</v>
          </cell>
          <cell r="B5483" t="str">
            <v>VALV MARI LUG DI VOLANTE 10</v>
          </cell>
        </row>
        <row r="5484">
          <cell r="A5484" t="str">
            <v>VLWMXLV2502-12-</v>
          </cell>
          <cell r="B5484" t="str">
            <v>VALV MARI LUG DI VOLANTE 12</v>
          </cell>
        </row>
        <row r="5485">
          <cell r="A5485" t="str">
            <v>VLWMXR2902-04-0</v>
          </cell>
          <cell r="B5485" t="str">
            <v>VALV MARI RANURA DE PALANCA 4</v>
          </cell>
        </row>
        <row r="5486">
          <cell r="A5486" t="str">
            <v>VLWMXRL-02-0000</v>
          </cell>
          <cell r="B5486" t="str">
            <v>JUNTA DE CAUCHO / VAL MARIP 2</v>
          </cell>
        </row>
        <row r="5487">
          <cell r="A5487" t="str">
            <v>VLWMXRL-03-0000</v>
          </cell>
          <cell r="B5487" t="str">
            <v>JUNTA DE CAUCHO / VAL MARIP 3</v>
          </cell>
        </row>
        <row r="5488">
          <cell r="A5488" t="str">
            <v>VLWMXRL-04-0000</v>
          </cell>
          <cell r="B5488" t="str">
            <v>JUNTA DE CAUCHO / VAL MARIP 4</v>
          </cell>
        </row>
        <row r="5489">
          <cell r="A5489" t="str">
            <v>VLWMXRL-06-0000</v>
          </cell>
          <cell r="B5489" t="str">
            <v>JUNTA DE CAUCHO / VAL MARIP 6</v>
          </cell>
        </row>
        <row r="5490">
          <cell r="A5490" t="str">
            <v>VLWMXRL-08-0000</v>
          </cell>
          <cell r="B5490" t="str">
            <v>JUNTA DE CAUCHO / VAL MARIP 8</v>
          </cell>
        </row>
        <row r="5491">
          <cell r="A5491" t="str">
            <v>VLWMXRL-10-0000</v>
          </cell>
          <cell r="B5491" t="str">
            <v>JUNTA DE CAUCHO /VAL MARIP 10</v>
          </cell>
        </row>
        <row r="5492">
          <cell r="A5492" t="str">
            <v>VLWMXRL-12-0000</v>
          </cell>
          <cell r="B5492" t="str">
            <v>JUNTA DE CAUCHO /VAL MARIP 12</v>
          </cell>
        </row>
        <row r="5493">
          <cell r="A5493" t="str">
            <v>VLWMXRL-2M-0000</v>
          </cell>
          <cell r="B5493" t="str">
            <v>JUNTA DE CAUCHO /VAL MARI 2.5</v>
          </cell>
        </row>
        <row r="5494">
          <cell r="A5494" t="str">
            <v>VLWNDC5306-02-0</v>
          </cell>
          <cell r="B5494" t="str">
            <v>VALV RETENCION WAFER DI 2</v>
          </cell>
        </row>
        <row r="5495">
          <cell r="A5495" t="str">
            <v>VLWNDC5306-03-0</v>
          </cell>
          <cell r="B5495" t="str">
            <v>VALV RETENCION WAFER DI 3</v>
          </cell>
        </row>
        <row r="5496">
          <cell r="A5496" t="str">
            <v>VLWNDC5306-04-0</v>
          </cell>
          <cell r="B5496" t="str">
            <v>VALV RETENCION WAFER DI 4</v>
          </cell>
        </row>
        <row r="5497">
          <cell r="A5497" t="str">
            <v>VLWNDC5306-06-0</v>
          </cell>
          <cell r="B5497" t="str">
            <v>VALV RETENCION WAFER DI 6</v>
          </cell>
        </row>
        <row r="5498">
          <cell r="A5498" t="str">
            <v>VLWNDC5306-08-0</v>
          </cell>
          <cell r="B5498" t="str">
            <v>VALV RETENCION WAFER DI 8</v>
          </cell>
        </row>
        <row r="5499">
          <cell r="A5499" t="str">
            <v>VLWNDC5306-10-0</v>
          </cell>
          <cell r="B5499" t="str">
            <v>VALV RETENCION WAFER DI 10</v>
          </cell>
        </row>
        <row r="5500">
          <cell r="A5500" t="str">
            <v>VLWNDC5306-12-0</v>
          </cell>
          <cell r="B5500" t="str">
            <v>VALV RETENCION WAFER DI 12</v>
          </cell>
        </row>
        <row r="5501">
          <cell r="A5501" t="str">
            <v>VLWNDC5306-2M-0</v>
          </cell>
          <cell r="B5501" t="str">
            <v>VALV RETENCION WAFER DI 2.5</v>
          </cell>
        </row>
        <row r="5502">
          <cell r="A5502" t="str">
            <v>VLWOSY3233-06-0</v>
          </cell>
          <cell r="B5502" t="str">
            <v>VAL COMP OS&amp;Y PN16 FLG EPDM 6</v>
          </cell>
        </row>
        <row r="5503">
          <cell r="A5503" t="str">
            <v>VLWOSY3233-08-0</v>
          </cell>
          <cell r="B5503" t="str">
            <v>VAL COMP OS&amp;Y PN16 FLG EPDM 8</v>
          </cell>
        </row>
        <row r="5504">
          <cell r="A5504" t="str">
            <v>VLWOSY3233-10-0</v>
          </cell>
          <cell r="B5504" t="str">
            <v>VAL COMP OS&amp;Y PN16 FL EPDM 10</v>
          </cell>
        </row>
        <row r="5505">
          <cell r="A5505" t="str">
            <v>WM-53108034</v>
          </cell>
          <cell r="B5505" t="str">
            <v>BATERIA 3 CIL DE 80L. H2O + 2 CIL 80L. N2 FM5560</v>
          </cell>
        </row>
        <row r="5506">
          <cell r="A5506" t="str">
            <v>WM-81100052</v>
          </cell>
          <cell r="B5506" t="str">
            <v>OPEN T WM NOZZLE OF 1.2 L/Min  AT 120</v>
          </cell>
        </row>
        <row r="5507">
          <cell r="A5507" t="str">
            <v>WM-81400040</v>
          </cell>
          <cell r="B5507" t="str">
            <v>OPEN WM NOZZLE 4.81 L/MIN AT 120 BAR</v>
          </cell>
        </row>
        <row r="5508">
          <cell r="A5508" t="str">
            <v>YS7103-02-00000</v>
          </cell>
          <cell r="B5508" t="str">
            <v>FILTRO Y FL PN16 EG SSS DIB 2</v>
          </cell>
        </row>
        <row r="5509">
          <cell r="A5509" t="str">
            <v>YS7103-03-00000</v>
          </cell>
          <cell r="B5509" t="str">
            <v>FILTRO Y FL PN16 EG SSS DIB 3</v>
          </cell>
        </row>
        <row r="5510">
          <cell r="A5510" t="str">
            <v>YS7103-04-00000</v>
          </cell>
          <cell r="B5510" t="str">
            <v>FILTRO Y FL PN16 EG SSS DIB 4</v>
          </cell>
        </row>
        <row r="5511">
          <cell r="A5511" t="str">
            <v>YS7103-06-00000</v>
          </cell>
          <cell r="B5511" t="str">
            <v>FILTRO Y FL PN16 EG SSS DIB 6</v>
          </cell>
        </row>
        <row r="5512">
          <cell r="A5512" t="str">
            <v>YS7103-08-00000</v>
          </cell>
          <cell r="B5512" t="str">
            <v>FILTRO Y FL PN16 EG SSS DIB 8</v>
          </cell>
        </row>
        <row r="5513">
          <cell r="A5513" t="str">
            <v>YS7103-10-00000</v>
          </cell>
          <cell r="B5513" t="str">
            <v>FILTRO Y FL PN16 EG SI DIB 10</v>
          </cell>
        </row>
        <row r="5514">
          <cell r="A5514" t="str">
            <v>YS7103-12-00000</v>
          </cell>
          <cell r="B5514" t="str">
            <v>FILTRO Y FL PN16 EG SI DIB 12</v>
          </cell>
        </row>
        <row r="5515">
          <cell r="A5515" t="str">
            <v>YS7103-2M-00000</v>
          </cell>
          <cell r="B5515" t="str">
            <v>FILT Y FL PN16 EG SSS DIB 2.5</v>
          </cell>
        </row>
        <row r="5516">
          <cell r="A5516" t="str">
            <v>ZSSREJ8101-02-0</v>
          </cell>
          <cell r="B5516" t="str">
            <v>JUNTA EXPANCION CAUCHO FLG 2  PN16</v>
          </cell>
        </row>
        <row r="5517">
          <cell r="A5517" t="str">
            <v>ZSSREJ8101-03-0</v>
          </cell>
          <cell r="B5517" t="str">
            <v>JUNTA EXPANCION CAUCHO FLG 3  PN16</v>
          </cell>
        </row>
        <row r="5518">
          <cell r="A5518" t="str">
            <v>ZSSREJ8101-04-0</v>
          </cell>
          <cell r="B5518" t="str">
            <v>JUNTA EXPANCION CAUCHO FLG 4 DN 100  PN16</v>
          </cell>
        </row>
        <row r="5519">
          <cell r="A5519" t="str">
            <v>ZSSREJ8101-06-0</v>
          </cell>
          <cell r="B5519" t="str">
            <v>JUNTA EXPANCION CAUCHO FLG 6 DN 150  PN16</v>
          </cell>
        </row>
        <row r="5520">
          <cell r="A5520" t="str">
            <v>ZSSREJ8101-08-0</v>
          </cell>
          <cell r="B5520" t="str">
            <v>JUNTA EXP EP ES PN16 FLG 8</v>
          </cell>
        </row>
        <row r="5521">
          <cell r="A5521" t="str">
            <v>ZSSREJ8101-10-0</v>
          </cell>
          <cell r="B5521" t="str">
            <v>JUNTA EXPANCION CAUCHO FLG 10 PN 16</v>
          </cell>
        </row>
        <row r="5522">
          <cell r="A5522" t="str">
            <v>ZSSREJ8101-12-0</v>
          </cell>
          <cell r="B5522" t="str">
            <v>JUNTA EXPANCION CAUCHO FLG 12 PN16</v>
          </cell>
        </row>
        <row r="5523">
          <cell r="A5523" t="str">
            <v>ZSSREJ8101-2M-0</v>
          </cell>
          <cell r="B5523" t="str">
            <v>JUNTA EXPANCION CAUCHO FLG 2.5 PN16</v>
          </cell>
        </row>
        <row r="5524">
          <cell r="A5524" t="str">
            <v>ZZZACGVCPR03OD-</v>
          </cell>
          <cell r="B5524" t="str">
            <v>CUPLA RIGIDA GROOV 3OD PN: 57730AMSC</v>
          </cell>
        </row>
        <row r="5525">
          <cell r="A5525" t="str">
            <v>ZZZCAÑERIA-5301</v>
          </cell>
          <cell r="B5525" t="str">
            <v>Cañería ASTM A53 SCH40 1  x 6 mts.</v>
          </cell>
        </row>
        <row r="5526">
          <cell r="A5526" t="str">
            <v>ZZZCAÑERIA-5302</v>
          </cell>
          <cell r="B5526" t="str">
            <v>Cañería ASTM A53 SCH40 2  x 6 mts.</v>
          </cell>
        </row>
        <row r="5527">
          <cell r="A5527" t="str">
            <v>ZZZCAÑERIA-53-04-0</v>
          </cell>
          <cell r="B5527" t="str">
            <v>CAÑERIA ASTM A53 SCH40 4 x 6 MTS.</v>
          </cell>
        </row>
        <row r="5528">
          <cell r="A5528" t="str">
            <v>ZZZCAÑERIA-5305</v>
          </cell>
          <cell r="B5528" t="str">
            <v>INACTIVO</v>
          </cell>
        </row>
        <row r="5529">
          <cell r="A5529" t="str">
            <v>ZZZCAÑERIA-53-06-0</v>
          </cell>
          <cell r="B5529" t="str">
            <v>Cañería ASTM A53 SCH40 6 x 6 mts.</v>
          </cell>
        </row>
        <row r="5530">
          <cell r="A5530" t="str">
            <v>ZZZCAÑERIA-5308</v>
          </cell>
          <cell r="B5530" t="str">
            <v>Cañería ASTM A53 SCH40 8  x 6 mts.</v>
          </cell>
        </row>
        <row r="5531">
          <cell r="A5531" t="str">
            <v>ZZZCAÑERIA-530M</v>
          </cell>
          <cell r="B5531" t="str">
            <v>INACTIVO</v>
          </cell>
        </row>
        <row r="5532">
          <cell r="A5532" t="str">
            <v>ZZZCAÑERIA-5310</v>
          </cell>
          <cell r="B5532" t="str">
            <v>INACTIVO</v>
          </cell>
        </row>
        <row r="5533">
          <cell r="A5533" t="str">
            <v>ZZZCAÑERIA-531C</v>
          </cell>
          <cell r="B5533" t="str">
            <v>INACTIVO</v>
          </cell>
        </row>
        <row r="5534">
          <cell r="A5534" t="str">
            <v>ZZZCAÑERIA-531M</v>
          </cell>
          <cell r="B5534" t="str">
            <v>Cañería ASTM A53 SCH40 1 1/2  x 6 mts.</v>
          </cell>
        </row>
        <row r="5535">
          <cell r="A5535" t="str">
            <v>ZZZCAÑERIA-53-21/2-0</v>
          </cell>
          <cell r="B5535" t="str">
            <v>Cañería SCH40 2 1/2 x 6.0 mts.</v>
          </cell>
        </row>
        <row r="5536">
          <cell r="A5536" t="str">
            <v>ZZZCAÑERIA-795-02-00</v>
          </cell>
          <cell r="B5536" t="str">
            <v>Cañeria ASTM A795 SCH10 2 x 6 mts.</v>
          </cell>
        </row>
        <row r="5537">
          <cell r="A5537" t="str">
            <v>ZZZCAÑERIA-795-03-00</v>
          </cell>
          <cell r="B5537" t="str">
            <v>Cañería ASTM A795 SCH10 3  x 6 mts.</v>
          </cell>
        </row>
        <row r="5538">
          <cell r="A5538" t="str">
            <v>ZZZCAÑERIA-795-04-00</v>
          </cell>
          <cell r="B5538" t="str">
            <v>Cañería ASTM A795 SCH10 4  x 6 mts.</v>
          </cell>
        </row>
        <row r="5539">
          <cell r="A5539" t="str">
            <v>ZZZCAÑERIA-795-06-00</v>
          </cell>
          <cell r="B5539" t="str">
            <v>Cañería ASTM A795 SCH10 6  x 6 mts.</v>
          </cell>
        </row>
        <row r="5540">
          <cell r="A5540" t="str">
            <v>ZZZCAÑERIA-795-08-00</v>
          </cell>
          <cell r="B5540" t="str">
            <v>Cañería ASTM A795 SCH10 8  x 6 mts.</v>
          </cell>
        </row>
        <row r="5541">
          <cell r="A5541" t="str">
            <v>ZZZCAÑERIA-795-1C-00</v>
          </cell>
          <cell r="B5541" t="str">
            <v>Cañería ASTM A795 SCH10 1 1/4  x 6 mts.</v>
          </cell>
        </row>
        <row r="5542">
          <cell r="A5542" t="str">
            <v>ZZZCAÑERIA-795-2M-00</v>
          </cell>
          <cell r="B5542" t="str">
            <v>Cañeria ASTM A795 SCH10 2 1/2 x 6 mts.</v>
          </cell>
        </row>
        <row r="5543">
          <cell r="A5543" t="str">
            <v>ZZZCAÑERIA-A53-03-00</v>
          </cell>
          <cell r="B5543" t="str">
            <v>Cañería ASTM A53 SCH40 3  x 6 mts.</v>
          </cell>
        </row>
        <row r="5544">
          <cell r="A5544" t="str">
            <v>ZZZCAÑERIA-A53-03-00</v>
          </cell>
          <cell r="B5544" t="str">
            <v>Cañería ASTM A53 SCH40 3  x 6 mts.</v>
          </cell>
        </row>
        <row r="5545">
          <cell r="A5545" t="str">
            <v>ZZZCAÑERIA-A53-1C</v>
          </cell>
          <cell r="B5545" t="str">
            <v>CAÑERIA  ASTM A53 SCH40 1 1/4 x 6 MTS.</v>
          </cell>
        </row>
        <row r="5546">
          <cell r="A5546" t="str">
            <v>ZZZCODO900M-000</v>
          </cell>
          <cell r="B5546" t="str">
            <v>CODONPT 90º 1/2</v>
          </cell>
        </row>
        <row r="5547">
          <cell r="A5547" t="str">
            <v>ZZZCUPRED01X0T-</v>
          </cell>
          <cell r="B5547" t="str">
            <v>CUPLA REDUCCION NPT 1X 3/4</v>
          </cell>
        </row>
        <row r="5548">
          <cell r="A5548" t="str">
            <v>ZZZCUPRED0TX0M-</v>
          </cell>
          <cell r="B5548" t="str">
            <v>CUPLA REDUCCION NPT 3/4X1/2</v>
          </cell>
        </row>
        <row r="5549">
          <cell r="A5549" t="str">
            <v>ZZZCURVASOL900M</v>
          </cell>
          <cell r="B5549" t="str">
            <v>CURVA SOLDAR90º 1/2</v>
          </cell>
        </row>
        <row r="5550">
          <cell r="A5550" t="str">
            <v>ZZZFLANGSO30006</v>
          </cell>
          <cell r="B5550" t="str">
            <v>FLANGE SLIP ON 300 LB 6</v>
          </cell>
        </row>
        <row r="5551">
          <cell r="A5551" t="str">
            <v>ZZZFLANGSO30008</v>
          </cell>
          <cell r="B5551" t="str">
            <v>FLANGE SLIP ON 300 LB 8</v>
          </cell>
        </row>
        <row r="5552">
          <cell r="A5552" t="str">
            <v>ZZZREDCSOL08X06</v>
          </cell>
          <cell r="B5552" t="str">
            <v>RED.CONC SOLDAR 8 X6</v>
          </cell>
        </row>
        <row r="5553">
          <cell r="A5553" t="str">
            <v>ZZZREDESOL10X08</v>
          </cell>
          <cell r="B5553" t="str">
            <v>RED.EXC SOLDAR 10 X6</v>
          </cell>
        </row>
        <row r="5554">
          <cell r="A5554" t="str">
            <v>ZZZSKARRIEFLETE</v>
          </cell>
          <cell r="B5554" t="str">
            <v xml:space="preserve">ARRIENDO MAQUINARIAS Y FLETE </v>
          </cell>
        </row>
        <row r="5555">
          <cell r="A5555" t="str">
            <v>ZZZSKHHFABRICAC</v>
          </cell>
          <cell r="B5555" t="str">
            <v xml:space="preserve">HH FABRICACION </v>
          </cell>
        </row>
        <row r="5556">
          <cell r="A5556" t="str">
            <v>ZZZTABLELECTRIC</v>
          </cell>
          <cell r="B5556" t="str">
            <v xml:space="preserve">TABLERO ELECTRICO </v>
          </cell>
        </row>
        <row r="5557">
          <cell r="A5557" t="str">
            <v>ZZZTEESOLDAR08-</v>
          </cell>
          <cell r="B5557" t="str">
            <v>TEE A SOLDAR 8</v>
          </cell>
        </row>
        <row r="5558">
          <cell r="A5558" t="str">
            <v>ZZZTRANSFTRIFAS</v>
          </cell>
          <cell r="B5558" t="str">
            <v xml:space="preserve">TRANSFORMADOR TRIFASICO </v>
          </cell>
        </row>
        <row r="5559">
          <cell r="A5559" t="str">
            <v>ZZZUNIONAMERI0M</v>
          </cell>
          <cell r="B5559" t="str">
            <v>UNION AMERICANANPT 1/2</v>
          </cell>
        </row>
        <row r="5560">
          <cell r="A5560" t="str">
            <v>ZZZZACGVCO453OD</v>
          </cell>
          <cell r="B5560" t="str">
            <v xml:space="preserve">CODO 45º GROOV 3OD (76MM) </v>
          </cell>
        </row>
        <row r="5561">
          <cell r="A5561" t="str">
            <v>ZZZZACGVCR3ODX2</v>
          </cell>
          <cell r="B5561" t="str">
            <v xml:space="preserve">CUPLA RED.GROOV 3OD X 2 (76MM) </v>
          </cell>
        </row>
        <row r="5562">
          <cell r="A5562" t="str">
            <v>ZZZZACGVCR3X3OD</v>
          </cell>
          <cell r="B5562" t="str">
            <v xml:space="preserve">CUPLA RED.GROOV 3 X 3OD (76MM) </v>
          </cell>
        </row>
        <row r="5563">
          <cell r="A5563" t="str">
            <v>ZZZZACGVTAPA3OD</v>
          </cell>
          <cell r="B5563" t="str">
            <v xml:space="preserve">TAPA GROOV 3OD       </v>
          </cell>
        </row>
      </sheetData>
      <sheetData sheetId="19">
        <row r="4">
          <cell r="I4" t="str">
            <v/>
          </cell>
        </row>
      </sheetData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2AD85-87A1-415B-96A8-BA9483BC7EE8}">
  <sheetPr codeName="Hoja5"/>
  <dimension ref="B2:AC114"/>
  <sheetViews>
    <sheetView zoomScale="120" zoomScaleNormal="120" workbookViewId="0"/>
  </sheetViews>
  <sheetFormatPr baseColWidth="10" defaultColWidth="11.42578125" defaultRowHeight="11.25" x14ac:dyDescent="0.2"/>
  <cols>
    <col min="1" max="1" width="11.42578125" style="6"/>
    <col min="2" max="2" width="15.28515625" style="6" customWidth="1"/>
    <col min="3" max="3" width="13.85546875" style="6" customWidth="1"/>
    <col min="4" max="4" width="8.85546875" style="6" customWidth="1"/>
    <col min="5" max="5" width="9.140625" style="6" bestFit="1" customWidth="1"/>
    <col min="6" max="6" width="8.7109375" style="6" bestFit="1" customWidth="1"/>
    <col min="7" max="7" width="10.140625" style="6" bestFit="1" customWidth="1"/>
    <col min="8" max="8" width="6.140625" style="6" bestFit="1" customWidth="1"/>
    <col min="9" max="9" width="8.28515625" style="6" bestFit="1" customWidth="1"/>
    <col min="10" max="10" width="6.85546875" style="6" customWidth="1"/>
    <col min="11" max="11" width="7.5703125" style="6" bestFit="1" customWidth="1"/>
    <col min="12" max="12" width="10.140625" style="6" bestFit="1" customWidth="1"/>
    <col min="13" max="13" width="8.7109375" style="6" bestFit="1" customWidth="1"/>
    <col min="14" max="14" width="8.28515625" style="6" bestFit="1" customWidth="1"/>
    <col min="15" max="15" width="8.7109375" style="6" bestFit="1" customWidth="1"/>
    <col min="16" max="16" width="10.140625" style="6" bestFit="1" customWidth="1"/>
    <col min="17" max="17" width="6.42578125" style="6" bestFit="1" customWidth="1"/>
    <col min="18" max="18" width="8.28515625" style="6" bestFit="1" customWidth="1"/>
    <col min="19" max="19" width="11.42578125" style="6"/>
    <col min="20" max="20" width="7.28515625" style="6" bestFit="1" customWidth="1"/>
    <col min="21" max="21" width="5.85546875" style="6" customWidth="1"/>
    <col min="22" max="16384" width="11.42578125" style="6"/>
  </cols>
  <sheetData>
    <row r="2" spans="3:18" ht="12" thickBot="1" x14ac:dyDescent="0.25"/>
    <row r="3" spans="3:18" x14ac:dyDescent="0.2">
      <c r="D3" s="12" t="s">
        <v>127</v>
      </c>
      <c r="E3" s="13" t="s">
        <v>128</v>
      </c>
    </row>
    <row r="4" spans="3:18" ht="12" thickBot="1" x14ac:dyDescent="0.25">
      <c r="D4" s="14">
        <v>1</v>
      </c>
      <c r="E4" s="15">
        <v>3.2808299999999999</v>
      </c>
    </row>
    <row r="6" spans="3:18" ht="22.5" x14ac:dyDescent="0.2">
      <c r="C6" s="16" t="s">
        <v>129</v>
      </c>
      <c r="D6" s="16" t="s">
        <v>130</v>
      </c>
      <c r="E6" s="17" t="s">
        <v>128</v>
      </c>
    </row>
    <row r="7" spans="3:18" x14ac:dyDescent="0.2">
      <c r="C7" s="18"/>
      <c r="D7" s="18">
        <f>INGRESO_DATOS_SALA!D5</f>
        <v>1</v>
      </c>
      <c r="E7" s="19">
        <f>CONVERT(D7,"m","ft")</f>
        <v>3.2808398950131235</v>
      </c>
    </row>
    <row r="8" spans="3:18" x14ac:dyDescent="0.2">
      <c r="E8" s="5"/>
    </row>
    <row r="9" spans="3:18" x14ac:dyDescent="0.2">
      <c r="C9" s="20" t="s">
        <v>131</v>
      </c>
      <c r="D9" s="21"/>
      <c r="E9" s="22"/>
      <c r="G9" s="20" t="s">
        <v>132</v>
      </c>
      <c r="H9" s="21"/>
      <c r="I9" s="22"/>
      <c r="J9" s="4"/>
      <c r="L9" s="20" t="s">
        <v>133</v>
      </c>
      <c r="M9" s="21"/>
      <c r="N9" s="22"/>
      <c r="P9" s="20" t="s">
        <v>134</v>
      </c>
      <c r="Q9" s="21"/>
      <c r="R9" s="22"/>
    </row>
    <row r="10" spans="3:18" x14ac:dyDescent="0.2">
      <c r="C10" s="23" t="s">
        <v>135</v>
      </c>
      <c r="D10" s="24">
        <f>INGRESO_DATOS_SALA!D13</f>
        <v>1</v>
      </c>
      <c r="E10" s="25">
        <f>CONVERT(D10,"m","ft")</f>
        <v>3.2808398950131235</v>
      </c>
      <c r="G10" s="23" t="s">
        <v>135</v>
      </c>
      <c r="H10" s="24">
        <f>INGRESO_DATOS_SALA!J13</f>
        <v>0</v>
      </c>
      <c r="I10" s="25">
        <f>CONVERT(H10,"m","ft")</f>
        <v>0</v>
      </c>
      <c r="J10" s="5"/>
      <c r="L10" s="23" t="s">
        <v>135</v>
      </c>
      <c r="M10" s="26">
        <f>INGRESO_DATOS_SALA!N13</f>
        <v>0</v>
      </c>
      <c r="N10" s="25">
        <f>CONVERT(M10,"m","ft")</f>
        <v>0</v>
      </c>
      <c r="P10" s="23" t="s">
        <v>135</v>
      </c>
      <c r="Q10" s="26">
        <f>INGRESO_DATOS_SALA!R13</f>
        <v>0</v>
      </c>
      <c r="R10" s="25">
        <f>CONVERT(Q10,"m","ft")</f>
        <v>0</v>
      </c>
    </row>
    <row r="11" spans="3:18" x14ac:dyDescent="0.2">
      <c r="C11" s="27" t="s">
        <v>136</v>
      </c>
      <c r="D11" s="5">
        <f>INGRESO_DATOS_SALA!D14</f>
        <v>1</v>
      </c>
      <c r="E11" s="28">
        <f t="shared" ref="E11:E17" si="0">CONVERT(D11,"m","ft")</f>
        <v>3.2808398950131235</v>
      </c>
      <c r="G11" s="27" t="s">
        <v>136</v>
      </c>
      <c r="H11" s="5">
        <f>INGRESO_DATOS_SALA!J14</f>
        <v>0</v>
      </c>
      <c r="I11" s="28">
        <f t="shared" ref="I11:I17" si="1">CONVERT(H11,"m","ft")</f>
        <v>0</v>
      </c>
      <c r="J11" s="5"/>
      <c r="L11" s="27" t="s">
        <v>136</v>
      </c>
      <c r="M11" s="29">
        <f>INGRESO_DATOS_SALA!N14</f>
        <v>0</v>
      </c>
      <c r="N11" s="28">
        <f t="shared" ref="N11:N17" si="2">CONVERT(M11,"m","ft")</f>
        <v>0</v>
      </c>
      <c r="P11" s="27" t="s">
        <v>136</v>
      </c>
      <c r="Q11" s="29">
        <f>INGRESO_DATOS_SALA!R14</f>
        <v>0</v>
      </c>
      <c r="R11" s="28">
        <f t="shared" ref="R11:R17" si="3">CONVERT(Q11,"m","ft")</f>
        <v>0</v>
      </c>
    </row>
    <row r="12" spans="3:18" x14ac:dyDescent="0.2">
      <c r="C12" s="23" t="s">
        <v>137</v>
      </c>
      <c r="D12" s="24">
        <f>INGRESO_DATOS_SALA!D15</f>
        <v>1</v>
      </c>
      <c r="E12" s="25">
        <f t="shared" si="0"/>
        <v>3.2808398950131235</v>
      </c>
      <c r="G12" s="23" t="s">
        <v>137</v>
      </c>
      <c r="H12" s="24">
        <f>INGRESO_DATOS_SALA!J15</f>
        <v>0</v>
      </c>
      <c r="I12" s="25">
        <f t="shared" si="1"/>
        <v>0</v>
      </c>
      <c r="J12" s="5"/>
      <c r="L12" s="23" t="s">
        <v>137</v>
      </c>
      <c r="M12" s="30">
        <f>INGRESO_DATOS_SALA!N15</f>
        <v>0</v>
      </c>
      <c r="N12" s="25">
        <f t="shared" si="2"/>
        <v>0</v>
      </c>
      <c r="P12" s="23" t="s">
        <v>137</v>
      </c>
      <c r="Q12" s="30">
        <f>INGRESO_DATOS_SALA!R15</f>
        <v>0</v>
      </c>
      <c r="R12" s="25">
        <f t="shared" si="3"/>
        <v>0</v>
      </c>
    </row>
    <row r="13" spans="3:18" x14ac:dyDescent="0.2">
      <c r="C13" s="27" t="s">
        <v>138</v>
      </c>
      <c r="D13" s="5" t="str">
        <f>INGRESO_DATOS_SALA!D16</f>
        <v>0</v>
      </c>
      <c r="E13" s="28">
        <f t="shared" si="0"/>
        <v>0</v>
      </c>
      <c r="G13" s="27" t="s">
        <v>138</v>
      </c>
      <c r="H13" s="5">
        <f>INGRESO_DATOS_SALA!J16</f>
        <v>0</v>
      </c>
      <c r="I13" s="28">
        <f t="shared" si="1"/>
        <v>0</v>
      </c>
      <c r="J13" s="5"/>
      <c r="L13" s="27" t="s">
        <v>138</v>
      </c>
      <c r="M13" s="29">
        <f>INGRESO_DATOS_SALA!N16</f>
        <v>0</v>
      </c>
      <c r="N13" s="28">
        <f t="shared" si="2"/>
        <v>0</v>
      </c>
      <c r="P13" s="27" t="s">
        <v>138</v>
      </c>
      <c r="Q13" s="29">
        <f>INGRESO_DATOS_SALA!R16</f>
        <v>0</v>
      </c>
      <c r="R13" s="28">
        <f t="shared" si="3"/>
        <v>0</v>
      </c>
    </row>
    <row r="14" spans="3:18" x14ac:dyDescent="0.2">
      <c r="C14" s="27" t="s">
        <v>139</v>
      </c>
      <c r="D14" s="5" t="str">
        <f>INGRESO_DATOS_SALA!D17</f>
        <v>0</v>
      </c>
      <c r="E14" s="28">
        <f t="shared" si="0"/>
        <v>0</v>
      </c>
      <c r="G14" s="27" t="s">
        <v>139</v>
      </c>
      <c r="H14" s="5">
        <f>INGRESO_DATOS_SALA!J17</f>
        <v>0</v>
      </c>
      <c r="I14" s="28">
        <f t="shared" si="1"/>
        <v>0</v>
      </c>
      <c r="J14" s="5"/>
      <c r="L14" s="27" t="s">
        <v>139</v>
      </c>
      <c r="M14" s="29">
        <f>INGRESO_DATOS_SALA!N17</f>
        <v>0</v>
      </c>
      <c r="N14" s="28">
        <f t="shared" si="2"/>
        <v>0</v>
      </c>
      <c r="P14" s="27" t="s">
        <v>139</v>
      </c>
      <c r="Q14" s="29">
        <f>INGRESO_DATOS_SALA!R17</f>
        <v>0</v>
      </c>
      <c r="R14" s="28">
        <f t="shared" si="3"/>
        <v>0</v>
      </c>
    </row>
    <row r="15" spans="3:18" x14ac:dyDescent="0.2">
      <c r="C15" s="31" t="s">
        <v>140</v>
      </c>
      <c r="D15" s="32">
        <f>D12+D13+D14</f>
        <v>1</v>
      </c>
      <c r="E15" s="33">
        <f t="shared" si="0"/>
        <v>3.2808398950131235</v>
      </c>
      <c r="G15" s="31" t="s">
        <v>140</v>
      </c>
      <c r="H15" s="32">
        <f>SUM(H12:H14)</f>
        <v>0</v>
      </c>
      <c r="I15" s="33">
        <f t="shared" si="1"/>
        <v>0</v>
      </c>
      <c r="J15" s="5"/>
      <c r="L15" s="31" t="s">
        <v>140</v>
      </c>
      <c r="M15" s="32">
        <f>SUM(M12:M14)</f>
        <v>0</v>
      </c>
      <c r="N15" s="33">
        <f t="shared" si="2"/>
        <v>0</v>
      </c>
      <c r="P15" s="31" t="s">
        <v>140</v>
      </c>
      <c r="Q15" s="32">
        <f>SUM(Q12:Q14)</f>
        <v>0</v>
      </c>
      <c r="R15" s="33">
        <f t="shared" si="3"/>
        <v>0</v>
      </c>
    </row>
    <row r="16" spans="3:18" x14ac:dyDescent="0.2">
      <c r="C16" s="27" t="s">
        <v>141</v>
      </c>
      <c r="D16" s="34">
        <f>D11*D10</f>
        <v>1</v>
      </c>
      <c r="E16" s="28">
        <f t="shared" si="0"/>
        <v>3.2808398950131235</v>
      </c>
      <c r="G16" s="27" t="s">
        <v>141</v>
      </c>
      <c r="H16" s="34">
        <f>H11*H10</f>
        <v>0</v>
      </c>
      <c r="I16" s="28">
        <f t="shared" si="1"/>
        <v>0</v>
      </c>
      <c r="J16" s="5"/>
      <c r="L16" s="27" t="s">
        <v>141</v>
      </c>
      <c r="M16" s="34">
        <f>M11*M10</f>
        <v>0</v>
      </c>
      <c r="N16" s="28">
        <f t="shared" si="2"/>
        <v>0</v>
      </c>
      <c r="P16" s="27" t="s">
        <v>141</v>
      </c>
      <c r="Q16" s="34">
        <f>Q11*Q10</f>
        <v>0</v>
      </c>
      <c r="R16" s="28">
        <f t="shared" si="3"/>
        <v>0</v>
      </c>
    </row>
    <row r="17" spans="2:29" x14ac:dyDescent="0.2">
      <c r="C17" s="31" t="s">
        <v>142</v>
      </c>
      <c r="D17" s="35">
        <f>+D16*D15</f>
        <v>1</v>
      </c>
      <c r="E17" s="33">
        <f t="shared" si="0"/>
        <v>3.2808398950131235</v>
      </c>
      <c r="G17" s="31" t="s">
        <v>142</v>
      </c>
      <c r="H17" s="35">
        <f>+H16*H15</f>
        <v>0</v>
      </c>
      <c r="I17" s="33">
        <f t="shared" si="1"/>
        <v>0</v>
      </c>
      <c r="J17" s="5"/>
      <c r="L17" s="31" t="s">
        <v>142</v>
      </c>
      <c r="M17" s="35">
        <f>+M16*M15</f>
        <v>0</v>
      </c>
      <c r="N17" s="33">
        <f t="shared" si="2"/>
        <v>0</v>
      </c>
      <c r="P17" s="31" t="s">
        <v>142</v>
      </c>
      <c r="Q17" s="35">
        <f>+Q16*Q15</f>
        <v>0</v>
      </c>
      <c r="R17" s="33">
        <f t="shared" si="3"/>
        <v>0</v>
      </c>
    </row>
    <row r="18" spans="2:29" x14ac:dyDescent="0.2">
      <c r="J18" s="5"/>
    </row>
    <row r="19" spans="2:29" x14ac:dyDescent="0.2">
      <c r="J19" s="5"/>
    </row>
    <row r="20" spans="2:29" x14ac:dyDescent="0.2">
      <c r="B20" s="36" t="s">
        <v>143</v>
      </c>
      <c r="C20" s="37"/>
      <c r="D20" s="37"/>
      <c r="E20" s="37"/>
      <c r="F20" s="37"/>
      <c r="G20" s="37"/>
      <c r="H20" s="37"/>
      <c r="I20" s="38"/>
      <c r="J20" s="5"/>
      <c r="L20" s="36" t="s">
        <v>144</v>
      </c>
      <c r="M20" s="37"/>
      <c r="N20" s="37"/>
      <c r="O20" s="37"/>
      <c r="P20" s="37"/>
      <c r="Q20" s="37"/>
      <c r="R20" s="37"/>
      <c r="S20" s="38"/>
      <c r="V20" s="36" t="s">
        <v>145</v>
      </c>
      <c r="W20" s="37"/>
      <c r="X20" s="37"/>
      <c r="Y20" s="37"/>
      <c r="Z20" s="37"/>
      <c r="AA20" s="37"/>
      <c r="AB20" s="37"/>
      <c r="AC20" s="38"/>
    </row>
    <row r="21" spans="2:29" x14ac:dyDescent="0.2">
      <c r="J21" s="5"/>
    </row>
    <row r="22" spans="2:29" ht="12" thickBot="1" x14ac:dyDescent="0.25">
      <c r="B22" s="39" t="s">
        <v>146</v>
      </c>
      <c r="C22" s="40" t="s">
        <v>147</v>
      </c>
      <c r="D22" s="40" t="s">
        <v>148</v>
      </c>
      <c r="E22" s="40" t="s">
        <v>149</v>
      </c>
      <c r="F22" s="40" t="s">
        <v>150</v>
      </c>
      <c r="G22" s="40" t="s">
        <v>151</v>
      </c>
      <c r="H22" s="40" t="s">
        <v>152</v>
      </c>
      <c r="J22" s="5"/>
      <c r="L22" s="39" t="s">
        <v>146</v>
      </c>
      <c r="M22" s="40" t="s">
        <v>147</v>
      </c>
      <c r="N22" s="40" t="s">
        <v>148</v>
      </c>
      <c r="O22" s="40" t="s">
        <v>149</v>
      </c>
      <c r="P22" s="40" t="s">
        <v>150</v>
      </c>
      <c r="Q22" s="40" t="s">
        <v>151</v>
      </c>
      <c r="R22" s="40" t="s">
        <v>152</v>
      </c>
      <c r="V22" s="39" t="s">
        <v>146</v>
      </c>
      <c r="W22" s="40" t="s">
        <v>147</v>
      </c>
      <c r="X22" s="40" t="s">
        <v>148</v>
      </c>
      <c r="Y22" s="40" t="s">
        <v>149</v>
      </c>
      <c r="Z22" s="40" t="s">
        <v>150</v>
      </c>
      <c r="AA22" s="40" t="s">
        <v>151</v>
      </c>
      <c r="AB22" s="40" t="s">
        <v>152</v>
      </c>
    </row>
    <row r="23" spans="2:29" ht="12" thickBot="1" x14ac:dyDescent="0.25">
      <c r="B23" s="41" t="s">
        <v>153</v>
      </c>
      <c r="C23" s="42"/>
      <c r="D23" s="42"/>
      <c r="E23" s="42"/>
      <c r="F23" s="42"/>
      <c r="G23" s="42"/>
      <c r="H23" s="42"/>
      <c r="L23" s="41" t="s">
        <v>153</v>
      </c>
      <c r="M23" s="42"/>
      <c r="N23" s="42"/>
      <c r="O23" s="42"/>
      <c r="P23" s="42"/>
      <c r="Q23" s="42"/>
      <c r="R23" s="42"/>
      <c r="V23" s="41" t="s">
        <v>153</v>
      </c>
      <c r="W23" s="42"/>
      <c r="X23" s="42"/>
      <c r="Y23" s="42"/>
      <c r="Z23" s="42"/>
      <c r="AA23" s="42"/>
      <c r="AB23" s="42"/>
    </row>
    <row r="24" spans="2:29" ht="12" thickBot="1" x14ac:dyDescent="0.25">
      <c r="B24" s="41" t="s">
        <v>154</v>
      </c>
      <c r="C24" s="43">
        <f>CALC_AGENT!E10</f>
        <v>3.2808398950131235</v>
      </c>
      <c r="D24" s="43">
        <f>CALC_AGENT!I10</f>
        <v>0</v>
      </c>
      <c r="E24" s="43">
        <f>IF(N10&gt;0,N10,IF(E30&gt;0,E25*2,0))</f>
        <v>0</v>
      </c>
      <c r="F24" s="43">
        <f>IF(R10&gt;0,R10,IF(F30&gt;0,F25*2,0))</f>
        <v>0</v>
      </c>
      <c r="G24" s="43"/>
      <c r="H24" s="43"/>
      <c r="L24" s="41" t="s">
        <v>154</v>
      </c>
      <c r="M24" s="43">
        <f>IF(E10&gt;0,E10,IF(M30&gt;0,M25*2,0))</f>
        <v>3.2808398950131235</v>
      </c>
      <c r="N24" s="43">
        <f>IF(I10&gt;0,I10,IF(N30&gt;0,N25*2,0))</f>
        <v>0</v>
      </c>
      <c r="O24" s="43">
        <f>IF(N10&gt;0,N10,IF(O30&gt;0,O25*2,0))</f>
        <v>0</v>
      </c>
      <c r="P24" s="43">
        <f>IF(R10&gt;0,R10,IF(P30&gt;0,P25*2,0))</f>
        <v>0</v>
      </c>
      <c r="Q24" s="43"/>
      <c r="R24" s="43"/>
      <c r="V24" s="41" t="s">
        <v>154</v>
      </c>
      <c r="W24" s="43">
        <f>IF(E10&gt;0,E10,IF(W30&gt;0,W25*2,0))</f>
        <v>3.2808398950131235</v>
      </c>
      <c r="X24" s="43">
        <f>IF(I10&gt;0,I10,IF(X30&gt;0,X25*2,0))</f>
        <v>0</v>
      </c>
      <c r="Y24" s="43">
        <f>IF(N10&gt;0,N10,IF(Y30&gt;0,Y25*2,0))</f>
        <v>0</v>
      </c>
      <c r="Z24" s="43">
        <f>IF(R10&gt;0,R10,IF(Z30&gt;0,Z25*2,0))</f>
        <v>0</v>
      </c>
      <c r="AA24" s="43"/>
      <c r="AB24" s="43"/>
    </row>
    <row r="25" spans="2:29" ht="12" thickBot="1" x14ac:dyDescent="0.25">
      <c r="B25" s="41" t="s">
        <v>155</v>
      </c>
      <c r="C25" s="43">
        <f>CALC_AGENT!E11</f>
        <v>3.2808398950131235</v>
      </c>
      <c r="D25" s="43">
        <f>CALC_AGENT!I11</f>
        <v>0</v>
      </c>
      <c r="E25" s="43">
        <f>IF(N11&gt;0,N11,IF(E30&gt;0,(E28/2)^0.5,0))</f>
        <v>0</v>
      </c>
      <c r="F25" s="43">
        <f>IF(R11&gt;0,R11,IF(F30&gt;0,(F28/2)^0.5,0))</f>
        <v>0</v>
      </c>
      <c r="G25" s="43"/>
      <c r="H25" s="43"/>
      <c r="L25" s="41" t="s">
        <v>155</v>
      </c>
      <c r="M25" s="43">
        <f>IF(E11&gt;0,E11,IF(M30&gt;0,(M28/2)^0.5,0))</f>
        <v>3.2808398950131235</v>
      </c>
      <c r="N25" s="43">
        <f>IF(I11&gt;0,I11,IF(N30&gt;0,(N28/2)^0.5,0))</f>
        <v>0</v>
      </c>
      <c r="O25" s="43">
        <f>IF(N11&gt;0,N11,IF(O30&gt;0,(O28/2)^0.5,0))</f>
        <v>0</v>
      </c>
      <c r="P25" s="43">
        <f>IF(R11&gt;0,R11,IF(P30&gt;0,(P28/2)^0.5,0))</f>
        <v>0</v>
      </c>
      <c r="Q25" s="43"/>
      <c r="R25" s="43"/>
      <c r="V25" s="41" t="s">
        <v>155</v>
      </c>
      <c r="W25" s="43">
        <f>IF(E11&gt;0,E11,IF(W30&gt;0,(W28/2)^0.5,0))</f>
        <v>3.2808398950131235</v>
      </c>
      <c r="X25" s="43">
        <f>IF(I11&gt;0,I11,IF(X30&gt;0,(X28/2)^0.5,0))</f>
        <v>0</v>
      </c>
      <c r="Y25" s="43">
        <f>IF(N11&gt;0,N11,IF(Y30&gt;0,(Y28/2)^0.5,0))</f>
        <v>0</v>
      </c>
      <c r="Z25" s="43">
        <f>IF(R11&gt;0,R11,IF(Z30&gt;0,(Z28/2)^0.5,0))</f>
        <v>0</v>
      </c>
      <c r="AA25" s="43"/>
      <c r="AB25" s="43"/>
    </row>
    <row r="26" spans="2:29" ht="12" thickBot="1" x14ac:dyDescent="0.25">
      <c r="B26" s="41" t="s">
        <v>156</v>
      </c>
      <c r="C26" s="43">
        <f>CALC_AGENT!E15</f>
        <v>3.2808398950131235</v>
      </c>
      <c r="D26" s="43">
        <f>CALC_AGENT!I15</f>
        <v>0</v>
      </c>
      <c r="E26" s="43">
        <f>IF(N15&gt;0,N15,IF(E30&gt;0,10,0))</f>
        <v>0</v>
      </c>
      <c r="F26" s="43">
        <f>IF(R15&gt;0,R15,IF(F30&gt;0,10,0))</f>
        <v>0</v>
      </c>
      <c r="G26" s="43"/>
      <c r="H26" s="43"/>
      <c r="L26" s="41" t="s">
        <v>156</v>
      </c>
      <c r="M26" s="43">
        <f>IF(E15&gt;0,E15,IF(M30&gt;0,10,0))</f>
        <v>3.2808398950131235</v>
      </c>
      <c r="N26" s="43">
        <f>IF(I15&gt;0,I15,IF(N30&gt;0,10,0))</f>
        <v>0</v>
      </c>
      <c r="O26" s="43">
        <f>IF(N15&gt;0,N15,IF(O30&gt;0,10,0))</f>
        <v>0</v>
      </c>
      <c r="P26" s="43">
        <f>IF(R15&gt;0,R15,IF(P30&gt;0,10,0))</f>
        <v>0</v>
      </c>
      <c r="Q26" s="43"/>
      <c r="R26" s="43"/>
      <c r="V26" s="41" t="s">
        <v>156</v>
      </c>
      <c r="W26" s="43">
        <f>IF(E15&gt;0,E15,IF(W30&gt;0,10,0))</f>
        <v>3.2808398950131235</v>
      </c>
      <c r="X26" s="43">
        <f>IF(I15&gt;0,I15,IF(X30&gt;0,10,0))</f>
        <v>0</v>
      </c>
      <c r="Y26" s="43">
        <f>IF(N15&gt;0,N15,IF(Y30&gt;0,10,0))</f>
        <v>0</v>
      </c>
      <c r="Z26" s="43">
        <f>IF(R15&gt;0,R15,IF(Z30&gt;0,10,0))</f>
        <v>0</v>
      </c>
      <c r="AA26" s="43"/>
      <c r="AB26" s="43"/>
    </row>
    <row r="27" spans="2:29" x14ac:dyDescent="0.2">
      <c r="B27" s="44"/>
      <c r="C27" s="44"/>
      <c r="D27" s="44"/>
      <c r="E27" s="44"/>
      <c r="F27" s="44"/>
      <c r="G27" s="44"/>
      <c r="H27" s="44"/>
      <c r="L27" s="44"/>
      <c r="M27" s="44"/>
      <c r="N27" s="44"/>
      <c r="O27" s="44"/>
      <c r="P27" s="44"/>
      <c r="Q27" s="44"/>
      <c r="R27" s="44"/>
      <c r="V27" s="44"/>
      <c r="W27" s="44"/>
      <c r="X27" s="44"/>
      <c r="Y27" s="44"/>
      <c r="Z27" s="44"/>
      <c r="AA27" s="44"/>
      <c r="AB27" s="44"/>
    </row>
    <row r="28" spans="2:29" x14ac:dyDescent="0.2">
      <c r="B28" s="41" t="s">
        <v>157</v>
      </c>
      <c r="C28" s="45">
        <f t="shared" ref="C28:H28" si="4">IF(C30&gt;0,C30/C26,C24*C25)</f>
        <v>10.763910416709724</v>
      </c>
      <c r="D28" s="45">
        <f t="shared" si="4"/>
        <v>0</v>
      </c>
      <c r="E28" s="45">
        <f t="shared" si="4"/>
        <v>0</v>
      </c>
      <c r="F28" s="45">
        <f t="shared" si="4"/>
        <v>0</v>
      </c>
      <c r="G28" s="45">
        <f t="shared" si="4"/>
        <v>0</v>
      </c>
      <c r="H28" s="45">
        <f t="shared" si="4"/>
        <v>0</v>
      </c>
      <c r="L28" s="41" t="s">
        <v>157</v>
      </c>
      <c r="M28" s="45">
        <f t="shared" ref="M28:R28" si="5">IF(M30&gt;0,M30/M26,M24*M25)</f>
        <v>10.763910416709724</v>
      </c>
      <c r="N28" s="45">
        <f t="shared" si="5"/>
        <v>0</v>
      </c>
      <c r="O28" s="45">
        <f t="shared" si="5"/>
        <v>0</v>
      </c>
      <c r="P28" s="45">
        <f t="shared" si="5"/>
        <v>0</v>
      </c>
      <c r="Q28" s="45">
        <f t="shared" si="5"/>
        <v>0</v>
      </c>
      <c r="R28" s="45">
        <f t="shared" si="5"/>
        <v>0</v>
      </c>
      <c r="V28" s="41" t="s">
        <v>157</v>
      </c>
      <c r="W28" s="45">
        <f t="shared" ref="W28:AB28" si="6">IF(W30&gt;0,W30/W26,W24*W25)</f>
        <v>10.763910416709724</v>
      </c>
      <c r="X28" s="45">
        <f t="shared" si="6"/>
        <v>0</v>
      </c>
      <c r="Y28" s="45">
        <f t="shared" si="6"/>
        <v>0</v>
      </c>
      <c r="Z28" s="45">
        <f t="shared" si="6"/>
        <v>0</v>
      </c>
      <c r="AA28" s="45">
        <f t="shared" si="6"/>
        <v>0</v>
      </c>
      <c r="AB28" s="45">
        <f t="shared" si="6"/>
        <v>0</v>
      </c>
    </row>
    <row r="29" spans="2:29" ht="12" thickBot="1" x14ac:dyDescent="0.25">
      <c r="B29" s="41" t="s">
        <v>158</v>
      </c>
      <c r="C29" s="46">
        <f t="shared" ref="C29:H29" si="7">C28*C26</f>
        <v>35.314666721488592</v>
      </c>
      <c r="D29" s="46">
        <f t="shared" si="7"/>
        <v>0</v>
      </c>
      <c r="E29" s="46">
        <f t="shared" si="7"/>
        <v>0</v>
      </c>
      <c r="F29" s="46">
        <f t="shared" si="7"/>
        <v>0</v>
      </c>
      <c r="G29" s="46">
        <f t="shared" si="7"/>
        <v>0</v>
      </c>
      <c r="H29" s="46">
        <f t="shared" si="7"/>
        <v>0</v>
      </c>
      <c r="L29" s="41" t="s">
        <v>158</v>
      </c>
      <c r="M29" s="46">
        <f t="shared" ref="M29:R29" si="8">M28*M26</f>
        <v>35.314666721488592</v>
      </c>
      <c r="N29" s="46">
        <f t="shared" si="8"/>
        <v>0</v>
      </c>
      <c r="O29" s="46">
        <f t="shared" si="8"/>
        <v>0</v>
      </c>
      <c r="P29" s="46">
        <f t="shared" si="8"/>
        <v>0</v>
      </c>
      <c r="Q29" s="46">
        <f t="shared" si="8"/>
        <v>0</v>
      </c>
      <c r="R29" s="46">
        <f t="shared" si="8"/>
        <v>0</v>
      </c>
      <c r="V29" s="41" t="s">
        <v>158</v>
      </c>
      <c r="W29" s="46">
        <f t="shared" ref="W29:AB29" si="9">W28*W26</f>
        <v>35.314666721488592</v>
      </c>
      <c r="X29" s="46">
        <f t="shared" si="9"/>
        <v>0</v>
      </c>
      <c r="Y29" s="46">
        <f t="shared" si="9"/>
        <v>0</v>
      </c>
      <c r="Z29" s="46">
        <f t="shared" si="9"/>
        <v>0</v>
      </c>
      <c r="AA29" s="46">
        <f t="shared" si="9"/>
        <v>0</v>
      </c>
      <c r="AB29" s="46">
        <f t="shared" si="9"/>
        <v>0</v>
      </c>
    </row>
    <row r="30" spans="2:29" ht="12" thickBot="1" x14ac:dyDescent="0.25">
      <c r="B30" s="41" t="s">
        <v>159</v>
      </c>
      <c r="C30" s="47"/>
      <c r="D30" s="47"/>
      <c r="E30" s="47"/>
      <c r="F30" s="47"/>
      <c r="G30" s="47"/>
      <c r="H30" s="47"/>
      <c r="L30" s="41" t="s">
        <v>159</v>
      </c>
      <c r="M30" s="47"/>
      <c r="N30" s="47"/>
      <c r="O30" s="47"/>
      <c r="P30" s="47"/>
      <c r="Q30" s="47"/>
      <c r="R30" s="47"/>
      <c r="V30" s="41" t="s">
        <v>159</v>
      </c>
      <c r="W30" s="47"/>
      <c r="X30" s="47"/>
      <c r="Y30" s="47"/>
      <c r="Z30" s="47"/>
      <c r="AA30" s="47"/>
      <c r="AB30" s="47"/>
    </row>
    <row r="31" spans="2:29" x14ac:dyDescent="0.2">
      <c r="B31" s="44"/>
      <c r="C31" s="44"/>
      <c r="D31" s="44"/>
      <c r="E31" s="44"/>
      <c r="F31" s="44"/>
      <c r="G31" s="44"/>
      <c r="H31" s="44"/>
      <c r="L31" s="44"/>
      <c r="M31" s="44"/>
      <c r="N31" s="44"/>
      <c r="O31" s="44"/>
      <c r="P31" s="44"/>
      <c r="Q31" s="44"/>
      <c r="R31" s="44"/>
      <c r="V31" s="44"/>
      <c r="W31" s="44"/>
      <c r="X31" s="44"/>
      <c r="Y31" s="44"/>
      <c r="Z31" s="44"/>
      <c r="AA31" s="44"/>
      <c r="AB31" s="44"/>
    </row>
    <row r="32" spans="2:29" x14ac:dyDescent="0.2">
      <c r="B32" s="41" t="s">
        <v>160</v>
      </c>
      <c r="C32" s="48"/>
      <c r="D32" s="48"/>
      <c r="E32" s="48"/>
      <c r="F32" s="48"/>
      <c r="G32" s="48"/>
      <c r="H32" s="48"/>
      <c r="L32" s="41" t="s">
        <v>160</v>
      </c>
      <c r="M32" s="49"/>
      <c r="N32" s="49"/>
      <c r="O32" s="49"/>
      <c r="P32" s="49"/>
      <c r="Q32" s="49"/>
      <c r="R32" s="49"/>
      <c r="V32" s="41" t="s">
        <v>160</v>
      </c>
      <c r="W32" s="48"/>
      <c r="X32" s="48"/>
      <c r="Y32" s="48"/>
      <c r="Z32" s="48"/>
      <c r="AA32" s="48"/>
      <c r="AB32" s="48"/>
    </row>
    <row r="33" spans="2:28" x14ac:dyDescent="0.2">
      <c r="B33" s="41" t="s">
        <v>161</v>
      </c>
      <c r="C33" s="46">
        <f t="shared" ref="C33:H33" si="10">C29-C32</f>
        <v>35.314666721488592</v>
      </c>
      <c r="D33" s="46">
        <f t="shared" si="10"/>
        <v>0</v>
      </c>
      <c r="E33" s="46">
        <f t="shared" si="10"/>
        <v>0</v>
      </c>
      <c r="F33" s="46">
        <f t="shared" si="10"/>
        <v>0</v>
      </c>
      <c r="G33" s="46">
        <f t="shared" si="10"/>
        <v>0</v>
      </c>
      <c r="H33" s="46">
        <f t="shared" si="10"/>
        <v>0</v>
      </c>
      <c r="L33" s="41" t="s">
        <v>161</v>
      </c>
      <c r="M33" s="50">
        <f t="shared" ref="M33:R33" si="11">M29-M32</f>
        <v>35.314666721488592</v>
      </c>
      <c r="N33" s="50">
        <f t="shared" si="11"/>
        <v>0</v>
      </c>
      <c r="O33" s="50">
        <f t="shared" si="11"/>
        <v>0</v>
      </c>
      <c r="P33" s="50">
        <f t="shared" si="11"/>
        <v>0</v>
      </c>
      <c r="Q33" s="50">
        <f t="shared" si="11"/>
        <v>0</v>
      </c>
      <c r="R33" s="50">
        <f t="shared" si="11"/>
        <v>0</v>
      </c>
      <c r="V33" s="41" t="s">
        <v>161</v>
      </c>
      <c r="W33" s="46">
        <f t="shared" ref="W33:AB33" si="12">W29-W32</f>
        <v>35.314666721488592</v>
      </c>
      <c r="X33" s="46">
        <f t="shared" si="12"/>
        <v>0</v>
      </c>
      <c r="Y33" s="46">
        <f t="shared" si="12"/>
        <v>0</v>
      </c>
      <c r="Z33" s="46">
        <f t="shared" si="12"/>
        <v>0</v>
      </c>
      <c r="AA33" s="46">
        <f t="shared" si="12"/>
        <v>0</v>
      </c>
      <c r="AB33" s="46">
        <f t="shared" si="12"/>
        <v>0</v>
      </c>
    </row>
    <row r="34" spans="2:28" x14ac:dyDescent="0.2">
      <c r="B34" s="39" t="s">
        <v>162</v>
      </c>
      <c r="C34" s="51">
        <f>'COT AGENTES'!M13</f>
        <v>8.1</v>
      </c>
      <c r="D34" s="51">
        <f>+C34</f>
        <v>8.1</v>
      </c>
      <c r="E34" s="51">
        <f>+C34</f>
        <v>8.1</v>
      </c>
      <c r="F34" s="51">
        <f>+D34</f>
        <v>8.1</v>
      </c>
      <c r="G34" s="51">
        <f>+E34</f>
        <v>8.1</v>
      </c>
      <c r="H34" s="51">
        <f>+F34</f>
        <v>8.1</v>
      </c>
      <c r="L34" s="39" t="s">
        <v>162</v>
      </c>
      <c r="M34" s="51">
        <f>'COT AGENTES'!$M$12</f>
        <v>4.5199999999999996</v>
      </c>
      <c r="N34" s="51">
        <f>'COT AGENTES'!$M$12</f>
        <v>4.5199999999999996</v>
      </c>
      <c r="O34" s="51">
        <f>'COT AGENTES'!$M$12</f>
        <v>4.5199999999999996</v>
      </c>
      <c r="P34" s="51">
        <f>'COT AGENTES'!$M$12</f>
        <v>4.5199999999999996</v>
      </c>
      <c r="Q34" s="51">
        <f>'COT AGENTES'!$M$12</f>
        <v>4.5199999999999996</v>
      </c>
      <c r="R34" s="51">
        <f>'COT AGENTES'!$M$12</f>
        <v>4.5199999999999996</v>
      </c>
      <c r="V34" s="39" t="s">
        <v>162</v>
      </c>
      <c r="W34" s="51">
        <v>9.5</v>
      </c>
      <c r="X34" s="51">
        <v>9.5</v>
      </c>
      <c r="Y34" s="51">
        <v>9.5</v>
      </c>
      <c r="Z34" s="51">
        <v>9.5</v>
      </c>
      <c r="AA34" s="51">
        <v>9.5</v>
      </c>
      <c r="AB34" s="51">
        <v>9.5</v>
      </c>
    </row>
    <row r="35" spans="2:28" x14ac:dyDescent="0.2">
      <c r="B35" s="41" t="s">
        <v>163</v>
      </c>
      <c r="C35" s="52">
        <f>CONVERT('COT AGENTES'!$O$4,"C","F")</f>
        <v>64.400000000000006</v>
      </c>
      <c r="D35" s="52">
        <f>CONVERT('COT AGENTES'!$O$4,"C","F")</f>
        <v>64.400000000000006</v>
      </c>
      <c r="E35" s="52">
        <f>CONVERT('COT AGENTES'!$O$4,"C","F")</f>
        <v>64.400000000000006</v>
      </c>
      <c r="F35" s="52">
        <f>CONVERT('COT AGENTES'!$O$4,"C","F")</f>
        <v>64.400000000000006</v>
      </c>
      <c r="G35" s="52">
        <f>CONVERT('COT AGENTES'!$O$4,"C","F")</f>
        <v>64.400000000000006</v>
      </c>
      <c r="H35" s="52">
        <f>CONVERT('COT AGENTES'!$O$4,"C","F")</f>
        <v>64.400000000000006</v>
      </c>
      <c r="L35" s="41" t="s">
        <v>163</v>
      </c>
      <c r="M35" s="52">
        <f>CONVERT('COT AGENTES'!$O$4,"C","F")</f>
        <v>64.400000000000006</v>
      </c>
      <c r="N35" s="52">
        <f>CONVERT('COT AGENTES'!$O$4,"C","F")</f>
        <v>64.400000000000006</v>
      </c>
      <c r="O35" s="52">
        <f>CONVERT('COT AGENTES'!$O$4,"C","F")</f>
        <v>64.400000000000006</v>
      </c>
      <c r="P35" s="52">
        <f>CONVERT('COT AGENTES'!$O$4,"C","F")</f>
        <v>64.400000000000006</v>
      </c>
      <c r="Q35" s="52">
        <f>CONVERT('COT AGENTES'!$O$4,"C","F")</f>
        <v>64.400000000000006</v>
      </c>
      <c r="R35" s="52">
        <f>CONVERT('COT AGENTES'!$O$4,"C","F")</f>
        <v>64.400000000000006</v>
      </c>
      <c r="V35" s="41" t="s">
        <v>163</v>
      </c>
      <c r="W35" s="52">
        <f t="shared" ref="W35:AB35" si="13">IF(W$24&gt;0,65,0)</f>
        <v>65</v>
      </c>
      <c r="X35" s="52">
        <f t="shared" si="13"/>
        <v>0</v>
      </c>
      <c r="Y35" s="52">
        <f t="shared" si="13"/>
        <v>0</v>
      </c>
      <c r="Z35" s="52">
        <f t="shared" si="13"/>
        <v>0</v>
      </c>
      <c r="AA35" s="52">
        <f t="shared" si="13"/>
        <v>0</v>
      </c>
      <c r="AB35" s="52">
        <f t="shared" si="13"/>
        <v>0</v>
      </c>
    </row>
    <row r="36" spans="2:28" x14ac:dyDescent="0.2">
      <c r="B36" s="41" t="s">
        <v>164</v>
      </c>
      <c r="C36" s="52">
        <f>CONVERT('COT AGENTES'!$O$6,"C","F")</f>
        <v>80.599999999999994</v>
      </c>
      <c r="D36" s="52">
        <f>CONVERT('COT AGENTES'!$O$6,"C","F")</f>
        <v>80.599999999999994</v>
      </c>
      <c r="E36" s="52">
        <f>CONVERT('COT AGENTES'!$O$6,"C","F")</f>
        <v>80.599999999999994</v>
      </c>
      <c r="F36" s="52">
        <f>CONVERT('COT AGENTES'!$O$6,"C","F")</f>
        <v>80.599999999999994</v>
      </c>
      <c r="G36" s="52">
        <f>CONVERT('COT AGENTES'!$O$6,"C","F")</f>
        <v>80.599999999999994</v>
      </c>
      <c r="H36" s="52">
        <f>CONVERT('COT AGENTES'!$O$6,"C","F")</f>
        <v>80.599999999999994</v>
      </c>
      <c r="L36" s="41" t="s">
        <v>164</v>
      </c>
      <c r="M36" s="52">
        <f>CONVERT('COT AGENTES'!$O$6,"C","F")</f>
        <v>80.599999999999994</v>
      </c>
      <c r="N36" s="52">
        <f>CONVERT('COT AGENTES'!$O$6,"C","F")</f>
        <v>80.599999999999994</v>
      </c>
      <c r="O36" s="52">
        <f>CONVERT('COT AGENTES'!$O$6,"C","F")</f>
        <v>80.599999999999994</v>
      </c>
      <c r="P36" s="52">
        <f>CONVERT('COT AGENTES'!$O$6,"C","F")</f>
        <v>80.599999999999994</v>
      </c>
      <c r="Q36" s="52">
        <f>CONVERT('COT AGENTES'!$O$6,"C","F")</f>
        <v>80.599999999999994</v>
      </c>
      <c r="R36" s="52">
        <f>CONVERT('COT AGENTES'!$O$6,"C","F")</f>
        <v>80.599999999999994</v>
      </c>
      <c r="V36" s="41" t="s">
        <v>164</v>
      </c>
      <c r="W36" s="52">
        <f t="shared" ref="W36:AB36" si="14">IF(W$24&gt;0,75,0)</f>
        <v>75</v>
      </c>
      <c r="X36" s="52">
        <f t="shared" si="14"/>
        <v>0</v>
      </c>
      <c r="Y36" s="52">
        <f t="shared" si="14"/>
        <v>0</v>
      </c>
      <c r="Z36" s="52">
        <f t="shared" si="14"/>
        <v>0</v>
      </c>
      <c r="AA36" s="52">
        <f t="shared" si="14"/>
        <v>0</v>
      </c>
      <c r="AB36" s="52">
        <f t="shared" si="14"/>
        <v>0</v>
      </c>
    </row>
    <row r="37" spans="2:28" x14ac:dyDescent="0.2">
      <c r="B37" s="41" t="s">
        <v>165</v>
      </c>
      <c r="C37" s="52">
        <f t="shared" ref="C37:H37" si="15">IF(C$24&gt;0,70,0)</f>
        <v>70</v>
      </c>
      <c r="D37" s="52">
        <f t="shared" si="15"/>
        <v>0</v>
      </c>
      <c r="E37" s="52">
        <f t="shared" si="15"/>
        <v>0</v>
      </c>
      <c r="F37" s="52">
        <f t="shared" si="15"/>
        <v>0</v>
      </c>
      <c r="G37" s="52">
        <f t="shared" si="15"/>
        <v>0</v>
      </c>
      <c r="H37" s="52">
        <f t="shared" si="15"/>
        <v>0</v>
      </c>
      <c r="L37" s="41" t="s">
        <v>165</v>
      </c>
      <c r="M37" s="52">
        <f t="shared" ref="M37:R37" si="16">IF(M$24&gt;0,70,0)</f>
        <v>70</v>
      </c>
      <c r="N37" s="52">
        <f t="shared" si="16"/>
        <v>0</v>
      </c>
      <c r="O37" s="52">
        <f t="shared" si="16"/>
        <v>0</v>
      </c>
      <c r="P37" s="52">
        <f t="shared" si="16"/>
        <v>0</v>
      </c>
      <c r="Q37" s="52">
        <f t="shared" si="16"/>
        <v>0</v>
      </c>
      <c r="R37" s="52">
        <f t="shared" si="16"/>
        <v>0</v>
      </c>
      <c r="V37" s="41" t="s">
        <v>165</v>
      </c>
      <c r="W37" s="52">
        <f t="shared" ref="W37:AB37" si="17">IF(W$24&gt;0,70,0)</f>
        <v>70</v>
      </c>
      <c r="X37" s="52">
        <f t="shared" si="17"/>
        <v>0</v>
      </c>
      <c r="Y37" s="52">
        <f t="shared" si="17"/>
        <v>0</v>
      </c>
      <c r="Z37" s="52">
        <f t="shared" si="17"/>
        <v>0</v>
      </c>
      <c r="AA37" s="52">
        <f t="shared" si="17"/>
        <v>0</v>
      </c>
      <c r="AB37" s="52">
        <f t="shared" si="17"/>
        <v>0</v>
      </c>
    </row>
    <row r="38" spans="2:28" ht="12" thickBot="1" x14ac:dyDescent="0.25">
      <c r="B38" s="44"/>
      <c r="C38" s="44"/>
      <c r="D38" s="44"/>
      <c r="E38" s="44"/>
      <c r="F38" s="44"/>
      <c r="G38" s="44"/>
      <c r="H38" s="44"/>
      <c r="L38" s="44"/>
      <c r="M38" s="44"/>
      <c r="N38" s="44"/>
      <c r="O38" s="44"/>
      <c r="P38" s="44"/>
      <c r="Q38" s="44"/>
      <c r="R38" s="44"/>
      <c r="V38" s="44"/>
      <c r="W38" s="44"/>
      <c r="X38" s="44"/>
      <c r="Y38" s="44"/>
      <c r="Z38" s="44"/>
      <c r="AA38" s="44"/>
      <c r="AB38" s="44"/>
    </row>
    <row r="39" spans="2:28" ht="12" thickBot="1" x14ac:dyDescent="0.25">
      <c r="B39" s="41" t="s">
        <v>166</v>
      </c>
      <c r="C39" s="42">
        <f>CALC_AGENT!$E$7</f>
        <v>3.2808398950131235</v>
      </c>
      <c r="D39" s="53">
        <f>IF(D24&gt;0,$C39,0)</f>
        <v>0</v>
      </c>
      <c r="E39" s="53">
        <f>IF(E24&gt;0,$C39,0)</f>
        <v>0</v>
      </c>
      <c r="F39" s="53">
        <f>IF(F24&gt;0,$C39,0)</f>
        <v>0</v>
      </c>
      <c r="G39" s="53">
        <f>IF(G24&gt;0,$C39,0)</f>
        <v>0</v>
      </c>
      <c r="H39" s="53">
        <f>IF(H24&gt;0,$C39,0)</f>
        <v>0</v>
      </c>
      <c r="L39" s="41" t="s">
        <v>166</v>
      </c>
      <c r="M39" s="54">
        <f>CALC_AGENT!$E$7</f>
        <v>3.2808398950131235</v>
      </c>
      <c r="N39" s="53">
        <f>IF(N24&gt;0,$M39,0)</f>
        <v>0</v>
      </c>
      <c r="O39" s="53">
        <f>IF(O24&gt;0,$M39,0)</f>
        <v>0</v>
      </c>
      <c r="P39" s="53">
        <f>IF(P24&gt;0,$M39,0)</f>
        <v>0</v>
      </c>
      <c r="Q39" s="53">
        <f>IF(Q24&gt;0,$M39,0)</f>
        <v>0</v>
      </c>
      <c r="R39" s="53">
        <f>IF(R24&gt;0,$M39,0)</f>
        <v>0</v>
      </c>
      <c r="V39" s="41" t="s">
        <v>166</v>
      </c>
      <c r="W39" s="42">
        <f>CALC_AGENT!$E$7</f>
        <v>3.2808398950131235</v>
      </c>
      <c r="X39" s="53">
        <f>IF(X24&gt;0,$M39,0)</f>
        <v>0</v>
      </c>
      <c r="Y39" s="53">
        <f>IF(Y24&gt;0,$M39,0)</f>
        <v>0</v>
      </c>
      <c r="Z39" s="53">
        <f>IF(Z24&gt;0,$M39,0)</f>
        <v>0</v>
      </c>
      <c r="AA39" s="53">
        <f>IF(AA24&gt;0,$M39,0)</f>
        <v>0</v>
      </c>
      <c r="AB39" s="53">
        <f>IF(AB24&gt;0,$M39,0)</f>
        <v>0</v>
      </c>
    </row>
    <row r="42" spans="2:28" x14ac:dyDescent="0.2">
      <c r="B42" s="55" t="s">
        <v>167</v>
      </c>
      <c r="C42" s="56" t="s">
        <v>147</v>
      </c>
      <c r="D42" s="56" t="s">
        <v>148</v>
      </c>
      <c r="E42" s="56" t="s">
        <v>149</v>
      </c>
      <c r="F42" s="56" t="s">
        <v>150</v>
      </c>
      <c r="G42" s="56" t="s">
        <v>151</v>
      </c>
      <c r="H42" s="56" t="s">
        <v>152</v>
      </c>
      <c r="L42" s="55" t="s">
        <v>167</v>
      </c>
      <c r="M42" s="56" t="s">
        <v>147</v>
      </c>
      <c r="N42" s="56" t="s">
        <v>148</v>
      </c>
      <c r="O42" s="56" t="s">
        <v>149</v>
      </c>
      <c r="P42" s="56" t="s">
        <v>150</v>
      </c>
      <c r="Q42" s="56" t="s">
        <v>151</v>
      </c>
      <c r="R42" s="56" t="s">
        <v>152</v>
      </c>
      <c r="V42" s="55" t="s">
        <v>167</v>
      </c>
      <c r="W42" s="56" t="s">
        <v>147</v>
      </c>
      <c r="X42" s="56" t="s">
        <v>148</v>
      </c>
      <c r="Y42" s="56" t="s">
        <v>149</v>
      </c>
      <c r="Z42" s="56" t="s">
        <v>150</v>
      </c>
      <c r="AA42" s="56" t="s">
        <v>151</v>
      </c>
      <c r="AB42" s="56" t="s">
        <v>152</v>
      </c>
    </row>
    <row r="43" spans="2:28" x14ac:dyDescent="0.2">
      <c r="B43" s="57" t="s">
        <v>168</v>
      </c>
      <c r="C43" s="58">
        <f t="shared" ref="C43:H46" si="18">C23</f>
        <v>0</v>
      </c>
      <c r="D43" s="58">
        <f t="shared" si="18"/>
        <v>0</v>
      </c>
      <c r="E43" s="58">
        <f t="shared" si="18"/>
        <v>0</v>
      </c>
      <c r="F43" s="58">
        <f t="shared" si="18"/>
        <v>0</v>
      </c>
      <c r="G43" s="58">
        <f t="shared" si="18"/>
        <v>0</v>
      </c>
      <c r="H43" s="58">
        <f t="shared" si="18"/>
        <v>0</v>
      </c>
      <c r="L43" s="57" t="s">
        <v>168</v>
      </c>
      <c r="M43" s="58">
        <f t="shared" ref="M43:R46" si="19">M23</f>
        <v>0</v>
      </c>
      <c r="N43" s="58">
        <f t="shared" si="19"/>
        <v>0</v>
      </c>
      <c r="O43" s="58">
        <f t="shared" si="19"/>
        <v>0</v>
      </c>
      <c r="P43" s="58">
        <f t="shared" si="19"/>
        <v>0</v>
      </c>
      <c r="Q43" s="58">
        <f t="shared" si="19"/>
        <v>0</v>
      </c>
      <c r="R43" s="58">
        <f t="shared" si="19"/>
        <v>0</v>
      </c>
      <c r="V43" s="57" t="s">
        <v>168</v>
      </c>
      <c r="W43" s="58">
        <f t="shared" ref="W43:AB46" si="20">W23</f>
        <v>0</v>
      </c>
      <c r="X43" s="58">
        <f t="shared" si="20"/>
        <v>0</v>
      </c>
      <c r="Y43" s="58">
        <f t="shared" si="20"/>
        <v>0</v>
      </c>
      <c r="Z43" s="58">
        <f t="shared" si="20"/>
        <v>0</v>
      </c>
      <c r="AA43" s="58">
        <f t="shared" si="20"/>
        <v>0</v>
      </c>
      <c r="AB43" s="58">
        <f t="shared" si="20"/>
        <v>0</v>
      </c>
    </row>
    <row r="44" spans="2:28" x14ac:dyDescent="0.2">
      <c r="B44" s="57" t="s">
        <v>169</v>
      </c>
      <c r="C44" s="58">
        <f t="shared" si="18"/>
        <v>3.2808398950131235</v>
      </c>
      <c r="D44" s="58">
        <f t="shared" si="18"/>
        <v>0</v>
      </c>
      <c r="E44" s="58">
        <f t="shared" si="18"/>
        <v>0</v>
      </c>
      <c r="F44" s="58">
        <f t="shared" si="18"/>
        <v>0</v>
      </c>
      <c r="G44" s="58">
        <f t="shared" si="18"/>
        <v>0</v>
      </c>
      <c r="H44" s="58">
        <f t="shared" si="18"/>
        <v>0</v>
      </c>
      <c r="L44" s="57" t="s">
        <v>169</v>
      </c>
      <c r="M44" s="58">
        <f t="shared" si="19"/>
        <v>3.2808398950131235</v>
      </c>
      <c r="N44" s="58">
        <f t="shared" si="19"/>
        <v>0</v>
      </c>
      <c r="O44" s="58">
        <f t="shared" si="19"/>
        <v>0</v>
      </c>
      <c r="P44" s="58">
        <f t="shared" si="19"/>
        <v>0</v>
      </c>
      <c r="Q44" s="58">
        <f t="shared" si="19"/>
        <v>0</v>
      </c>
      <c r="R44" s="58">
        <f t="shared" si="19"/>
        <v>0</v>
      </c>
      <c r="V44" s="57" t="s">
        <v>169</v>
      </c>
      <c r="W44" s="58">
        <f t="shared" si="20"/>
        <v>3.2808398950131235</v>
      </c>
      <c r="X44" s="58">
        <f t="shared" si="20"/>
        <v>0</v>
      </c>
      <c r="Y44" s="58">
        <f t="shared" si="20"/>
        <v>0</v>
      </c>
      <c r="Z44" s="58">
        <f t="shared" si="20"/>
        <v>0</v>
      </c>
      <c r="AA44" s="58">
        <f t="shared" si="20"/>
        <v>0</v>
      </c>
      <c r="AB44" s="58">
        <f t="shared" si="20"/>
        <v>0</v>
      </c>
    </row>
    <row r="45" spans="2:28" x14ac:dyDescent="0.2">
      <c r="B45" s="57" t="s">
        <v>170</v>
      </c>
      <c r="C45" s="58">
        <f t="shared" si="18"/>
        <v>3.2808398950131235</v>
      </c>
      <c r="D45" s="58">
        <f t="shared" si="18"/>
        <v>0</v>
      </c>
      <c r="E45" s="58">
        <f t="shared" si="18"/>
        <v>0</v>
      </c>
      <c r="F45" s="58">
        <f t="shared" si="18"/>
        <v>0</v>
      </c>
      <c r="G45" s="58">
        <f t="shared" si="18"/>
        <v>0</v>
      </c>
      <c r="H45" s="58">
        <f t="shared" si="18"/>
        <v>0</v>
      </c>
      <c r="L45" s="57" t="s">
        <v>170</v>
      </c>
      <c r="M45" s="58">
        <f t="shared" si="19"/>
        <v>3.2808398950131235</v>
      </c>
      <c r="N45" s="58">
        <f t="shared" si="19"/>
        <v>0</v>
      </c>
      <c r="O45" s="58">
        <f t="shared" si="19"/>
        <v>0</v>
      </c>
      <c r="P45" s="58">
        <f t="shared" si="19"/>
        <v>0</v>
      </c>
      <c r="Q45" s="58">
        <f t="shared" si="19"/>
        <v>0</v>
      </c>
      <c r="R45" s="58">
        <f t="shared" si="19"/>
        <v>0</v>
      </c>
      <c r="V45" s="57" t="s">
        <v>170</v>
      </c>
      <c r="W45" s="58">
        <f t="shared" si="20"/>
        <v>3.2808398950131235</v>
      </c>
      <c r="X45" s="58">
        <f t="shared" si="20"/>
        <v>0</v>
      </c>
      <c r="Y45" s="58">
        <f t="shared" si="20"/>
        <v>0</v>
      </c>
      <c r="Z45" s="58">
        <f t="shared" si="20"/>
        <v>0</v>
      </c>
      <c r="AA45" s="58">
        <f t="shared" si="20"/>
        <v>0</v>
      </c>
      <c r="AB45" s="58">
        <f t="shared" si="20"/>
        <v>0</v>
      </c>
    </row>
    <row r="46" spans="2:28" x14ac:dyDescent="0.2">
      <c r="B46" s="57" t="s">
        <v>171</v>
      </c>
      <c r="C46" s="58">
        <f t="shared" si="18"/>
        <v>3.2808398950131235</v>
      </c>
      <c r="D46" s="58">
        <f t="shared" si="18"/>
        <v>0</v>
      </c>
      <c r="E46" s="58">
        <f t="shared" si="18"/>
        <v>0</v>
      </c>
      <c r="F46" s="58">
        <f t="shared" si="18"/>
        <v>0</v>
      </c>
      <c r="G46" s="58">
        <f t="shared" si="18"/>
        <v>0</v>
      </c>
      <c r="H46" s="58">
        <f t="shared" si="18"/>
        <v>0</v>
      </c>
      <c r="L46" s="57" t="s">
        <v>171</v>
      </c>
      <c r="M46" s="58">
        <f t="shared" si="19"/>
        <v>3.2808398950131235</v>
      </c>
      <c r="N46" s="58">
        <f t="shared" si="19"/>
        <v>0</v>
      </c>
      <c r="O46" s="58">
        <f t="shared" si="19"/>
        <v>0</v>
      </c>
      <c r="P46" s="58">
        <f t="shared" si="19"/>
        <v>0</v>
      </c>
      <c r="Q46" s="58">
        <f t="shared" si="19"/>
        <v>0</v>
      </c>
      <c r="R46" s="58">
        <f t="shared" si="19"/>
        <v>0</v>
      </c>
      <c r="V46" s="57" t="s">
        <v>171</v>
      </c>
      <c r="W46" s="58">
        <f t="shared" si="20"/>
        <v>3.2808398950131235</v>
      </c>
      <c r="X46" s="58">
        <f t="shared" si="20"/>
        <v>0</v>
      </c>
      <c r="Y46" s="58">
        <f t="shared" si="20"/>
        <v>0</v>
      </c>
      <c r="Z46" s="58">
        <f t="shared" si="20"/>
        <v>0</v>
      </c>
      <c r="AA46" s="58">
        <f t="shared" si="20"/>
        <v>0</v>
      </c>
      <c r="AB46" s="58">
        <f t="shared" si="20"/>
        <v>0</v>
      </c>
    </row>
    <row r="47" spans="2:28" x14ac:dyDescent="0.2">
      <c r="B47" s="57"/>
      <c r="C47" s="59"/>
      <c r="D47" s="59"/>
      <c r="E47" s="59"/>
      <c r="F47" s="59"/>
      <c r="G47" s="59"/>
      <c r="H47" s="59"/>
      <c r="L47" s="57"/>
      <c r="M47" s="59"/>
      <c r="N47" s="59"/>
      <c r="O47" s="59"/>
      <c r="P47" s="59"/>
      <c r="Q47" s="59"/>
      <c r="R47" s="59"/>
      <c r="V47" s="57"/>
      <c r="W47" s="59"/>
      <c r="X47" s="59"/>
      <c r="Y47" s="59"/>
      <c r="Z47" s="59"/>
      <c r="AA47" s="59"/>
      <c r="AB47" s="59"/>
    </row>
    <row r="48" spans="2:28" x14ac:dyDescent="0.2">
      <c r="B48" s="57" t="s">
        <v>172</v>
      </c>
      <c r="C48" s="60">
        <f t="shared" ref="C48:H48" si="21">C44*C45</f>
        <v>10.763910416709724</v>
      </c>
      <c r="D48" s="60">
        <f t="shared" si="21"/>
        <v>0</v>
      </c>
      <c r="E48" s="60">
        <f t="shared" si="21"/>
        <v>0</v>
      </c>
      <c r="F48" s="60">
        <f t="shared" si="21"/>
        <v>0</v>
      </c>
      <c r="G48" s="60">
        <f t="shared" si="21"/>
        <v>0</v>
      </c>
      <c r="H48" s="60">
        <f t="shared" si="21"/>
        <v>0</v>
      </c>
      <c r="L48" s="57" t="s">
        <v>172</v>
      </c>
      <c r="M48" s="60">
        <f t="shared" ref="M48:R48" si="22">M44*M45</f>
        <v>10.763910416709724</v>
      </c>
      <c r="N48" s="60">
        <f t="shared" si="22"/>
        <v>0</v>
      </c>
      <c r="O48" s="60">
        <f t="shared" si="22"/>
        <v>0</v>
      </c>
      <c r="P48" s="60">
        <f t="shared" si="22"/>
        <v>0</v>
      </c>
      <c r="Q48" s="60">
        <f t="shared" si="22"/>
        <v>0</v>
      </c>
      <c r="R48" s="60">
        <f t="shared" si="22"/>
        <v>0</v>
      </c>
      <c r="V48" s="57" t="s">
        <v>172</v>
      </c>
      <c r="W48" s="60">
        <f t="shared" ref="W48:AB48" si="23">W44*W45</f>
        <v>10.763910416709724</v>
      </c>
      <c r="X48" s="60">
        <f t="shared" si="23"/>
        <v>0</v>
      </c>
      <c r="Y48" s="60">
        <f t="shared" si="23"/>
        <v>0</v>
      </c>
      <c r="Z48" s="60">
        <f t="shared" si="23"/>
        <v>0</v>
      </c>
      <c r="AA48" s="60">
        <f t="shared" si="23"/>
        <v>0</v>
      </c>
      <c r="AB48" s="60">
        <f t="shared" si="23"/>
        <v>0</v>
      </c>
    </row>
    <row r="49" spans="2:28" x14ac:dyDescent="0.2">
      <c r="B49" s="57" t="s">
        <v>173</v>
      </c>
      <c r="C49" s="61">
        <f t="shared" ref="C49:H49" si="24">C48*C46</f>
        <v>35.314666721488592</v>
      </c>
      <c r="D49" s="61">
        <f t="shared" si="24"/>
        <v>0</v>
      </c>
      <c r="E49" s="61">
        <f t="shared" si="24"/>
        <v>0</v>
      </c>
      <c r="F49" s="61">
        <f t="shared" si="24"/>
        <v>0</v>
      </c>
      <c r="G49" s="61">
        <f t="shared" si="24"/>
        <v>0</v>
      </c>
      <c r="H49" s="61">
        <f t="shared" si="24"/>
        <v>0</v>
      </c>
      <c r="L49" s="57" t="s">
        <v>173</v>
      </c>
      <c r="M49" s="61">
        <f t="shared" ref="M49:R49" si="25">M48*M46</f>
        <v>35.314666721488592</v>
      </c>
      <c r="N49" s="61">
        <f t="shared" si="25"/>
        <v>0</v>
      </c>
      <c r="O49" s="61">
        <f t="shared" si="25"/>
        <v>0</v>
      </c>
      <c r="P49" s="61">
        <f t="shared" si="25"/>
        <v>0</v>
      </c>
      <c r="Q49" s="61">
        <f t="shared" si="25"/>
        <v>0</v>
      </c>
      <c r="R49" s="61">
        <f t="shared" si="25"/>
        <v>0</v>
      </c>
      <c r="V49" s="57" t="s">
        <v>173</v>
      </c>
      <c r="W49" s="61">
        <f t="shared" ref="W49:AB49" si="26">W48*W46</f>
        <v>35.314666721488592</v>
      </c>
      <c r="X49" s="61">
        <f t="shared" si="26"/>
        <v>0</v>
      </c>
      <c r="Y49" s="61">
        <f t="shared" si="26"/>
        <v>0</v>
      </c>
      <c r="Z49" s="61">
        <f t="shared" si="26"/>
        <v>0</v>
      </c>
      <c r="AA49" s="61">
        <f t="shared" si="26"/>
        <v>0</v>
      </c>
      <c r="AB49" s="61">
        <f t="shared" si="26"/>
        <v>0</v>
      </c>
    </row>
    <row r="50" spans="2:28" x14ac:dyDescent="0.2">
      <c r="B50" s="57" t="s">
        <v>174</v>
      </c>
      <c r="C50" s="58"/>
      <c r="D50" s="58"/>
      <c r="E50" s="58"/>
      <c r="F50" s="58"/>
      <c r="G50" s="58"/>
      <c r="H50" s="58"/>
      <c r="L50" s="57" t="s">
        <v>174</v>
      </c>
      <c r="M50" s="58"/>
      <c r="N50" s="58"/>
      <c r="O50" s="58"/>
      <c r="P50" s="58"/>
      <c r="Q50" s="58"/>
      <c r="R50" s="58"/>
      <c r="V50" s="57" t="s">
        <v>174</v>
      </c>
      <c r="W50" s="58"/>
      <c r="X50" s="58"/>
      <c r="Y50" s="58"/>
      <c r="Z50" s="58"/>
      <c r="AA50" s="58"/>
      <c r="AB50" s="58"/>
    </row>
    <row r="51" spans="2:28" x14ac:dyDescent="0.2">
      <c r="B51" s="57" t="s">
        <v>175</v>
      </c>
      <c r="C51" s="61">
        <f t="shared" ref="C51:H51" si="27">SUM(C49:C50)</f>
        <v>35.314666721488592</v>
      </c>
      <c r="D51" s="61">
        <f t="shared" si="27"/>
        <v>0</v>
      </c>
      <c r="E51" s="61">
        <f t="shared" si="27"/>
        <v>0</v>
      </c>
      <c r="F51" s="61">
        <f t="shared" si="27"/>
        <v>0</v>
      </c>
      <c r="G51" s="61">
        <f t="shared" si="27"/>
        <v>0</v>
      </c>
      <c r="H51" s="61">
        <f t="shared" si="27"/>
        <v>0</v>
      </c>
      <c r="L51" s="57" t="s">
        <v>175</v>
      </c>
      <c r="M51" s="61">
        <f t="shared" ref="M51:R51" si="28">SUM(M49:M50)</f>
        <v>35.314666721488592</v>
      </c>
      <c r="N51" s="61">
        <f t="shared" si="28"/>
        <v>0</v>
      </c>
      <c r="O51" s="61">
        <f t="shared" si="28"/>
        <v>0</v>
      </c>
      <c r="P51" s="61">
        <f t="shared" si="28"/>
        <v>0</v>
      </c>
      <c r="Q51" s="61">
        <f t="shared" si="28"/>
        <v>0</v>
      </c>
      <c r="R51" s="61">
        <f t="shared" si="28"/>
        <v>0</v>
      </c>
      <c r="V51" s="57" t="s">
        <v>175</v>
      </c>
      <c r="W51" s="61">
        <f t="shared" ref="W51:AB51" si="29">SUM(W49:W50)</f>
        <v>35.314666721488592</v>
      </c>
      <c r="X51" s="61">
        <f t="shared" si="29"/>
        <v>0</v>
      </c>
      <c r="Y51" s="61">
        <f t="shared" si="29"/>
        <v>0</v>
      </c>
      <c r="Z51" s="61">
        <f t="shared" si="29"/>
        <v>0</v>
      </c>
      <c r="AA51" s="61">
        <f t="shared" si="29"/>
        <v>0</v>
      </c>
      <c r="AB51" s="61">
        <f t="shared" si="29"/>
        <v>0</v>
      </c>
    </row>
    <row r="52" spans="2:28" x14ac:dyDescent="0.2">
      <c r="B52" s="57"/>
      <c r="C52" s="62"/>
      <c r="D52" s="62"/>
      <c r="E52" s="62"/>
      <c r="F52" s="62"/>
      <c r="G52" s="62"/>
      <c r="H52" s="62"/>
      <c r="L52" s="57"/>
      <c r="M52" s="62"/>
      <c r="N52" s="62"/>
      <c r="O52" s="62"/>
      <c r="P52" s="62"/>
      <c r="Q52" s="62"/>
      <c r="R52" s="62"/>
      <c r="V52" s="57"/>
      <c r="W52" s="62"/>
      <c r="X52" s="62"/>
      <c r="Y52" s="62"/>
      <c r="Z52" s="62"/>
      <c r="AA52" s="62"/>
      <c r="AB52" s="62"/>
    </row>
    <row r="53" spans="2:28" x14ac:dyDescent="0.2">
      <c r="B53" s="55" t="s">
        <v>176</v>
      </c>
      <c r="C53" s="62"/>
      <c r="D53" s="62"/>
      <c r="E53" s="62"/>
      <c r="F53" s="62"/>
      <c r="G53" s="62"/>
      <c r="H53" s="62"/>
      <c r="L53" s="55" t="s">
        <v>176</v>
      </c>
      <c r="M53" s="62"/>
      <c r="N53" s="62"/>
      <c r="O53" s="62"/>
      <c r="P53" s="62"/>
      <c r="Q53" s="62"/>
      <c r="R53" s="62"/>
      <c r="V53" s="55" t="s">
        <v>176</v>
      </c>
      <c r="W53" s="62"/>
      <c r="X53" s="62"/>
      <c r="Y53" s="62"/>
      <c r="Z53" s="62"/>
      <c r="AA53" s="62"/>
      <c r="AB53" s="62"/>
    </row>
    <row r="54" spans="2:28" x14ac:dyDescent="0.2">
      <c r="B54" s="57" t="s">
        <v>160</v>
      </c>
      <c r="C54" s="58">
        <f t="shared" ref="C54:H54" si="30">C32</f>
        <v>0</v>
      </c>
      <c r="D54" s="58">
        <f t="shared" si="30"/>
        <v>0</v>
      </c>
      <c r="E54" s="58">
        <f t="shared" si="30"/>
        <v>0</v>
      </c>
      <c r="F54" s="58">
        <f t="shared" si="30"/>
        <v>0</v>
      </c>
      <c r="G54" s="58">
        <f t="shared" si="30"/>
        <v>0</v>
      </c>
      <c r="H54" s="58">
        <f t="shared" si="30"/>
        <v>0</v>
      </c>
      <c r="L54" s="57" t="s">
        <v>160</v>
      </c>
      <c r="M54" s="58">
        <f t="shared" ref="M54:R54" si="31">M32</f>
        <v>0</v>
      </c>
      <c r="N54" s="58">
        <f t="shared" si="31"/>
        <v>0</v>
      </c>
      <c r="O54" s="58">
        <f t="shared" si="31"/>
        <v>0</v>
      </c>
      <c r="P54" s="58">
        <f t="shared" si="31"/>
        <v>0</v>
      </c>
      <c r="Q54" s="58">
        <f t="shared" si="31"/>
        <v>0</v>
      </c>
      <c r="R54" s="58">
        <f t="shared" si="31"/>
        <v>0</v>
      </c>
      <c r="V54" s="57" t="s">
        <v>160</v>
      </c>
      <c r="W54" s="58">
        <f t="shared" ref="W54:AB54" si="32">W32</f>
        <v>0</v>
      </c>
      <c r="X54" s="58">
        <f t="shared" si="32"/>
        <v>0</v>
      </c>
      <c r="Y54" s="58">
        <f t="shared" si="32"/>
        <v>0</v>
      </c>
      <c r="Z54" s="58">
        <f t="shared" si="32"/>
        <v>0</v>
      </c>
      <c r="AA54" s="58">
        <f t="shared" si="32"/>
        <v>0</v>
      </c>
      <c r="AB54" s="58">
        <f t="shared" si="32"/>
        <v>0</v>
      </c>
    </row>
    <row r="55" spans="2:28" x14ac:dyDescent="0.2">
      <c r="B55" s="57" t="s">
        <v>161</v>
      </c>
      <c r="C55" s="61">
        <f t="shared" ref="C55:H55" si="33">C51-C54</f>
        <v>35.314666721488592</v>
      </c>
      <c r="D55" s="61">
        <f t="shared" si="33"/>
        <v>0</v>
      </c>
      <c r="E55" s="61">
        <f t="shared" si="33"/>
        <v>0</v>
      </c>
      <c r="F55" s="61">
        <f t="shared" si="33"/>
        <v>0</v>
      </c>
      <c r="G55" s="61">
        <f t="shared" si="33"/>
        <v>0</v>
      </c>
      <c r="H55" s="61">
        <f t="shared" si="33"/>
        <v>0</v>
      </c>
      <c r="L55" s="57" t="s">
        <v>161</v>
      </c>
      <c r="M55" s="61">
        <f t="shared" ref="M55:R55" si="34">M51-M54</f>
        <v>35.314666721488592</v>
      </c>
      <c r="N55" s="61">
        <f t="shared" si="34"/>
        <v>0</v>
      </c>
      <c r="O55" s="61">
        <f t="shared" si="34"/>
        <v>0</v>
      </c>
      <c r="P55" s="61">
        <f t="shared" si="34"/>
        <v>0</v>
      </c>
      <c r="Q55" s="61">
        <f t="shared" si="34"/>
        <v>0</v>
      </c>
      <c r="R55" s="61">
        <f t="shared" si="34"/>
        <v>0</v>
      </c>
      <c r="V55" s="57" t="s">
        <v>161</v>
      </c>
      <c r="W55" s="61">
        <f t="shared" ref="W55:AB55" si="35">W51-W54</f>
        <v>35.314666721488592</v>
      </c>
      <c r="X55" s="61">
        <f t="shared" si="35"/>
        <v>0</v>
      </c>
      <c r="Y55" s="61">
        <f t="shared" si="35"/>
        <v>0</v>
      </c>
      <c r="Z55" s="61">
        <f t="shared" si="35"/>
        <v>0</v>
      </c>
      <c r="AA55" s="61">
        <f t="shared" si="35"/>
        <v>0</v>
      </c>
      <c r="AB55" s="61">
        <f t="shared" si="35"/>
        <v>0</v>
      </c>
    </row>
    <row r="56" spans="2:28" x14ac:dyDescent="0.2">
      <c r="B56" s="63" t="s">
        <v>177</v>
      </c>
      <c r="C56" s="62"/>
      <c r="D56" s="62"/>
      <c r="E56" s="62"/>
      <c r="F56" s="62"/>
      <c r="G56" s="62"/>
      <c r="H56" s="62"/>
      <c r="L56" s="63" t="s">
        <v>177</v>
      </c>
      <c r="M56" s="62"/>
      <c r="N56" s="62"/>
      <c r="O56" s="62"/>
      <c r="P56" s="62"/>
      <c r="Q56" s="62"/>
      <c r="R56" s="62"/>
      <c r="V56" s="63" t="s">
        <v>177</v>
      </c>
      <c r="W56" s="62"/>
      <c r="X56" s="62"/>
      <c r="Y56" s="62"/>
      <c r="Z56" s="62"/>
      <c r="AA56" s="62"/>
      <c r="AB56" s="62"/>
    </row>
    <row r="57" spans="2:28" x14ac:dyDescent="0.2">
      <c r="B57" s="63"/>
      <c r="C57" s="62"/>
      <c r="D57" s="62"/>
      <c r="E57" s="62"/>
      <c r="F57" s="62"/>
      <c r="G57" s="62"/>
      <c r="H57" s="62"/>
      <c r="L57" s="63"/>
      <c r="M57" s="62"/>
      <c r="N57" s="62"/>
      <c r="O57" s="62"/>
      <c r="P57" s="62"/>
      <c r="Q57" s="62"/>
      <c r="R57" s="62"/>
      <c r="V57" s="63"/>
      <c r="W57" s="62"/>
      <c r="X57" s="62"/>
      <c r="Y57" s="62"/>
      <c r="Z57" s="62"/>
      <c r="AA57" s="62"/>
      <c r="AB57" s="62"/>
    </row>
    <row r="58" spans="2:28" x14ac:dyDescent="0.2">
      <c r="B58" s="57" t="s">
        <v>178</v>
      </c>
      <c r="C58" s="58"/>
      <c r="D58" s="58"/>
      <c r="E58" s="58"/>
      <c r="F58" s="58"/>
      <c r="G58" s="58"/>
      <c r="H58" s="58"/>
      <c r="L58" s="57" t="s">
        <v>178</v>
      </c>
      <c r="M58" s="58"/>
      <c r="N58" s="58"/>
      <c r="O58" s="58"/>
      <c r="P58" s="58"/>
      <c r="Q58" s="58"/>
      <c r="R58" s="58"/>
      <c r="V58" s="57" t="s">
        <v>178</v>
      </c>
      <c r="W58" s="58"/>
      <c r="X58" s="58"/>
      <c r="Y58" s="58"/>
      <c r="Z58" s="58"/>
      <c r="AA58" s="58"/>
      <c r="AB58" s="58"/>
    </row>
    <row r="59" spans="2:28" x14ac:dyDescent="0.2">
      <c r="B59" s="63" t="s">
        <v>179</v>
      </c>
      <c r="C59" s="62"/>
      <c r="D59" s="62"/>
      <c r="E59" s="62"/>
      <c r="F59" s="62"/>
      <c r="G59" s="62"/>
      <c r="H59" s="62"/>
      <c r="L59" s="63" t="s">
        <v>179</v>
      </c>
      <c r="M59" s="62"/>
      <c r="N59" s="62"/>
      <c r="O59" s="62"/>
      <c r="P59" s="62"/>
      <c r="Q59" s="62"/>
      <c r="R59" s="62"/>
      <c r="V59" s="63" t="s">
        <v>179</v>
      </c>
      <c r="W59" s="62"/>
      <c r="X59" s="62"/>
      <c r="Y59" s="62"/>
      <c r="Z59" s="62"/>
      <c r="AA59" s="62"/>
      <c r="AB59" s="62"/>
    </row>
    <row r="60" spans="2:28" x14ac:dyDescent="0.2">
      <c r="B60" s="57"/>
      <c r="C60" s="62"/>
      <c r="D60" s="62"/>
      <c r="E60" s="62"/>
      <c r="F60" s="62"/>
      <c r="G60" s="62"/>
      <c r="H60" s="62"/>
      <c r="L60" s="57"/>
      <c r="M60" s="62"/>
      <c r="N60" s="62"/>
      <c r="O60" s="62"/>
      <c r="P60" s="62"/>
      <c r="Q60" s="62"/>
      <c r="R60" s="62"/>
      <c r="V60" s="57"/>
      <c r="W60" s="62"/>
      <c r="X60" s="62"/>
      <c r="Y60" s="62"/>
      <c r="Z60" s="62"/>
      <c r="AA60" s="62"/>
      <c r="AB60" s="62"/>
    </row>
    <row r="61" spans="2:28" x14ac:dyDescent="0.2">
      <c r="B61" s="57" t="s">
        <v>180</v>
      </c>
      <c r="C61" s="58">
        <f t="shared" ref="C61:H61" si="36">IF(C55=0,0,(IF((C58/C55)&gt;0.25,C55-C58,C55)))</f>
        <v>35.314666721488592</v>
      </c>
      <c r="D61" s="58">
        <f t="shared" si="36"/>
        <v>0</v>
      </c>
      <c r="E61" s="58">
        <f t="shared" si="36"/>
        <v>0</v>
      </c>
      <c r="F61" s="58">
        <f t="shared" si="36"/>
        <v>0</v>
      </c>
      <c r="G61" s="58">
        <f t="shared" si="36"/>
        <v>0</v>
      </c>
      <c r="H61" s="58">
        <f t="shared" si="36"/>
        <v>0</v>
      </c>
      <c r="L61" s="57" t="s">
        <v>180</v>
      </c>
      <c r="M61" s="58">
        <f t="shared" ref="M61:R61" si="37">IF(M55=0,0,(IF((M58/M55)&gt;0.25,M55-M58,M55)))</f>
        <v>35.314666721488592</v>
      </c>
      <c r="N61" s="58">
        <f t="shared" si="37"/>
        <v>0</v>
      </c>
      <c r="O61" s="58">
        <f t="shared" si="37"/>
        <v>0</v>
      </c>
      <c r="P61" s="58">
        <f t="shared" si="37"/>
        <v>0</v>
      </c>
      <c r="Q61" s="58">
        <f t="shared" si="37"/>
        <v>0</v>
      </c>
      <c r="R61" s="58">
        <f t="shared" si="37"/>
        <v>0</v>
      </c>
      <c r="V61" s="57" t="s">
        <v>180</v>
      </c>
      <c r="W61" s="58">
        <f t="shared" ref="W61:AB61" si="38">IF(W55=0,0,(IF((W58/W55)&gt;0.25,W55-W58,W55)))</f>
        <v>35.314666721488592</v>
      </c>
      <c r="X61" s="58">
        <f t="shared" si="38"/>
        <v>0</v>
      </c>
      <c r="Y61" s="58">
        <f t="shared" si="38"/>
        <v>0</v>
      </c>
      <c r="Z61" s="58">
        <f t="shared" si="38"/>
        <v>0</v>
      </c>
      <c r="AA61" s="58">
        <f t="shared" si="38"/>
        <v>0</v>
      </c>
      <c r="AB61" s="58">
        <f t="shared" si="38"/>
        <v>0</v>
      </c>
    </row>
    <row r="62" spans="2:28" x14ac:dyDescent="0.2">
      <c r="B62" s="63" t="s">
        <v>181</v>
      </c>
      <c r="C62" s="62"/>
      <c r="D62" s="62"/>
      <c r="E62" s="62"/>
      <c r="F62" s="62"/>
      <c r="G62" s="62"/>
      <c r="H62" s="62"/>
      <c r="L62" s="63" t="s">
        <v>181</v>
      </c>
      <c r="M62" s="62"/>
      <c r="N62" s="62"/>
      <c r="O62" s="62"/>
      <c r="P62" s="62"/>
      <c r="Q62" s="62"/>
      <c r="R62" s="62"/>
      <c r="V62" s="63" t="s">
        <v>181</v>
      </c>
      <c r="W62" s="62"/>
      <c r="X62" s="62"/>
      <c r="Y62" s="62"/>
      <c r="Z62" s="62"/>
      <c r="AA62" s="62"/>
      <c r="AB62" s="62"/>
    </row>
    <row r="63" spans="2:28" x14ac:dyDescent="0.2">
      <c r="B63" s="57"/>
      <c r="C63" s="62"/>
      <c r="D63" s="62"/>
      <c r="E63" s="62"/>
      <c r="F63" s="62"/>
      <c r="G63" s="62"/>
      <c r="H63" s="62"/>
      <c r="L63" s="57"/>
      <c r="M63" s="62"/>
      <c r="N63" s="62"/>
      <c r="O63" s="62"/>
      <c r="P63" s="62"/>
      <c r="Q63" s="62"/>
      <c r="R63" s="62"/>
      <c r="V63" s="57"/>
      <c r="W63" s="62"/>
      <c r="X63" s="62"/>
      <c r="Y63" s="62"/>
      <c r="Z63" s="62"/>
      <c r="AA63" s="62"/>
      <c r="AB63" s="62"/>
    </row>
    <row r="64" spans="2:28" x14ac:dyDescent="0.2">
      <c r="B64" s="55" t="s">
        <v>182</v>
      </c>
      <c r="C64" s="61">
        <f t="shared" ref="C64:H64" si="39">C35</f>
        <v>64.400000000000006</v>
      </c>
      <c r="D64" s="61">
        <f t="shared" si="39"/>
        <v>64.400000000000006</v>
      </c>
      <c r="E64" s="61">
        <f t="shared" si="39"/>
        <v>64.400000000000006</v>
      </c>
      <c r="F64" s="61">
        <f t="shared" si="39"/>
        <v>64.400000000000006</v>
      </c>
      <c r="G64" s="61">
        <f t="shared" si="39"/>
        <v>64.400000000000006</v>
      </c>
      <c r="H64" s="61">
        <f t="shared" si="39"/>
        <v>64.400000000000006</v>
      </c>
      <c r="L64" s="55" t="s">
        <v>182</v>
      </c>
      <c r="M64" s="61">
        <f t="shared" ref="M64:R64" si="40">M35</f>
        <v>64.400000000000006</v>
      </c>
      <c r="N64" s="61">
        <f t="shared" si="40"/>
        <v>64.400000000000006</v>
      </c>
      <c r="O64" s="61">
        <f t="shared" si="40"/>
        <v>64.400000000000006</v>
      </c>
      <c r="P64" s="61">
        <f t="shared" si="40"/>
        <v>64.400000000000006</v>
      </c>
      <c r="Q64" s="61">
        <f t="shared" si="40"/>
        <v>64.400000000000006</v>
      </c>
      <c r="R64" s="61">
        <f t="shared" si="40"/>
        <v>64.400000000000006</v>
      </c>
      <c r="V64" s="55" t="s">
        <v>182</v>
      </c>
      <c r="W64" s="61">
        <f t="shared" ref="W64:AB64" si="41">W35</f>
        <v>65</v>
      </c>
      <c r="X64" s="61">
        <f t="shared" si="41"/>
        <v>0</v>
      </c>
      <c r="Y64" s="61">
        <f t="shared" si="41"/>
        <v>0</v>
      </c>
      <c r="Z64" s="61">
        <f t="shared" si="41"/>
        <v>0</v>
      </c>
      <c r="AA64" s="61">
        <f t="shared" si="41"/>
        <v>0</v>
      </c>
      <c r="AB64" s="61">
        <f t="shared" si="41"/>
        <v>0</v>
      </c>
    </row>
    <row r="65" spans="2:28" x14ac:dyDescent="0.2">
      <c r="B65" s="55" t="s">
        <v>162</v>
      </c>
      <c r="C65" s="64">
        <f t="shared" ref="C65:H65" si="42">C34</f>
        <v>8.1</v>
      </c>
      <c r="D65" s="64">
        <f t="shared" si="42"/>
        <v>8.1</v>
      </c>
      <c r="E65" s="64">
        <f t="shared" si="42"/>
        <v>8.1</v>
      </c>
      <c r="F65" s="64">
        <f t="shared" si="42"/>
        <v>8.1</v>
      </c>
      <c r="G65" s="64">
        <f t="shared" si="42"/>
        <v>8.1</v>
      </c>
      <c r="H65" s="64">
        <f t="shared" si="42"/>
        <v>8.1</v>
      </c>
      <c r="L65" s="55" t="s">
        <v>162</v>
      </c>
      <c r="M65" s="64">
        <f>M34</f>
        <v>4.5199999999999996</v>
      </c>
      <c r="N65" s="64">
        <f t="shared" ref="N65:R65" si="43">N34</f>
        <v>4.5199999999999996</v>
      </c>
      <c r="O65" s="64">
        <f t="shared" si="43"/>
        <v>4.5199999999999996</v>
      </c>
      <c r="P65" s="64">
        <f t="shared" si="43"/>
        <v>4.5199999999999996</v>
      </c>
      <c r="Q65" s="64">
        <f t="shared" si="43"/>
        <v>4.5199999999999996</v>
      </c>
      <c r="R65" s="64">
        <f t="shared" si="43"/>
        <v>4.5199999999999996</v>
      </c>
      <c r="V65" s="55" t="s">
        <v>162</v>
      </c>
      <c r="W65" s="64">
        <f t="shared" ref="W65:AB65" si="44">W34</f>
        <v>9.5</v>
      </c>
      <c r="X65" s="64">
        <f t="shared" si="44"/>
        <v>9.5</v>
      </c>
      <c r="Y65" s="64">
        <f t="shared" si="44"/>
        <v>9.5</v>
      </c>
      <c r="Z65" s="64">
        <f t="shared" si="44"/>
        <v>9.5</v>
      </c>
      <c r="AA65" s="64">
        <f t="shared" si="44"/>
        <v>9.5</v>
      </c>
      <c r="AB65" s="64">
        <f t="shared" si="44"/>
        <v>9.5</v>
      </c>
    </row>
    <row r="66" spans="2:28" x14ac:dyDescent="0.2">
      <c r="B66" s="55" t="s">
        <v>183</v>
      </c>
      <c r="C66" s="65">
        <f t="shared" ref="C66:H66" si="45">+$B$114</f>
        <v>4.0800000000000003E-2</v>
      </c>
      <c r="D66" s="66">
        <f t="shared" si="45"/>
        <v>4.0800000000000003E-2</v>
      </c>
      <c r="E66" s="66">
        <f t="shared" si="45"/>
        <v>4.0800000000000003E-2</v>
      </c>
      <c r="F66" s="66">
        <f t="shared" si="45"/>
        <v>4.0800000000000003E-2</v>
      </c>
      <c r="G66" s="66">
        <f t="shared" si="45"/>
        <v>4.0800000000000003E-2</v>
      </c>
      <c r="H66" s="66">
        <f t="shared" si="45"/>
        <v>4.0800000000000003E-2</v>
      </c>
      <c r="L66" s="55" t="s">
        <v>183</v>
      </c>
      <c r="M66" s="65">
        <f t="shared" ref="M66:R66" si="46">$L$114</f>
        <v>4.1835999999999998E-2</v>
      </c>
      <c r="N66" s="65">
        <f t="shared" si="46"/>
        <v>4.1835999999999998E-2</v>
      </c>
      <c r="O66" s="65">
        <f t="shared" si="46"/>
        <v>4.1835999999999998E-2</v>
      </c>
      <c r="P66" s="65">
        <f t="shared" si="46"/>
        <v>4.1835999999999998E-2</v>
      </c>
      <c r="Q66" s="65">
        <f t="shared" si="46"/>
        <v>4.1835999999999998E-2</v>
      </c>
      <c r="R66" s="65">
        <f t="shared" si="46"/>
        <v>4.1835999999999998E-2</v>
      </c>
      <c r="V66" s="55" t="s">
        <v>183</v>
      </c>
      <c r="W66" s="66">
        <f t="shared" ref="W66:AB66" si="47">IF(W61=0,0,(1/(2.75+(0.0064*W$64))*(W$65/(100-W$65))))</f>
        <v>3.3156151513142051E-2</v>
      </c>
      <c r="X66" s="66">
        <f t="shared" si="47"/>
        <v>0</v>
      </c>
      <c r="Y66" s="66">
        <f t="shared" si="47"/>
        <v>0</v>
      </c>
      <c r="Z66" s="66">
        <f t="shared" si="47"/>
        <v>0</v>
      </c>
      <c r="AA66" s="66">
        <f t="shared" si="47"/>
        <v>0</v>
      </c>
      <c r="AB66" s="66">
        <f t="shared" si="47"/>
        <v>0</v>
      </c>
    </row>
    <row r="67" spans="2:28" x14ac:dyDescent="0.2">
      <c r="B67" s="63" t="s">
        <v>184</v>
      </c>
      <c r="C67" s="67">
        <f>IF(C61=0,0,(1/(1.885+(0.0046*C$64))*(C$65/(100-C$65))))</f>
        <v>4.0407878925782577E-2</v>
      </c>
      <c r="D67" s="62"/>
      <c r="E67" s="62"/>
      <c r="F67" s="62"/>
      <c r="G67" s="62"/>
      <c r="H67" s="62"/>
      <c r="L67" s="63" t="s">
        <v>184</v>
      </c>
      <c r="M67" s="62">
        <f>IF(M61=0,0,(1/(0.9856+(0.002441*M$64))*(M$65/(100-M$65))))</f>
        <v>4.1424344108714317E-2</v>
      </c>
      <c r="N67" s="62"/>
      <c r="O67" s="62"/>
      <c r="P67" s="62"/>
      <c r="Q67" s="62"/>
      <c r="R67" s="62"/>
      <c r="V67" s="63" t="s">
        <v>184</v>
      </c>
      <c r="W67" s="62"/>
      <c r="X67" s="62"/>
      <c r="Y67" s="62"/>
      <c r="Z67" s="62"/>
      <c r="AA67" s="62"/>
      <c r="AB67" s="62"/>
    </row>
    <row r="68" spans="2:28" x14ac:dyDescent="0.2">
      <c r="B68" s="57"/>
      <c r="C68" s="68"/>
      <c r="D68" s="62"/>
      <c r="E68" s="62"/>
      <c r="F68" s="62"/>
      <c r="G68" s="62"/>
      <c r="H68" s="62"/>
      <c r="L68" s="57"/>
      <c r="M68" s="68"/>
      <c r="N68" s="62"/>
      <c r="O68" s="62"/>
      <c r="P68" s="62"/>
      <c r="Q68" s="62"/>
      <c r="R68" s="62"/>
      <c r="V68" s="57"/>
      <c r="W68" s="68"/>
      <c r="X68" s="62"/>
      <c r="Y68" s="62"/>
      <c r="Z68" s="62"/>
      <c r="AA68" s="62"/>
      <c r="AB68" s="62"/>
    </row>
    <row r="69" spans="2:28" x14ac:dyDescent="0.2">
      <c r="B69" s="55" t="s">
        <v>185</v>
      </c>
      <c r="C69" s="62"/>
      <c r="D69" s="62"/>
      <c r="E69" s="62"/>
      <c r="F69" s="59"/>
      <c r="G69" s="59"/>
      <c r="H69" s="59"/>
      <c r="L69" s="55" t="s">
        <v>186</v>
      </c>
      <c r="M69" s="62"/>
      <c r="N69" s="62"/>
      <c r="O69" s="62"/>
      <c r="P69" s="59"/>
      <c r="Q69" s="59"/>
      <c r="R69" s="59"/>
      <c r="V69" s="55" t="s">
        <v>185</v>
      </c>
      <c r="W69" s="62"/>
      <c r="X69" s="62"/>
      <c r="Y69" s="62"/>
      <c r="Z69" s="59"/>
      <c r="AA69" s="59"/>
      <c r="AB69" s="59"/>
    </row>
    <row r="70" spans="2:28" x14ac:dyDescent="0.2">
      <c r="B70" s="57" t="s">
        <v>187</v>
      </c>
      <c r="C70" s="69">
        <f t="shared" ref="C70:H70" si="48">C61*C66</f>
        <v>1.4408384022367346</v>
      </c>
      <c r="D70" s="60">
        <f t="shared" si="48"/>
        <v>0</v>
      </c>
      <c r="E70" s="60">
        <f t="shared" si="48"/>
        <v>0</v>
      </c>
      <c r="F70" s="60">
        <f t="shared" si="48"/>
        <v>0</v>
      </c>
      <c r="G70" s="60">
        <f t="shared" si="48"/>
        <v>0</v>
      </c>
      <c r="H70" s="60">
        <f t="shared" si="48"/>
        <v>0</v>
      </c>
      <c r="L70" s="57" t="s">
        <v>188</v>
      </c>
      <c r="M70" s="60">
        <f t="shared" ref="M70:R70" si="49">M61*M66</f>
        <v>1.4774243969601968</v>
      </c>
      <c r="N70" s="60">
        <f t="shared" si="49"/>
        <v>0</v>
      </c>
      <c r="O70" s="60">
        <f t="shared" si="49"/>
        <v>0</v>
      </c>
      <c r="P70" s="60">
        <f t="shared" si="49"/>
        <v>0</v>
      </c>
      <c r="Q70" s="60">
        <f t="shared" si="49"/>
        <v>0</v>
      </c>
      <c r="R70" s="60">
        <f t="shared" si="49"/>
        <v>0</v>
      </c>
      <c r="V70" s="57" t="s">
        <v>189</v>
      </c>
      <c r="W70" s="60">
        <f t="shared" ref="W70:AB70" si="50">W61*W66</f>
        <v>1.1708984404537912</v>
      </c>
      <c r="X70" s="60">
        <f t="shared" si="50"/>
        <v>0</v>
      </c>
      <c r="Y70" s="60">
        <f t="shared" si="50"/>
        <v>0</v>
      </c>
      <c r="Z70" s="60">
        <f t="shared" si="50"/>
        <v>0</v>
      </c>
      <c r="AA70" s="60">
        <f t="shared" si="50"/>
        <v>0</v>
      </c>
      <c r="AB70" s="60">
        <f t="shared" si="50"/>
        <v>0</v>
      </c>
    </row>
    <row r="71" spans="2:28" x14ac:dyDescent="0.2">
      <c r="B71" s="70" t="s">
        <v>190</v>
      </c>
      <c r="C71" s="59"/>
      <c r="D71" s="59"/>
      <c r="E71" s="59"/>
      <c r="F71" s="59"/>
      <c r="G71" s="59"/>
      <c r="H71" s="59"/>
      <c r="L71" s="70" t="s">
        <v>190</v>
      </c>
      <c r="M71" s="59"/>
      <c r="N71" s="59"/>
      <c r="O71" s="59"/>
      <c r="P71" s="59"/>
      <c r="Q71" s="59"/>
      <c r="R71" s="59"/>
      <c r="V71" s="70" t="s">
        <v>190</v>
      </c>
      <c r="W71" s="59"/>
      <c r="X71" s="59"/>
      <c r="Y71" s="59"/>
      <c r="Z71" s="59"/>
      <c r="AA71" s="59"/>
      <c r="AB71" s="59"/>
    </row>
    <row r="72" spans="2:28" x14ac:dyDescent="0.2">
      <c r="B72" s="63"/>
      <c r="C72" s="59"/>
      <c r="D72" s="59"/>
      <c r="E72" s="59"/>
      <c r="F72" s="59"/>
      <c r="G72" s="59"/>
      <c r="H72" s="59"/>
      <c r="L72" s="63"/>
      <c r="M72" s="59"/>
      <c r="N72" s="59"/>
      <c r="O72" s="59"/>
      <c r="P72" s="59"/>
      <c r="Q72" s="59"/>
      <c r="R72" s="59"/>
      <c r="V72" s="63"/>
      <c r="W72" s="59"/>
      <c r="X72" s="59"/>
      <c r="Y72" s="59"/>
      <c r="Z72" s="59"/>
      <c r="AA72" s="59"/>
      <c r="AB72" s="59"/>
    </row>
    <row r="73" spans="2:28" x14ac:dyDescent="0.2">
      <c r="B73" s="55" t="s">
        <v>191</v>
      </c>
      <c r="C73" s="59"/>
      <c r="D73" s="59"/>
      <c r="E73" s="59"/>
      <c r="F73" s="59"/>
      <c r="G73" s="59"/>
      <c r="H73" s="59"/>
      <c r="L73" s="55" t="s">
        <v>191</v>
      </c>
      <c r="M73" s="59"/>
      <c r="N73" s="59"/>
      <c r="O73" s="59"/>
      <c r="P73" s="59"/>
      <c r="Q73" s="59"/>
      <c r="R73" s="59"/>
      <c r="V73" s="55" t="s">
        <v>191</v>
      </c>
      <c r="W73" s="59"/>
      <c r="X73" s="59"/>
      <c r="Y73" s="59"/>
      <c r="Z73" s="59"/>
      <c r="AA73" s="59"/>
      <c r="AB73" s="59"/>
    </row>
    <row r="74" spans="2:28" x14ac:dyDescent="0.2">
      <c r="B74" s="57" t="s">
        <v>192</v>
      </c>
      <c r="C74" s="58">
        <f>C39</f>
        <v>3.2808398950131235</v>
      </c>
      <c r="D74" s="59"/>
      <c r="E74" s="59"/>
      <c r="F74" s="59"/>
      <c r="G74" s="59"/>
      <c r="H74" s="59"/>
      <c r="L74" s="57" t="s">
        <v>192</v>
      </c>
      <c r="M74" s="71">
        <f>M39</f>
        <v>3.2808398950131235</v>
      </c>
      <c r="N74" s="59"/>
      <c r="O74" s="59"/>
      <c r="P74" s="59"/>
      <c r="Q74" s="59"/>
      <c r="R74" s="59"/>
      <c r="V74" s="57" t="s">
        <v>192</v>
      </c>
      <c r="W74" s="58">
        <f>W39</f>
        <v>3.2808398950131235</v>
      </c>
      <c r="X74" s="59"/>
      <c r="Y74" s="59"/>
      <c r="Z74" s="59"/>
      <c r="AA74" s="59"/>
      <c r="AB74" s="59"/>
    </row>
    <row r="75" spans="2:28" x14ac:dyDescent="0.2">
      <c r="B75" s="57" t="s">
        <v>193</v>
      </c>
      <c r="C75" s="72">
        <f>VLOOKUP(1,$B$93:$F$107,5,0)</f>
        <v>1</v>
      </c>
      <c r="D75" s="59">
        <f>IF((((3.907857*10^-14)*C74^3)-((1.355997*10^-10)*C74^2)-((3.661118*10^-5)*C74)+1.000803)&lt;0.66,0.66,((3.907857*10^-14)*C74^3)-((1.355997*10^-10)*C74^2)-((3.661118*10^-5)*C74)+1.000803)</f>
        <v>1.0006828831218497</v>
      </c>
      <c r="E75" s="59"/>
      <c r="F75" s="59"/>
      <c r="G75" s="59"/>
      <c r="H75" s="59"/>
      <c r="L75" s="57" t="s">
        <v>193</v>
      </c>
      <c r="M75" s="72">
        <f>VLOOKUP(1,$L$94:$P$107,5,0)</f>
        <v>1</v>
      </c>
      <c r="N75" s="59">
        <f>IF((((3.907857*10^-14)*M74^3)-((1.355997*10^-10)*M74^2)-((3.661118*10^-5)*M74)+1.000803)&lt;0.66,0.66,((3.907857*10^-14)*M74^3)-((1.355997*10^-10)*M74^2)-((3.661118*10^-5)*M74)+1.000803)</f>
        <v>1.0006828831218497</v>
      </c>
      <c r="O75" s="59"/>
      <c r="P75" s="59"/>
      <c r="Q75" s="59"/>
      <c r="R75" s="59"/>
      <c r="V75" s="57" t="s">
        <v>193</v>
      </c>
      <c r="W75" s="58">
        <f>((3.907857*10^-14)*W74^3)-((1.355997*10^-10)*W74^2)-((3.661118*10^-5)*W74)+1.000803</f>
        <v>1.0006828831218497</v>
      </c>
      <c r="X75" s="59"/>
      <c r="Y75" s="59"/>
      <c r="Z75" s="59"/>
      <c r="AA75" s="59"/>
      <c r="AB75" s="59"/>
    </row>
    <row r="76" spans="2:28" x14ac:dyDescent="0.2">
      <c r="B76" s="63" t="s">
        <v>194</v>
      </c>
      <c r="C76" s="59"/>
      <c r="D76" s="59"/>
      <c r="E76" s="59"/>
      <c r="F76" s="59"/>
      <c r="G76" s="59"/>
      <c r="H76" s="59"/>
      <c r="L76" s="63" t="s">
        <v>194</v>
      </c>
      <c r="M76" s="59"/>
      <c r="N76" s="59"/>
      <c r="O76" s="59"/>
      <c r="P76" s="59"/>
      <c r="Q76" s="59"/>
      <c r="R76" s="59"/>
      <c r="V76" s="63" t="s">
        <v>194</v>
      </c>
      <c r="W76" s="59"/>
      <c r="X76" s="59"/>
      <c r="Y76" s="59"/>
      <c r="Z76" s="59"/>
      <c r="AA76" s="59"/>
      <c r="AB76" s="59"/>
    </row>
    <row r="77" spans="2:28" x14ac:dyDescent="0.2">
      <c r="B77" s="63"/>
      <c r="C77" s="59"/>
      <c r="D77" s="59"/>
      <c r="E77" s="59"/>
      <c r="F77" s="59"/>
      <c r="G77" s="59"/>
      <c r="H77" s="59"/>
      <c r="L77" s="63"/>
      <c r="M77" s="59"/>
      <c r="N77" s="59"/>
      <c r="O77" s="59"/>
      <c r="P77" s="59"/>
      <c r="Q77" s="59"/>
      <c r="R77" s="59"/>
      <c r="V77" s="63"/>
      <c r="W77" s="59"/>
      <c r="X77" s="59"/>
      <c r="Y77" s="59"/>
      <c r="Z77" s="59"/>
      <c r="AA77" s="59"/>
      <c r="AB77" s="59"/>
    </row>
    <row r="78" spans="2:28" x14ac:dyDescent="0.2">
      <c r="B78" s="55" t="s">
        <v>195</v>
      </c>
      <c r="C78" s="73">
        <f t="shared" ref="C78:H78" si="51">C70*$C75</f>
        <v>1.4408384022367346</v>
      </c>
      <c r="D78" s="58">
        <f t="shared" si="51"/>
        <v>0</v>
      </c>
      <c r="E78" s="58">
        <f t="shared" si="51"/>
        <v>0</v>
      </c>
      <c r="F78" s="58">
        <f t="shared" si="51"/>
        <v>0</v>
      </c>
      <c r="G78" s="58">
        <f t="shared" si="51"/>
        <v>0</v>
      </c>
      <c r="H78" s="58">
        <f t="shared" si="51"/>
        <v>0</v>
      </c>
      <c r="L78" s="55" t="s">
        <v>196</v>
      </c>
      <c r="M78" s="58">
        <f t="shared" ref="M78:R78" si="52">M70*$M75</f>
        <v>1.4774243969601968</v>
      </c>
      <c r="N78" s="58">
        <f t="shared" si="52"/>
        <v>0</v>
      </c>
      <c r="O78" s="58">
        <f t="shared" si="52"/>
        <v>0</v>
      </c>
      <c r="P78" s="58">
        <f t="shared" si="52"/>
        <v>0</v>
      </c>
      <c r="Q78" s="58">
        <f t="shared" si="52"/>
        <v>0</v>
      </c>
      <c r="R78" s="58">
        <f t="shared" si="52"/>
        <v>0</v>
      </c>
      <c r="V78" s="55" t="s">
        <v>197</v>
      </c>
      <c r="W78" s="58">
        <f t="shared" ref="W78:AB78" si="53">W70*$C75</f>
        <v>1.1708984404537912</v>
      </c>
      <c r="X78" s="58">
        <f t="shared" si="53"/>
        <v>0</v>
      </c>
      <c r="Y78" s="58">
        <f t="shared" si="53"/>
        <v>0</v>
      </c>
      <c r="Z78" s="58">
        <f t="shared" si="53"/>
        <v>0</v>
      </c>
      <c r="AA78" s="58">
        <f t="shared" si="53"/>
        <v>0</v>
      </c>
      <c r="AB78" s="58">
        <f t="shared" si="53"/>
        <v>0</v>
      </c>
    </row>
    <row r="79" spans="2:28" x14ac:dyDescent="0.2">
      <c r="B79" s="63" t="s">
        <v>198</v>
      </c>
      <c r="C79" s="59"/>
      <c r="D79" s="59"/>
      <c r="E79" s="59"/>
      <c r="F79" s="59"/>
      <c r="G79" s="59"/>
      <c r="H79" s="59"/>
      <c r="L79" s="63" t="s">
        <v>199</v>
      </c>
      <c r="M79" s="59"/>
      <c r="N79" s="59"/>
      <c r="O79" s="59"/>
      <c r="P79" s="59"/>
      <c r="Q79" s="59"/>
      <c r="R79" s="59"/>
      <c r="V79" s="63" t="s">
        <v>198</v>
      </c>
      <c r="W79" s="59"/>
      <c r="X79" s="59"/>
      <c r="Y79" s="59"/>
      <c r="Z79" s="59"/>
      <c r="AA79" s="59"/>
      <c r="AB79" s="59"/>
    </row>
    <row r="80" spans="2:28" x14ac:dyDescent="0.2">
      <c r="B80" s="63"/>
      <c r="C80" s="59">
        <f>IF(SUM(C77:H77)=0,0,IF(ROUNDUP(SUM(C77:H77),0)&lt;=200,ROUNDUP(SUM(C77:H77),0)+2,IF(AND(ROUNDUP(SUM(C77:H77),0)&gt;200,ROUNDUP(SUM(C77:H77),0)&lt;=300),ROUNDUP(SUM(C77:H77),0)+3,IF(ROUNDUP(SUM(C77:H77),0)&gt;300,ROUNDUP(SUM(C77:H77),0)+4))))</f>
        <v>0</v>
      </c>
      <c r="D80" s="59" t="s">
        <v>200</v>
      </c>
      <c r="E80" s="59" t="s">
        <v>201</v>
      </c>
      <c r="F80" s="59"/>
      <c r="G80" s="59"/>
      <c r="H80" s="59"/>
      <c r="L80" s="63"/>
      <c r="M80" s="59">
        <f>IF(SUM(M77:R77)=0,0,IF(ROUNDUP(SUM(M77:R77),0)&lt;=200,ROUNDUP(SUM(M77:R77),0)+2,IF(AND(ROUNDUP(SUM(M77:R77),0)&gt;200,ROUNDUP(SUM(M77:R77),0)&lt;=300),ROUNDUP(SUM(M77:R77),0)+3,IF(ROUNDUP(SUM(M77:R77),0)&gt;300,ROUNDUP(SUM(M77:R77),0)+4))))</f>
        <v>0</v>
      </c>
      <c r="N80" s="59" t="s">
        <v>200</v>
      </c>
      <c r="O80" s="59" t="s">
        <v>201</v>
      </c>
      <c r="P80" s="59"/>
      <c r="Q80" s="59"/>
      <c r="R80" s="59"/>
      <c r="V80" s="63"/>
      <c r="W80" s="59"/>
      <c r="X80" s="59"/>
      <c r="Y80" s="59"/>
      <c r="Z80" s="59"/>
      <c r="AA80" s="59"/>
      <c r="AB80" s="59"/>
    </row>
    <row r="81" spans="2:28" x14ac:dyDescent="0.2">
      <c r="B81" s="55" t="s">
        <v>202</v>
      </c>
      <c r="C81" s="74">
        <f>ROUNDUP(SUM($C$78:$H$78),0)</f>
        <v>2</v>
      </c>
      <c r="D81" s="75">
        <f>ROUNDUP('COT AGENTES'!$M$6,0)</f>
        <v>0</v>
      </c>
      <c r="E81" s="75">
        <f>ROUNDUP('COT AGENTES'!$M$7,0)</f>
        <v>0</v>
      </c>
      <c r="F81" s="59"/>
      <c r="G81" s="59"/>
      <c r="H81" s="59"/>
      <c r="L81" s="55" t="s">
        <v>203</v>
      </c>
      <c r="M81" s="76">
        <f>ROUNDUP(SUM($M$78:$R$78),0)</f>
        <v>2</v>
      </c>
      <c r="N81" s="75">
        <f>ROUNDUP('COT AGENTES'!$M$6,0)</f>
        <v>0</v>
      </c>
      <c r="O81" s="75">
        <f>ROUNDUP('COT AGENTES'!$M$7,0)</f>
        <v>0</v>
      </c>
      <c r="P81" s="59"/>
      <c r="Q81" s="59"/>
      <c r="R81" s="59"/>
      <c r="V81" s="55" t="s">
        <v>204</v>
      </c>
      <c r="W81" s="61">
        <f>IF(SUM(W78:AB78)=0,0,IF(ROUNDUP(SUM(W78:AB78),0)&lt;=200,ROUNDUP(SUM(W78:AB78),0)+2,IF(AND(ROUNDUP(SUM(W78:AB78),0)&gt;200,ROUNDUP(SUM(W78:AB78),0)&lt;=300),ROUNDUP(SUM(W78:AB78),0)+3,IF(ROUNDUP(SUM(W78:AB78),0)&gt;300,ROUNDUP(SUM(W78:AB78),0)+4))))</f>
        <v>4</v>
      </c>
      <c r="X81" s="59"/>
      <c r="Y81" s="59"/>
      <c r="Z81" s="59"/>
      <c r="AA81" s="59"/>
      <c r="AB81" s="59"/>
    </row>
    <row r="82" spans="2:28" x14ac:dyDescent="0.2">
      <c r="B82" s="63" t="s">
        <v>205</v>
      </c>
      <c r="C82" s="74">
        <f>ROUNDUP(SUM($C$78:$H$78),0)+$D$82+$E$82</f>
        <v>2</v>
      </c>
      <c r="D82" s="77">
        <f>IF(D81=0,0,1)</f>
        <v>0</v>
      </c>
      <c r="E82" s="77">
        <f>IF(E81=0,0,1)</f>
        <v>0</v>
      </c>
      <c r="F82" s="59"/>
      <c r="G82" s="59"/>
      <c r="H82" s="59"/>
      <c r="L82" s="63" t="s">
        <v>206</v>
      </c>
      <c r="M82" s="76">
        <f>ROUNDUP(SUM($M$78:$R$78),0)+$N$82+$O$82</f>
        <v>2</v>
      </c>
      <c r="N82" s="77">
        <f>IF(N81=0,0,1)</f>
        <v>0</v>
      </c>
      <c r="O82" s="77">
        <f>IF(O81=0,0,1)</f>
        <v>0</v>
      </c>
      <c r="P82" s="59"/>
      <c r="Q82" s="59"/>
      <c r="R82" s="59"/>
      <c r="V82" s="63" t="s">
        <v>207</v>
      </c>
      <c r="W82" s="62">
        <f>ROUNDUP(SUM(W78:AB78),0)</f>
        <v>2</v>
      </c>
      <c r="X82" s="59"/>
      <c r="Y82" s="59"/>
      <c r="Z82" s="59"/>
      <c r="AA82" s="59"/>
      <c r="AB82" s="59"/>
    </row>
    <row r="83" spans="2:28" x14ac:dyDescent="0.2">
      <c r="C83" s="62"/>
      <c r="L83" s="63"/>
      <c r="M83" s="62"/>
      <c r="N83" s="59"/>
      <c r="O83" s="59"/>
      <c r="P83" s="59"/>
      <c r="Q83" s="59"/>
      <c r="R83" s="59"/>
      <c r="W83" s="78"/>
    </row>
    <row r="84" spans="2:28" x14ac:dyDescent="0.2">
      <c r="B84" s="6" t="s">
        <v>208</v>
      </c>
      <c r="C84" s="6">
        <f>IF(AND('COT AGENTES'!H2="Manifold",'COT AGENTES'!H3&gt;1),1,0)</f>
        <v>0</v>
      </c>
      <c r="L84" s="63"/>
      <c r="M84" s="59"/>
      <c r="N84" s="59"/>
      <c r="O84" s="59"/>
      <c r="P84" s="59"/>
      <c r="Q84" s="59"/>
      <c r="R84" s="59"/>
    </row>
    <row r="85" spans="2:28" x14ac:dyDescent="0.2">
      <c r="B85" s="6" t="s">
        <v>209</v>
      </c>
      <c r="D85" s="6">
        <f>SUM(D86:D87)</f>
        <v>0</v>
      </c>
      <c r="E85" s="79"/>
      <c r="L85" s="63"/>
      <c r="M85" s="59"/>
      <c r="N85" s="59"/>
      <c r="O85" s="59"/>
      <c r="P85" s="59"/>
      <c r="Q85" s="59"/>
      <c r="R85" s="59"/>
    </row>
    <row r="86" spans="2:28" x14ac:dyDescent="0.2">
      <c r="B86" s="6" t="s">
        <v>210</v>
      </c>
      <c r="C86" s="6">
        <v>0</v>
      </c>
      <c r="D86" s="6">
        <f>CONVERT(C86, "kg", "lbm")*2</f>
        <v>0</v>
      </c>
      <c r="G86" s="6" t="s">
        <v>211</v>
      </c>
      <c r="K86" s="59"/>
      <c r="L86" s="59"/>
      <c r="M86" s="59"/>
      <c r="N86" s="59"/>
      <c r="O86" s="59"/>
      <c r="P86" s="59"/>
      <c r="Q86" s="59"/>
      <c r="R86" s="59"/>
    </row>
    <row r="87" spans="2:28" x14ac:dyDescent="0.2">
      <c r="B87" s="6" t="s">
        <v>212</v>
      </c>
      <c r="C87" s="6">
        <v>0</v>
      </c>
      <c r="D87" s="6">
        <f>CONVERT(C87, "kg", "lbm")*'COT AGENTES'!$H$3</f>
        <v>0</v>
      </c>
      <c r="K87" s="59"/>
      <c r="L87" s="59"/>
      <c r="M87" s="59"/>
      <c r="N87" s="59"/>
      <c r="O87" s="59"/>
      <c r="P87" s="59"/>
      <c r="Q87" s="59"/>
      <c r="R87" s="59"/>
    </row>
    <row r="88" spans="2:28" x14ac:dyDescent="0.2">
      <c r="K88" s="59"/>
      <c r="L88" s="59"/>
      <c r="M88" s="59"/>
      <c r="N88" s="59"/>
      <c r="O88" s="59"/>
      <c r="P88" s="59"/>
      <c r="Q88" s="59"/>
      <c r="R88" s="59"/>
    </row>
    <row r="89" spans="2:28" x14ac:dyDescent="0.2">
      <c r="K89" s="59"/>
      <c r="L89" s="59"/>
      <c r="M89" s="59"/>
      <c r="N89" s="59"/>
      <c r="O89" s="59"/>
      <c r="P89" s="59"/>
      <c r="Q89" s="59"/>
      <c r="R89" s="59"/>
    </row>
    <row r="90" spans="2:28" x14ac:dyDescent="0.2">
      <c r="K90" s="59"/>
      <c r="L90" s="59"/>
      <c r="M90" s="59"/>
      <c r="N90" s="59"/>
      <c r="O90" s="59"/>
    </row>
    <row r="91" spans="2:28" x14ac:dyDescent="0.2">
      <c r="K91" s="59"/>
      <c r="L91" s="59"/>
      <c r="M91" s="59"/>
      <c r="N91" s="59"/>
      <c r="O91" s="59"/>
    </row>
    <row r="92" spans="2:28" ht="15" customHeight="1" x14ac:dyDescent="0.2">
      <c r="B92" s="80" t="s">
        <v>213</v>
      </c>
      <c r="C92" s="81"/>
      <c r="D92" s="81"/>
      <c r="E92" s="81"/>
      <c r="F92" s="82"/>
      <c r="L92" s="80" t="s">
        <v>213</v>
      </c>
      <c r="M92" s="81"/>
      <c r="N92" s="81"/>
      <c r="O92" s="81"/>
      <c r="P92" s="82"/>
    </row>
    <row r="93" spans="2:28" ht="15" customHeight="1" x14ac:dyDescent="0.2">
      <c r="B93" s="18"/>
      <c r="C93" s="18"/>
      <c r="D93" s="18" t="s">
        <v>214</v>
      </c>
      <c r="E93" s="18" t="s">
        <v>215</v>
      </c>
      <c r="F93" s="18" t="s">
        <v>216</v>
      </c>
      <c r="L93" s="18"/>
      <c r="M93" s="18"/>
      <c r="N93" s="18" t="s">
        <v>214</v>
      </c>
      <c r="O93" s="18" t="s">
        <v>215</v>
      </c>
      <c r="P93" s="18" t="s">
        <v>216</v>
      </c>
    </row>
    <row r="94" spans="2:28" x14ac:dyDescent="0.2">
      <c r="B94" s="18">
        <f>IF(AND($D$7&lt;C95,$D$7&gt;=C94),1,0)</f>
        <v>0</v>
      </c>
      <c r="C94" s="18">
        <f>CONVERT(E94,"ft","m")</f>
        <v>-914.4</v>
      </c>
      <c r="D94" s="18">
        <v>-0.92</v>
      </c>
      <c r="E94" s="18">
        <v>-3000</v>
      </c>
      <c r="F94" s="18">
        <v>1.1100000000000001</v>
      </c>
      <c r="L94" s="18">
        <f>IF(AND($D$7&lt;M95,$D$7&gt;=M94),1,0)</f>
        <v>0</v>
      </c>
      <c r="M94" s="18">
        <f t="shared" ref="M94:M107" si="54">CONVERT(O94,"ft","m")</f>
        <v>-914.4</v>
      </c>
      <c r="N94" s="18">
        <v>914</v>
      </c>
      <c r="O94" s="18">
        <v>-3000</v>
      </c>
      <c r="P94" s="18">
        <v>1.1100000000000001</v>
      </c>
    </row>
    <row r="95" spans="2:28" x14ac:dyDescent="0.2">
      <c r="B95" s="18">
        <f t="shared" ref="B95:B107" si="55">IF(AND($D$7&lt;C96,$D$7&gt;=C95),1,0)</f>
        <v>0</v>
      </c>
      <c r="C95" s="18">
        <f>CONVERT(E95,"ft","m")</f>
        <v>-609.6</v>
      </c>
      <c r="D95" s="18">
        <v>-0.61</v>
      </c>
      <c r="E95" s="18">
        <v>-2000</v>
      </c>
      <c r="F95" s="18">
        <v>1.07</v>
      </c>
      <c r="L95" s="18">
        <f t="shared" ref="L95:L107" si="56">IF(AND($D$7&lt;M96,$D$7&gt;=M95),1,0)</f>
        <v>0</v>
      </c>
      <c r="M95" s="18">
        <f t="shared" si="54"/>
        <v>-609.6</v>
      </c>
      <c r="N95" s="18">
        <v>609</v>
      </c>
      <c r="O95" s="18">
        <v>-2000</v>
      </c>
      <c r="P95" s="18">
        <v>1.07</v>
      </c>
    </row>
    <row r="96" spans="2:28" x14ac:dyDescent="0.2">
      <c r="B96" s="18">
        <f t="shared" si="55"/>
        <v>0</v>
      </c>
      <c r="C96" s="18">
        <f>CONVERT(E96,"ft","m")</f>
        <v>-304.8</v>
      </c>
      <c r="D96" s="18">
        <v>-0.3</v>
      </c>
      <c r="E96" s="18">
        <v>-1000</v>
      </c>
      <c r="F96" s="18">
        <v>1.04</v>
      </c>
      <c r="L96" s="18">
        <f t="shared" si="56"/>
        <v>0</v>
      </c>
      <c r="M96" s="18">
        <f t="shared" si="54"/>
        <v>-304.8</v>
      </c>
      <c r="N96" s="18">
        <v>305</v>
      </c>
      <c r="O96" s="18">
        <v>-1000</v>
      </c>
      <c r="P96" s="18">
        <v>1.04</v>
      </c>
    </row>
    <row r="97" spans="2:16" x14ac:dyDescent="0.2">
      <c r="B97" s="18">
        <f t="shared" si="55"/>
        <v>1</v>
      </c>
      <c r="C97" s="18">
        <f>CONVERT(E97,"ft","m")</f>
        <v>0</v>
      </c>
      <c r="D97" s="18">
        <v>0</v>
      </c>
      <c r="E97" s="18">
        <v>0</v>
      </c>
      <c r="F97" s="18">
        <v>1</v>
      </c>
      <c r="L97" s="18">
        <f t="shared" si="56"/>
        <v>1</v>
      </c>
      <c r="M97" s="18">
        <f t="shared" si="54"/>
        <v>0</v>
      </c>
      <c r="N97" s="18">
        <v>0</v>
      </c>
      <c r="O97" s="18">
        <v>0</v>
      </c>
      <c r="P97" s="18">
        <v>1</v>
      </c>
    </row>
    <row r="98" spans="2:16" x14ac:dyDescent="0.2">
      <c r="B98" s="18">
        <f t="shared" si="55"/>
        <v>0</v>
      </c>
      <c r="C98" s="18">
        <f>CONVERT(E98,"ft","m")</f>
        <v>304.8</v>
      </c>
      <c r="D98" s="18">
        <v>0.3</v>
      </c>
      <c r="E98" s="18">
        <v>1000</v>
      </c>
      <c r="F98" s="18">
        <v>0.96</v>
      </c>
      <c r="L98" s="18">
        <f t="shared" si="56"/>
        <v>0</v>
      </c>
      <c r="M98" s="18">
        <f t="shared" si="54"/>
        <v>304.8</v>
      </c>
      <c r="N98" s="18">
        <v>305</v>
      </c>
      <c r="O98" s="18">
        <v>1000</v>
      </c>
      <c r="P98" s="18">
        <v>0.96</v>
      </c>
    </row>
    <row r="99" spans="2:16" x14ac:dyDescent="0.2">
      <c r="B99" s="18">
        <f t="shared" si="55"/>
        <v>0</v>
      </c>
      <c r="C99" s="18">
        <f t="shared" ref="C99:C107" si="57">CONVERT(E99,"ft","m")</f>
        <v>609.6</v>
      </c>
      <c r="D99" s="18">
        <v>0.61</v>
      </c>
      <c r="E99" s="18">
        <v>2000</v>
      </c>
      <c r="F99" s="18">
        <v>0.93</v>
      </c>
      <c r="L99" s="18">
        <f t="shared" si="56"/>
        <v>0</v>
      </c>
      <c r="M99" s="18">
        <f t="shared" si="54"/>
        <v>609.6</v>
      </c>
      <c r="N99" s="18">
        <v>609</v>
      </c>
      <c r="O99" s="18">
        <v>2000</v>
      </c>
      <c r="P99" s="18">
        <v>0.93</v>
      </c>
    </row>
    <row r="100" spans="2:16" x14ac:dyDescent="0.2">
      <c r="B100" s="18">
        <f t="shared" si="55"/>
        <v>0</v>
      </c>
      <c r="C100" s="18">
        <f t="shared" si="57"/>
        <v>914.4</v>
      </c>
      <c r="D100" s="18">
        <v>0.91</v>
      </c>
      <c r="E100" s="18">
        <v>3000</v>
      </c>
      <c r="F100" s="18">
        <v>0.89</v>
      </c>
      <c r="L100" s="18">
        <f t="shared" si="56"/>
        <v>0</v>
      </c>
      <c r="M100" s="18">
        <f t="shared" si="54"/>
        <v>914.4</v>
      </c>
      <c r="N100" s="18">
        <v>914</v>
      </c>
      <c r="O100" s="18">
        <v>3000</v>
      </c>
      <c r="P100" s="18">
        <v>0.89</v>
      </c>
    </row>
    <row r="101" spans="2:16" x14ac:dyDescent="0.2">
      <c r="B101" s="18">
        <f t="shared" si="55"/>
        <v>0</v>
      </c>
      <c r="C101" s="18">
        <f t="shared" si="57"/>
        <v>1219.2</v>
      </c>
      <c r="D101" s="18">
        <v>1.22</v>
      </c>
      <c r="E101" s="18">
        <v>4000</v>
      </c>
      <c r="F101" s="18">
        <v>0.86</v>
      </c>
      <c r="L101" s="18">
        <f t="shared" si="56"/>
        <v>0</v>
      </c>
      <c r="M101" s="18">
        <f t="shared" si="54"/>
        <v>1219.2</v>
      </c>
      <c r="N101" s="18">
        <v>1220</v>
      </c>
      <c r="O101" s="18">
        <v>4000</v>
      </c>
      <c r="P101" s="18">
        <v>0.86</v>
      </c>
    </row>
    <row r="102" spans="2:16" x14ac:dyDescent="0.2">
      <c r="B102" s="18">
        <f t="shared" si="55"/>
        <v>0</v>
      </c>
      <c r="C102" s="18">
        <f t="shared" si="57"/>
        <v>1524</v>
      </c>
      <c r="D102" s="18">
        <v>1.52</v>
      </c>
      <c r="E102" s="18">
        <v>5000</v>
      </c>
      <c r="F102" s="18">
        <v>0.82</v>
      </c>
      <c r="L102" s="18">
        <f t="shared" si="56"/>
        <v>0</v>
      </c>
      <c r="M102" s="18">
        <f t="shared" si="54"/>
        <v>1524</v>
      </c>
      <c r="N102" s="18">
        <v>1524</v>
      </c>
      <c r="O102" s="18">
        <v>5000</v>
      </c>
      <c r="P102" s="18">
        <v>0.82</v>
      </c>
    </row>
    <row r="103" spans="2:16" x14ac:dyDescent="0.2">
      <c r="B103" s="18">
        <f t="shared" si="55"/>
        <v>0</v>
      </c>
      <c r="C103" s="18">
        <f t="shared" si="57"/>
        <v>1828.8</v>
      </c>
      <c r="D103" s="18">
        <v>1.83</v>
      </c>
      <c r="E103" s="18">
        <v>6000</v>
      </c>
      <c r="F103" s="18">
        <v>0.78</v>
      </c>
      <c r="L103" s="18">
        <f t="shared" si="56"/>
        <v>0</v>
      </c>
      <c r="M103" s="18">
        <f t="shared" si="54"/>
        <v>1828.8</v>
      </c>
      <c r="N103" s="18">
        <v>1829</v>
      </c>
      <c r="O103" s="18">
        <v>6000</v>
      </c>
      <c r="P103" s="18">
        <v>0.78</v>
      </c>
    </row>
    <row r="104" spans="2:16" x14ac:dyDescent="0.2">
      <c r="B104" s="18">
        <f t="shared" si="55"/>
        <v>0</v>
      </c>
      <c r="C104" s="18">
        <f t="shared" si="57"/>
        <v>2133.6</v>
      </c>
      <c r="D104" s="18">
        <v>2.13</v>
      </c>
      <c r="E104" s="18">
        <v>7000</v>
      </c>
      <c r="F104" s="18">
        <v>0.75</v>
      </c>
      <c r="L104" s="18">
        <f t="shared" si="56"/>
        <v>0</v>
      </c>
      <c r="M104" s="18">
        <f t="shared" si="54"/>
        <v>2133.6</v>
      </c>
      <c r="N104" s="18">
        <v>2133</v>
      </c>
      <c r="O104" s="18">
        <v>7000</v>
      </c>
      <c r="P104" s="18">
        <v>0.75</v>
      </c>
    </row>
    <row r="105" spans="2:16" x14ac:dyDescent="0.2">
      <c r="B105" s="18">
        <f t="shared" si="55"/>
        <v>0</v>
      </c>
      <c r="C105" s="18">
        <f t="shared" si="57"/>
        <v>2438.4</v>
      </c>
      <c r="D105" s="18">
        <v>2.4500000000000002</v>
      </c>
      <c r="E105" s="18">
        <v>8000</v>
      </c>
      <c r="F105" s="18">
        <v>0.72</v>
      </c>
      <c r="L105" s="18">
        <f t="shared" si="56"/>
        <v>0</v>
      </c>
      <c r="M105" s="18">
        <f t="shared" si="54"/>
        <v>2438.4</v>
      </c>
      <c r="N105" s="18">
        <v>2438</v>
      </c>
      <c r="O105" s="18">
        <v>8000</v>
      </c>
      <c r="P105" s="18">
        <v>0.72</v>
      </c>
    </row>
    <row r="106" spans="2:16" x14ac:dyDescent="0.2">
      <c r="B106" s="18">
        <f t="shared" si="55"/>
        <v>0</v>
      </c>
      <c r="C106" s="18">
        <f t="shared" si="57"/>
        <v>2743.2</v>
      </c>
      <c r="D106" s="18">
        <v>2.74</v>
      </c>
      <c r="E106" s="18">
        <v>9000</v>
      </c>
      <c r="F106" s="18">
        <v>0.69</v>
      </c>
      <c r="L106" s="18">
        <f t="shared" si="56"/>
        <v>0</v>
      </c>
      <c r="M106" s="18">
        <f t="shared" si="54"/>
        <v>2743.2</v>
      </c>
      <c r="N106" s="18">
        <v>2743</v>
      </c>
      <c r="O106" s="18">
        <v>9000</v>
      </c>
      <c r="P106" s="18">
        <v>0.69</v>
      </c>
    </row>
    <row r="107" spans="2:16" x14ac:dyDescent="0.2">
      <c r="B107" s="18">
        <f t="shared" si="55"/>
        <v>0</v>
      </c>
      <c r="C107" s="18">
        <f t="shared" si="57"/>
        <v>3048</v>
      </c>
      <c r="D107" s="18">
        <v>3.05</v>
      </c>
      <c r="E107" s="18">
        <v>10000</v>
      </c>
      <c r="F107" s="18">
        <v>0.66</v>
      </c>
      <c r="L107" s="18">
        <f t="shared" si="56"/>
        <v>0</v>
      </c>
      <c r="M107" s="18">
        <f t="shared" si="54"/>
        <v>3048</v>
      </c>
      <c r="N107" s="18">
        <v>3048</v>
      </c>
      <c r="O107" s="18">
        <v>10000</v>
      </c>
      <c r="P107" s="18">
        <v>0.66</v>
      </c>
    </row>
    <row r="108" spans="2:16" x14ac:dyDescent="0.2">
      <c r="C108" s="18">
        <v>10000</v>
      </c>
      <c r="D108" s="18"/>
      <c r="E108" s="18"/>
      <c r="F108" s="18"/>
      <c r="M108" s="18">
        <v>10000</v>
      </c>
      <c r="N108" s="18"/>
      <c r="O108" s="18"/>
      <c r="P108" s="18"/>
    </row>
    <row r="110" spans="2:16" x14ac:dyDescent="0.2">
      <c r="B110" s="6" t="s">
        <v>217</v>
      </c>
      <c r="L110" s="6" t="s">
        <v>217</v>
      </c>
    </row>
    <row r="111" spans="2:16" x14ac:dyDescent="0.2">
      <c r="B111" s="29">
        <f>C34</f>
        <v>8.1</v>
      </c>
      <c r="L111" s="29">
        <f>M34</f>
        <v>4.5199999999999996</v>
      </c>
    </row>
    <row r="112" spans="2:16" x14ac:dyDescent="0.2">
      <c r="B112" s="6">
        <f>VLOOKUP(B111,tabla_temperatura!$P$2:$Q$12,2,0)</f>
        <v>9</v>
      </c>
      <c r="L112" s="6">
        <f>VLOOKUP(L111,tabla_temperatura!$AN$2:$AO$19,2,0)</f>
        <v>6</v>
      </c>
    </row>
    <row r="114" spans="2:12" x14ac:dyDescent="0.2">
      <c r="B114" s="6">
        <f>VLOOKUP(1,tabla_temperatura!$A$2:$N$16,CALC_AGENT!$B$112,0)</f>
        <v>4.0800000000000003E-2</v>
      </c>
      <c r="L114" s="6">
        <f>VLOOKUP(1,tabla_temperatura!$S$2:$AM$27,CALC_AGENT!$L$112,0)</f>
        <v>4.1835999999999998E-2</v>
      </c>
    </row>
  </sheetData>
  <mergeCells count="9">
    <mergeCell ref="V20:AC20"/>
    <mergeCell ref="B92:F92"/>
    <mergeCell ref="L92:P92"/>
    <mergeCell ref="C9:E9"/>
    <mergeCell ref="G9:I9"/>
    <mergeCell ref="L9:N9"/>
    <mergeCell ref="P9:R9"/>
    <mergeCell ref="B20:I20"/>
    <mergeCell ref="L20:S20"/>
  </mergeCells>
  <conditionalFormatting sqref="L94:L107">
    <cfRule type="cellIs" dxfId="62" priority="2" operator="equal">
      <formula>1</formula>
    </cfRule>
  </conditionalFormatting>
  <conditionalFormatting sqref="B94:B107">
    <cfRule type="cellIs" dxfId="61" priority="1" operator="equal">
      <formula>1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9428F-A0F8-45B9-82C6-05D125765BF8}">
  <sheetPr codeName="Hoja6"/>
  <dimension ref="A1:V27"/>
  <sheetViews>
    <sheetView showGridLines="0" showRowColHeaders="0" workbookViewId="0">
      <selection activeCell="J13" sqref="J13"/>
    </sheetView>
  </sheetViews>
  <sheetFormatPr baseColWidth="10" defaultColWidth="0" defaultRowHeight="12" customHeight="1" zeroHeight="1" x14ac:dyDescent="0.2"/>
  <cols>
    <col min="1" max="2" width="8.7109375" style="233" customWidth="1"/>
    <col min="3" max="3" width="11.28515625" style="234" customWidth="1"/>
    <col min="4" max="4" width="7.140625" style="234" bestFit="1" customWidth="1"/>
    <col min="5" max="5" width="9.42578125" style="234" customWidth="1"/>
    <col min="6" max="7" width="1.7109375" style="234" customWidth="1"/>
    <col min="8" max="8" width="1.42578125" style="234" customWidth="1"/>
    <col min="9" max="9" width="10.140625" style="234" bestFit="1" customWidth="1"/>
    <col min="10" max="10" width="7.140625" style="234" bestFit="1" customWidth="1"/>
    <col min="11" max="11" width="7.42578125" style="234" bestFit="1" customWidth="1"/>
    <col min="12" max="12" width="11.42578125" style="234" customWidth="1"/>
    <col min="13" max="13" width="10.140625" style="234" bestFit="1" customWidth="1"/>
    <col min="14" max="14" width="7.140625" style="234" bestFit="1" customWidth="1"/>
    <col min="15" max="15" width="7.42578125" style="234" bestFit="1" customWidth="1"/>
    <col min="16" max="16" width="11.42578125" style="234" customWidth="1"/>
    <col min="17" max="17" width="10.140625" style="234" bestFit="1" customWidth="1"/>
    <col min="18" max="18" width="7.140625" style="234" bestFit="1" customWidth="1"/>
    <col min="19" max="19" width="7.42578125" style="234" bestFit="1" customWidth="1"/>
    <col min="20" max="20" width="1.42578125" style="234" customWidth="1"/>
    <col min="21" max="22" width="11.42578125" style="233" customWidth="1"/>
    <col min="23" max="16384" width="11.42578125" style="234" hidden="1"/>
  </cols>
  <sheetData>
    <row r="1" spans="3:20" s="233" customFormat="1" x14ac:dyDescent="0.2"/>
    <row r="2" spans="3:20" s="233" customFormat="1" x14ac:dyDescent="0.2"/>
    <row r="3" spans="3:20" x14ac:dyDescent="0.2"/>
    <row r="4" spans="3:20" ht="48" customHeight="1" x14ac:dyDescent="0.25">
      <c r="C4" s="235" t="s">
        <v>129</v>
      </c>
      <c r="D4" s="235" t="s">
        <v>130</v>
      </c>
      <c r="E4" s="236" t="s">
        <v>128</v>
      </c>
      <c r="I4" s="237" t="str">
        <f>IF(D5="","INGRESAR ALTURA MSNM",IF(D13="","INGRESAR LARGO",IF(D14="","INGRESAR ANCHO",IF(D15="","INGRESAR ALTO",""))))</f>
        <v/>
      </c>
      <c r="K4"/>
      <c r="P4" s="238" t="s">
        <v>266</v>
      </c>
    </row>
    <row r="5" spans="3:20" x14ac:dyDescent="0.2">
      <c r="D5" s="239">
        <f>IF('[1]COT AGENTES'!H10=0,"",'[1]COT AGENTES'!H10)</f>
        <v>1</v>
      </c>
      <c r="E5" s="240">
        <f>D5*[1]CALC_AGENT!$E$4</f>
        <v>3.2808299999999999</v>
      </c>
    </row>
    <row r="6" spans="3:20" ht="12.75" thickBot="1" x14ac:dyDescent="0.25"/>
    <row r="7" spans="3:20" x14ac:dyDescent="0.2">
      <c r="H7" s="241"/>
      <c r="I7" s="242"/>
      <c r="J7" s="242"/>
      <c r="K7" s="242"/>
      <c r="L7" s="242"/>
      <c r="M7" s="242"/>
      <c r="N7" s="242"/>
      <c r="O7" s="242"/>
      <c r="P7" s="242"/>
      <c r="Q7" s="242"/>
      <c r="R7" s="242"/>
      <c r="S7" s="242"/>
      <c r="T7" s="243"/>
    </row>
    <row r="8" spans="3:20" x14ac:dyDescent="0.2">
      <c r="H8" s="244"/>
      <c r="I8" s="245" t="s">
        <v>267</v>
      </c>
      <c r="J8" s="245"/>
      <c r="K8" s="245"/>
      <c r="L8" s="245"/>
      <c r="M8" s="245"/>
      <c r="N8" s="245"/>
      <c r="O8" s="245"/>
      <c r="P8" s="245"/>
      <c r="Q8" s="245"/>
      <c r="R8" s="245"/>
      <c r="S8" s="245"/>
      <c r="T8" s="246"/>
    </row>
    <row r="9" spans="3:20" x14ac:dyDescent="0.2">
      <c r="H9" s="244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246"/>
    </row>
    <row r="10" spans="3:20" x14ac:dyDescent="0.2">
      <c r="C10" s="248" t="s">
        <v>131</v>
      </c>
      <c r="D10" s="249"/>
      <c r="E10" s="250"/>
      <c r="H10" s="244"/>
      <c r="I10" s="248" t="s">
        <v>132</v>
      </c>
      <c r="J10" s="249"/>
      <c r="K10" s="250"/>
      <c r="L10" s="247"/>
      <c r="M10" s="248" t="s">
        <v>133</v>
      </c>
      <c r="N10" s="249"/>
      <c r="O10" s="250"/>
      <c r="P10" s="247"/>
      <c r="Q10" s="248" t="s">
        <v>134</v>
      </c>
      <c r="R10" s="249"/>
      <c r="S10" s="250"/>
      <c r="T10" s="246"/>
    </row>
    <row r="11" spans="3:20" x14ac:dyDescent="0.2">
      <c r="C11" s="251"/>
      <c r="D11" s="252"/>
      <c r="H11" s="244"/>
      <c r="I11" s="253"/>
      <c r="J11" s="253"/>
      <c r="K11" s="253"/>
      <c r="L11" s="247"/>
      <c r="M11" s="253"/>
      <c r="N11" s="253"/>
      <c r="O11" s="253"/>
      <c r="P11" s="247"/>
      <c r="Q11" s="253"/>
      <c r="R11" s="253"/>
      <c r="S11" s="253"/>
      <c r="T11" s="246"/>
    </row>
    <row r="12" spans="3:20" x14ac:dyDescent="0.2">
      <c r="D12" s="254" t="s">
        <v>127</v>
      </c>
      <c r="E12" s="254" t="s">
        <v>128</v>
      </c>
      <c r="H12" s="244"/>
      <c r="I12" s="247"/>
      <c r="J12" s="254" t="s">
        <v>127</v>
      </c>
      <c r="K12" s="254" t="s">
        <v>128</v>
      </c>
      <c r="L12" s="247"/>
      <c r="M12" s="247"/>
      <c r="N12" s="254" t="s">
        <v>127</v>
      </c>
      <c r="O12" s="254" t="s">
        <v>128</v>
      </c>
      <c r="P12" s="247"/>
      <c r="Q12" s="247"/>
      <c r="R12" s="254" t="s">
        <v>127</v>
      </c>
      <c r="S12" s="254" t="s">
        <v>128</v>
      </c>
      <c r="T12" s="246"/>
    </row>
    <row r="13" spans="3:20" x14ac:dyDescent="0.2">
      <c r="C13" s="255" t="s">
        <v>135</v>
      </c>
      <c r="D13" s="256">
        <f>IF('[1]COT AGENTES'!M3=0,"",'[1]COT AGENTES'!M3)</f>
        <v>1</v>
      </c>
      <c r="E13" s="257">
        <f>D13*[1]CALC_AGENT!$E$4</f>
        <v>3.2808299999999999</v>
      </c>
      <c r="H13" s="244"/>
      <c r="I13" s="255" t="s">
        <v>135</v>
      </c>
      <c r="J13" s="258"/>
      <c r="K13" s="257">
        <f>J13*[1]CALC_AGENT!$E$4</f>
        <v>0</v>
      </c>
      <c r="L13" s="247"/>
      <c r="M13" s="255" t="s">
        <v>135</v>
      </c>
      <c r="N13" s="258"/>
      <c r="O13" s="257">
        <f>N13*[1]CALC_AGENT!$E$4</f>
        <v>0</v>
      </c>
      <c r="P13" s="247"/>
      <c r="Q13" s="255" t="s">
        <v>135</v>
      </c>
      <c r="R13" s="258"/>
      <c r="S13" s="257">
        <f>R13*[1]CALC_AGENT!$E$4</f>
        <v>0</v>
      </c>
      <c r="T13" s="246"/>
    </row>
    <row r="14" spans="3:20" x14ac:dyDescent="0.2">
      <c r="C14" s="259" t="s">
        <v>136</v>
      </c>
      <c r="D14" s="260">
        <f>IF('[1]COT AGENTES'!M4=0,"",'[1]COT AGENTES'!M4)</f>
        <v>1</v>
      </c>
      <c r="E14" s="261">
        <f>D14*[1]CALC_AGENT!$E$4</f>
        <v>3.2808299999999999</v>
      </c>
      <c r="H14" s="244"/>
      <c r="I14" s="259" t="s">
        <v>136</v>
      </c>
      <c r="J14" s="262"/>
      <c r="K14" s="261">
        <f>J14*[1]CALC_AGENT!$E$4</f>
        <v>0</v>
      </c>
      <c r="L14" s="247"/>
      <c r="M14" s="259" t="s">
        <v>136</v>
      </c>
      <c r="N14" s="262"/>
      <c r="O14" s="261">
        <f>N14*[1]CALC_AGENT!$E$4</f>
        <v>0</v>
      </c>
      <c r="P14" s="247"/>
      <c r="Q14" s="259" t="s">
        <v>136</v>
      </c>
      <c r="R14" s="262"/>
      <c r="S14" s="261">
        <f>R14*[1]CALC_AGENT!$E$4</f>
        <v>0</v>
      </c>
      <c r="T14" s="246"/>
    </row>
    <row r="15" spans="3:20" x14ac:dyDescent="0.2">
      <c r="C15" s="255" t="s">
        <v>137</v>
      </c>
      <c r="D15" s="256">
        <f>IF('[1]COT AGENTES'!M5=0,"0",'[1]COT AGENTES'!M5)</f>
        <v>1</v>
      </c>
      <c r="E15" s="257">
        <f>D15*[1]CALC_AGENT!$E$4</f>
        <v>3.2808299999999999</v>
      </c>
      <c r="H15" s="244"/>
      <c r="I15" s="255" t="s">
        <v>137</v>
      </c>
      <c r="J15" s="263"/>
      <c r="K15" s="257">
        <f>J15*[1]CALC_AGENT!$E$4</f>
        <v>0</v>
      </c>
      <c r="L15" s="247"/>
      <c r="M15" s="255" t="s">
        <v>137</v>
      </c>
      <c r="N15" s="263"/>
      <c r="O15" s="257">
        <f>N15*[1]CALC_AGENT!$E$4</f>
        <v>0</v>
      </c>
      <c r="P15" s="247"/>
      <c r="Q15" s="255" t="s">
        <v>137</v>
      </c>
      <c r="R15" s="263"/>
      <c r="S15" s="257">
        <f>R15*[1]CALC_AGENT!$E$4</f>
        <v>0</v>
      </c>
      <c r="T15" s="246"/>
    </row>
    <row r="16" spans="3:20" x14ac:dyDescent="0.2">
      <c r="C16" s="259" t="s">
        <v>138</v>
      </c>
      <c r="D16" s="260" t="str">
        <f>IF('[1]COT AGENTES'!M6=0,"0",'[1]COT AGENTES'!M6)</f>
        <v>0</v>
      </c>
      <c r="E16" s="261">
        <f>D16*[1]CALC_AGENT!$E$4</f>
        <v>0</v>
      </c>
      <c r="H16" s="244"/>
      <c r="I16" s="259" t="s">
        <v>138</v>
      </c>
      <c r="J16" s="262"/>
      <c r="K16" s="261">
        <f>J16*[1]CALC_AGENT!$E$4</f>
        <v>0</v>
      </c>
      <c r="L16" s="247"/>
      <c r="M16" s="259" t="s">
        <v>138</v>
      </c>
      <c r="N16" s="262"/>
      <c r="O16" s="261">
        <f>N16*[1]CALC_AGENT!$E$4</f>
        <v>0</v>
      </c>
      <c r="P16" s="247"/>
      <c r="Q16" s="259" t="s">
        <v>138</v>
      </c>
      <c r="R16" s="262"/>
      <c r="S16" s="261">
        <f>R16*[1]CALC_AGENT!$E$4</f>
        <v>0</v>
      </c>
      <c r="T16" s="246"/>
    </row>
    <row r="17" spans="3:20" x14ac:dyDescent="0.2">
      <c r="C17" s="259" t="s">
        <v>139</v>
      </c>
      <c r="D17" s="260" t="str">
        <f>IF('[1]COT AGENTES'!M7=0,"0",'[1]COT AGENTES'!M7)</f>
        <v>0</v>
      </c>
      <c r="E17" s="261">
        <f>D17*[1]CALC_AGENT!$E$4</f>
        <v>0</v>
      </c>
      <c r="H17" s="244"/>
      <c r="I17" s="259" t="s">
        <v>139</v>
      </c>
      <c r="J17" s="262"/>
      <c r="K17" s="261">
        <f>J17*[1]CALC_AGENT!$E$4</f>
        <v>0</v>
      </c>
      <c r="L17" s="247"/>
      <c r="M17" s="259" t="s">
        <v>139</v>
      </c>
      <c r="N17" s="262"/>
      <c r="O17" s="261">
        <f>N17*[1]CALC_AGENT!$E$4</f>
        <v>0</v>
      </c>
      <c r="P17" s="247"/>
      <c r="Q17" s="259" t="s">
        <v>139</v>
      </c>
      <c r="R17" s="262"/>
      <c r="S17" s="261">
        <f>R17*[1]CALC_AGENT!$E$4</f>
        <v>0</v>
      </c>
      <c r="T17" s="246"/>
    </row>
    <row r="18" spans="3:20" x14ac:dyDescent="0.2">
      <c r="C18" s="264" t="s">
        <v>140</v>
      </c>
      <c r="D18" s="265">
        <f>SUM(D15:D17)</f>
        <v>1</v>
      </c>
      <c r="E18" s="266">
        <f>D18*[1]CALC_AGENT!$E$4</f>
        <v>3.2808299999999999</v>
      </c>
      <c r="H18" s="244"/>
      <c r="I18" s="264" t="s">
        <v>140</v>
      </c>
      <c r="J18" s="265">
        <f>SUM(J15:J17)</f>
        <v>0</v>
      </c>
      <c r="K18" s="266">
        <f>J18*[1]CALC_AGENT!$E$4</f>
        <v>0</v>
      </c>
      <c r="L18" s="247"/>
      <c r="M18" s="264" t="s">
        <v>140</v>
      </c>
      <c r="N18" s="265">
        <f>SUM(N15:N17)</f>
        <v>0</v>
      </c>
      <c r="O18" s="266">
        <f>N18*[1]CALC_AGENT!$E$4</f>
        <v>0</v>
      </c>
      <c r="P18" s="247"/>
      <c r="Q18" s="264" t="s">
        <v>140</v>
      </c>
      <c r="R18" s="265">
        <f>SUM(R15:R17)</f>
        <v>0</v>
      </c>
      <c r="S18" s="266">
        <f>R18*[1]CALC_AGENT!$E$4</f>
        <v>0</v>
      </c>
      <c r="T18" s="246"/>
    </row>
    <row r="19" spans="3:20" x14ac:dyDescent="0.2">
      <c r="C19" s="259" t="s">
        <v>141</v>
      </c>
      <c r="D19" s="267">
        <f>D14*D13</f>
        <v>1</v>
      </c>
      <c r="E19" s="261">
        <f>D19*[1]CALC_AGENT!$E$4</f>
        <v>3.2808299999999999</v>
      </c>
      <c r="H19" s="244"/>
      <c r="I19" s="259" t="s">
        <v>141</v>
      </c>
      <c r="J19" s="267">
        <f>J14*J13</f>
        <v>0</v>
      </c>
      <c r="K19" s="261">
        <f>J19*[1]CALC_AGENT!$E$4</f>
        <v>0</v>
      </c>
      <c r="L19" s="247"/>
      <c r="M19" s="259" t="s">
        <v>141</v>
      </c>
      <c r="N19" s="267">
        <f>N14*N13</f>
        <v>0</v>
      </c>
      <c r="O19" s="261">
        <f>N19*[1]CALC_AGENT!$E$4</f>
        <v>0</v>
      </c>
      <c r="P19" s="247"/>
      <c r="Q19" s="259" t="s">
        <v>141</v>
      </c>
      <c r="R19" s="267">
        <f>R14*R13</f>
        <v>0</v>
      </c>
      <c r="S19" s="261">
        <f>R19*[1]CALC_AGENT!$E$4</f>
        <v>0</v>
      </c>
      <c r="T19" s="246"/>
    </row>
    <row r="20" spans="3:20" x14ac:dyDescent="0.2">
      <c r="C20" s="264" t="s">
        <v>142</v>
      </c>
      <c r="D20" s="268">
        <f>+D19*D18</f>
        <v>1</v>
      </c>
      <c r="E20" s="266">
        <f>D20*[1]CALC_AGENT!$E$4</f>
        <v>3.2808299999999999</v>
      </c>
      <c r="H20" s="244"/>
      <c r="I20" s="264" t="s">
        <v>142</v>
      </c>
      <c r="J20" s="268">
        <f>+J19*J18</f>
        <v>0</v>
      </c>
      <c r="K20" s="266">
        <f>J20*[1]CALC_AGENT!$E$4</f>
        <v>0</v>
      </c>
      <c r="L20" s="247"/>
      <c r="M20" s="264" t="s">
        <v>142</v>
      </c>
      <c r="N20" s="268">
        <f>+N19*N18</f>
        <v>0</v>
      </c>
      <c r="O20" s="266">
        <f>N20*[1]CALC_AGENT!$E$4</f>
        <v>0</v>
      </c>
      <c r="P20" s="247"/>
      <c r="Q20" s="264" t="s">
        <v>142</v>
      </c>
      <c r="R20" s="268">
        <f>+R19*R18</f>
        <v>0</v>
      </c>
      <c r="S20" s="266">
        <f>R20*[1]CALC_AGENT!$E$4</f>
        <v>0</v>
      </c>
      <c r="T20" s="246"/>
    </row>
    <row r="21" spans="3:20" x14ac:dyDescent="0.2">
      <c r="C21" s="264" t="s">
        <v>250</v>
      </c>
      <c r="D21" s="268">
        <f>IF(D19&gt;0,ROUNDUP((IF(D13&lt;8,8,D13)*IF(D14&lt;8,8,D14))/90,0),0)</f>
        <v>1</v>
      </c>
      <c r="E21" s="266"/>
      <c r="H21" s="244"/>
      <c r="I21" s="264" t="s">
        <v>250</v>
      </c>
      <c r="J21" s="268">
        <f>IF(J19&gt;0,ROUNDUP((IF(J13&lt;8,8,J13)*IF(J14&lt;8,8,J14))/90,0),0)</f>
        <v>0</v>
      </c>
      <c r="K21" s="266"/>
      <c r="L21" s="247"/>
      <c r="M21" s="264" t="s">
        <v>250</v>
      </c>
      <c r="N21" s="268">
        <f>IF(N19&gt;0,ROUNDUP((IF(N13&lt;8,8,N13)*IF(N14&lt;8,8,N14))/90,0),0)</f>
        <v>0</v>
      </c>
      <c r="O21" s="266"/>
      <c r="P21" s="247"/>
      <c r="Q21" s="264" t="s">
        <v>250</v>
      </c>
      <c r="R21" s="268">
        <f>IF(R19&gt;0,ROUNDUP((IF(R13&lt;8,8,R13)*IF(R14&lt;8,8,R14))/90,0),0)</f>
        <v>0</v>
      </c>
      <c r="S21" s="266"/>
      <c r="T21" s="246"/>
    </row>
    <row r="22" spans="3:20" x14ac:dyDescent="0.2">
      <c r="C22" s="269"/>
      <c r="D22" s="270"/>
      <c r="E22" s="269"/>
      <c r="F22" s="269"/>
      <c r="G22" s="269"/>
      <c r="H22" s="271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46"/>
    </row>
    <row r="23" spans="3:20" ht="12.75" thickBot="1" x14ac:dyDescent="0.25">
      <c r="H23" s="273"/>
      <c r="I23" s="274"/>
      <c r="J23" s="274"/>
      <c r="K23" s="274"/>
      <c r="L23" s="274"/>
      <c r="M23" s="274"/>
      <c r="N23" s="274"/>
      <c r="O23" s="274"/>
      <c r="P23" s="274"/>
      <c r="Q23" s="274"/>
      <c r="R23" s="274"/>
      <c r="S23" s="274"/>
      <c r="T23" s="275"/>
    </row>
    <row r="24" spans="3:20" s="233" customFormat="1" x14ac:dyDescent="0.2"/>
    <row r="25" spans="3:20" s="233" customFormat="1" x14ac:dyDescent="0.2">
      <c r="I25" s="233">
        <f>IF(D19&gt;0,ROUNDUP((IF(D13&lt;8,8,D13)*IF(D14&lt;8,8,D14))/64,0),0)</f>
        <v>1</v>
      </c>
    </row>
    <row r="26" spans="3:20" s="233" customFormat="1" x14ac:dyDescent="0.2"/>
    <row r="27" spans="3:20" s="233" customFormat="1" x14ac:dyDescent="0.2"/>
  </sheetData>
  <mergeCells count="5">
    <mergeCell ref="I8:S8"/>
    <mergeCell ref="C10:E10"/>
    <mergeCell ref="I10:K10"/>
    <mergeCell ref="M10:O10"/>
    <mergeCell ref="Q10:S10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2BFE-3774-4F9D-8DD3-E2810933F179}">
  <sheetPr codeName="Hoja1"/>
  <dimension ref="A1:O1242"/>
  <sheetViews>
    <sheetView tabSelected="1" zoomScale="110" zoomScaleNormal="110" workbookViewId="0">
      <pane ySplit="1" topLeftCell="A2" activePane="bottomLeft" state="frozen"/>
      <selection activeCell="I12" sqref="I12"/>
      <selection pane="bottomLeft" activeCell="A2" sqref="A2"/>
    </sheetView>
  </sheetViews>
  <sheetFormatPr baseColWidth="10" defaultColWidth="11.42578125" defaultRowHeight="11.25" x14ac:dyDescent="0.2"/>
  <cols>
    <col min="1" max="1" width="11.42578125" style="226"/>
    <col min="2" max="2" width="34.140625" style="226" bestFit="1" customWidth="1"/>
    <col min="3" max="3" width="3.28515625" style="226" customWidth="1"/>
    <col min="4" max="4" width="12.28515625" style="226" customWidth="1"/>
    <col min="5" max="5" width="10.5703125" style="226" customWidth="1"/>
    <col min="6" max="6" width="8.5703125" style="226" customWidth="1"/>
    <col min="7" max="7" width="3.7109375" style="226" customWidth="1"/>
    <col min="8" max="8" width="7.42578125" style="226" customWidth="1"/>
    <col min="9" max="9" width="14.42578125" style="227" customWidth="1"/>
    <col min="10" max="10" width="30" style="226" customWidth="1"/>
    <col min="11" max="11" width="3.7109375" style="226" customWidth="1"/>
    <col min="12" max="12" width="6.7109375" style="226" customWidth="1"/>
    <col min="13" max="13" width="12.85546875" style="228" customWidth="1"/>
    <col min="14" max="15" width="9.85546875" style="232" customWidth="1"/>
    <col min="16" max="18" width="11.42578125" style="226" customWidth="1"/>
    <col min="19" max="16384" width="11.42578125" style="226"/>
  </cols>
  <sheetData>
    <row r="1" spans="1:15" x14ac:dyDescent="0.2">
      <c r="A1" s="226" t="s">
        <v>265</v>
      </c>
      <c r="B1" s="221" t="s">
        <v>0</v>
      </c>
      <c r="C1" s="221" t="s">
        <v>1</v>
      </c>
      <c r="D1" s="221" t="s">
        <v>2</v>
      </c>
      <c r="E1" s="221" t="s">
        <v>3</v>
      </c>
      <c r="F1" s="221" t="s">
        <v>4</v>
      </c>
      <c r="G1" s="221" t="s">
        <v>5</v>
      </c>
      <c r="H1" s="221" t="s">
        <v>6</v>
      </c>
      <c r="I1" s="222" t="s">
        <v>7</v>
      </c>
      <c r="J1" s="221" t="s">
        <v>8</v>
      </c>
      <c r="K1" s="221" t="s">
        <v>9</v>
      </c>
      <c r="L1" s="221" t="s">
        <v>10</v>
      </c>
      <c r="M1" s="223" t="s">
        <v>11</v>
      </c>
      <c r="N1" s="224" t="s">
        <v>268</v>
      </c>
      <c r="O1" s="225"/>
    </row>
    <row r="2" spans="1:15" x14ac:dyDescent="0.2">
      <c r="A2" s="226">
        <v>1</v>
      </c>
      <c r="B2" s="226" t="str">
        <f t="shared" ref="B2:B65" si="0">D2&amp;E2&amp;F2&amp;C2&amp;"-"&amp;G2&amp;IF(M2&lt;&gt;"",O2,"")</f>
        <v>SISTEMATANK SIZE 8LFM-2001-1</v>
      </c>
      <c r="C2" s="226">
        <f>L2</f>
        <v>1</v>
      </c>
      <c r="D2" s="226" t="s">
        <v>13</v>
      </c>
      <c r="E2" s="226" t="s">
        <v>14</v>
      </c>
      <c r="F2" s="226" t="s">
        <v>15</v>
      </c>
      <c r="G2" s="226">
        <v>1</v>
      </c>
      <c r="H2" s="226" t="s">
        <v>16</v>
      </c>
      <c r="I2" s="227" t="s">
        <v>17</v>
      </c>
      <c r="J2" s="226" t="s">
        <v>18</v>
      </c>
      <c r="K2" s="226" t="s">
        <v>19</v>
      </c>
      <c r="L2" s="226">
        <v>1</v>
      </c>
      <c r="M2" s="228" t="s">
        <v>20</v>
      </c>
      <c r="N2" s="229">
        <v>1</v>
      </c>
      <c r="O2" s="229"/>
    </row>
    <row r="3" spans="1:15" x14ac:dyDescent="0.2">
      <c r="A3" s="226">
        <v>2</v>
      </c>
      <c r="B3" s="226" t="str">
        <f t="shared" si="0"/>
        <v>SISTEMATANK SIZE 8LFM-2001-2</v>
      </c>
      <c r="C3" s="226">
        <f>C2</f>
        <v>1</v>
      </c>
      <c r="D3" s="226" t="s">
        <v>13</v>
      </c>
      <c r="E3" s="226" t="s">
        <v>14</v>
      </c>
      <c r="F3" s="226" t="s">
        <v>15</v>
      </c>
      <c r="G3" s="226">
        <f>+G2+1</f>
        <v>2</v>
      </c>
      <c r="H3" s="226" t="s">
        <v>16</v>
      </c>
      <c r="I3" s="227">
        <v>445732</v>
      </c>
      <c r="J3" s="226" t="s">
        <v>21</v>
      </c>
      <c r="K3" s="226" t="s">
        <v>19</v>
      </c>
      <c r="L3" s="226">
        <v>1</v>
      </c>
      <c r="M3" s="228">
        <f t="shared" ref="M3:M66" si="1">I3</f>
        <v>445732</v>
      </c>
      <c r="N3" s="229">
        <v>1</v>
      </c>
      <c r="O3" s="229"/>
    </row>
    <row r="4" spans="1:15" x14ac:dyDescent="0.2">
      <c r="A4" s="226">
        <v>3</v>
      </c>
      <c r="B4" s="226" t="str">
        <f t="shared" si="0"/>
        <v>SISTEMATANK SIZE 8LFM-2001-3</v>
      </c>
      <c r="C4" s="226">
        <f t="shared" ref="C4:C18" si="2">C3</f>
        <v>1</v>
      </c>
      <c r="D4" s="226" t="s">
        <v>13</v>
      </c>
      <c r="E4" s="226" t="s">
        <v>14</v>
      </c>
      <c r="F4" s="226" t="s">
        <v>15</v>
      </c>
      <c r="G4" s="226">
        <f t="shared" ref="G4:G18" si="3">+G3+1</f>
        <v>3</v>
      </c>
      <c r="H4" s="226" t="s">
        <v>16</v>
      </c>
      <c r="I4" s="227" t="s">
        <v>22</v>
      </c>
      <c r="J4" s="226" t="s">
        <v>23</v>
      </c>
      <c r="K4" s="226" t="s">
        <v>19</v>
      </c>
      <c r="L4" s="230">
        <f>'COT AGENTES'!$H$5</f>
        <v>2</v>
      </c>
      <c r="M4" s="228">
        <v>453646</v>
      </c>
      <c r="N4" s="229">
        <v>1</v>
      </c>
      <c r="O4" s="229"/>
    </row>
    <row r="5" spans="1:15" x14ac:dyDescent="0.2">
      <c r="A5" s="226">
        <v>4</v>
      </c>
      <c r="B5" s="226" t="str">
        <f t="shared" si="0"/>
        <v>SISTEMATANK SIZE 8LFM-2001-4</v>
      </c>
      <c r="C5" s="226">
        <f t="shared" si="2"/>
        <v>1</v>
      </c>
      <c r="D5" s="226" t="s">
        <v>13</v>
      </c>
      <c r="E5" s="226" t="s">
        <v>14</v>
      </c>
      <c r="F5" s="226" t="s">
        <v>15</v>
      </c>
      <c r="G5" s="226">
        <f t="shared" si="3"/>
        <v>4</v>
      </c>
      <c r="H5" s="226" t="s">
        <v>16</v>
      </c>
      <c r="I5" s="227">
        <v>570055</v>
      </c>
      <c r="J5" s="226" t="s">
        <v>24</v>
      </c>
      <c r="K5" s="226" t="s">
        <v>19</v>
      </c>
      <c r="L5" s="226">
        <f>L3</f>
        <v>1</v>
      </c>
      <c r="M5" s="228">
        <f t="shared" si="1"/>
        <v>570055</v>
      </c>
      <c r="N5" s="229">
        <v>1</v>
      </c>
      <c r="O5" s="229"/>
    </row>
    <row r="6" spans="1:15" x14ac:dyDescent="0.2">
      <c r="A6" s="226">
        <v>5</v>
      </c>
      <c r="B6" s="226" t="str">
        <f t="shared" si="0"/>
        <v>SISTEMATANK SIZE 8LFM-2001-5</v>
      </c>
      <c r="C6" s="226">
        <f t="shared" si="2"/>
        <v>1</v>
      </c>
      <c r="D6" s="226" t="s">
        <v>13</v>
      </c>
      <c r="E6" s="226" t="s">
        <v>14</v>
      </c>
      <c r="F6" s="226" t="s">
        <v>15</v>
      </c>
      <c r="G6" s="226">
        <f t="shared" si="3"/>
        <v>5</v>
      </c>
      <c r="H6" s="226" t="s">
        <v>16</v>
      </c>
      <c r="I6" s="227">
        <v>314205321</v>
      </c>
      <c r="J6" s="226" t="s">
        <v>25</v>
      </c>
      <c r="K6" s="226" t="s">
        <v>19</v>
      </c>
      <c r="L6" s="226">
        <f>L3</f>
        <v>1</v>
      </c>
      <c r="M6" s="228">
        <f t="shared" si="1"/>
        <v>314205321</v>
      </c>
      <c r="N6" s="229">
        <v>1</v>
      </c>
      <c r="O6" s="229"/>
    </row>
    <row r="7" spans="1:15" x14ac:dyDescent="0.2">
      <c r="A7" s="226">
        <v>6</v>
      </c>
      <c r="B7" s="226" t="str">
        <f t="shared" si="0"/>
        <v>SISTEMATANK SIZE 8LFM-2001-6</v>
      </c>
      <c r="C7" s="226">
        <f t="shared" si="2"/>
        <v>1</v>
      </c>
      <c r="D7" s="226" t="s">
        <v>13</v>
      </c>
      <c r="E7" s="226" t="s">
        <v>14</v>
      </c>
      <c r="F7" s="226" t="s">
        <v>15</v>
      </c>
      <c r="G7" s="226">
        <f t="shared" si="3"/>
        <v>6</v>
      </c>
      <c r="H7" s="226" t="s">
        <v>16</v>
      </c>
      <c r="I7" s="227">
        <v>570585</v>
      </c>
      <c r="J7" s="226" t="s">
        <v>26</v>
      </c>
      <c r="K7" s="226" t="s">
        <v>19</v>
      </c>
      <c r="L7" s="226">
        <v>1</v>
      </c>
      <c r="M7" s="228">
        <f t="shared" si="1"/>
        <v>570585</v>
      </c>
      <c r="N7" s="229">
        <v>1</v>
      </c>
      <c r="O7" s="229"/>
    </row>
    <row r="8" spans="1:15" x14ac:dyDescent="0.2">
      <c r="A8" s="226">
        <v>7</v>
      </c>
      <c r="B8" s="226" t="str">
        <f t="shared" si="0"/>
        <v>SISTEMATANK SIZE 8LFM-2001-7</v>
      </c>
      <c r="C8" s="226">
        <f t="shared" si="2"/>
        <v>1</v>
      </c>
      <c r="D8" s="226" t="s">
        <v>13</v>
      </c>
      <c r="E8" s="226" t="s">
        <v>14</v>
      </c>
      <c r="F8" s="226" t="s">
        <v>15</v>
      </c>
      <c r="G8" s="226">
        <f t="shared" si="3"/>
        <v>7</v>
      </c>
      <c r="H8" s="226" t="s">
        <v>16</v>
      </c>
      <c r="I8" s="227">
        <v>304205030</v>
      </c>
      <c r="J8" s="226" t="s">
        <v>27</v>
      </c>
      <c r="K8" s="226" t="s">
        <v>19</v>
      </c>
      <c r="L8" s="226">
        <v>1</v>
      </c>
      <c r="M8" s="228">
        <f t="shared" si="1"/>
        <v>304205030</v>
      </c>
      <c r="N8" s="229">
        <v>1</v>
      </c>
      <c r="O8" s="229"/>
    </row>
    <row r="9" spans="1:15" x14ac:dyDescent="0.2">
      <c r="A9" s="226">
        <v>8</v>
      </c>
      <c r="B9" s="226" t="str">
        <f t="shared" si="0"/>
        <v>SISTEMATANK SIZE 8LFM-2001-8</v>
      </c>
      <c r="C9" s="226">
        <f t="shared" si="2"/>
        <v>1</v>
      </c>
      <c r="D9" s="226" t="s">
        <v>13</v>
      </c>
      <c r="E9" s="226" t="s">
        <v>14</v>
      </c>
      <c r="F9" s="226" t="s">
        <v>15</v>
      </c>
      <c r="G9" s="226">
        <f t="shared" si="3"/>
        <v>8</v>
      </c>
      <c r="H9" s="226" t="s">
        <v>16</v>
      </c>
      <c r="I9" s="227" t="s">
        <v>28</v>
      </c>
      <c r="J9" s="226" t="s">
        <v>29</v>
      </c>
      <c r="K9" s="226" t="s">
        <v>19</v>
      </c>
      <c r="L9" s="226">
        <v>1</v>
      </c>
      <c r="M9" s="228" t="str">
        <f t="shared" si="1"/>
        <v>A1638150HY</v>
      </c>
      <c r="N9" s="229">
        <v>1</v>
      </c>
      <c r="O9" s="229"/>
    </row>
    <row r="10" spans="1:15" x14ac:dyDescent="0.2">
      <c r="A10" s="226">
        <v>9</v>
      </c>
      <c r="B10" s="226" t="str">
        <f t="shared" si="0"/>
        <v>SISTEMATANK SIZE 8LFM-2001-9</v>
      </c>
      <c r="C10" s="226">
        <f t="shared" si="2"/>
        <v>1</v>
      </c>
      <c r="D10" s="226" t="s">
        <v>13</v>
      </c>
      <c r="E10" s="226" t="s">
        <v>14</v>
      </c>
      <c r="F10" s="226" t="s">
        <v>15</v>
      </c>
      <c r="G10" s="226">
        <f t="shared" si="3"/>
        <v>9</v>
      </c>
      <c r="H10" s="226" t="s">
        <v>16</v>
      </c>
      <c r="I10" s="227" t="s">
        <v>30</v>
      </c>
      <c r="J10" s="226" t="s">
        <v>31</v>
      </c>
      <c r="K10" s="226" t="s">
        <v>19</v>
      </c>
      <c r="L10" s="226">
        <v>1</v>
      </c>
      <c r="M10" s="228" t="str">
        <f t="shared" si="1"/>
        <v>570085-R2</v>
      </c>
      <c r="N10" s="229">
        <v>1</v>
      </c>
      <c r="O10" s="229"/>
    </row>
    <row r="11" spans="1:15" x14ac:dyDescent="0.2">
      <c r="A11" s="226">
        <v>10</v>
      </c>
      <c r="B11" s="226" t="str">
        <f t="shared" si="0"/>
        <v>SISTEMATANK SIZE 8LFM-2001-10</v>
      </c>
      <c r="C11" s="226">
        <f t="shared" si="2"/>
        <v>1</v>
      </c>
      <c r="D11" s="226" t="s">
        <v>13</v>
      </c>
      <c r="E11" s="226" t="s">
        <v>14</v>
      </c>
      <c r="F11" s="226" t="s">
        <v>15</v>
      </c>
      <c r="G11" s="226">
        <f t="shared" si="3"/>
        <v>10</v>
      </c>
      <c r="H11" s="226" t="s">
        <v>16</v>
      </c>
      <c r="I11" s="227" t="s">
        <v>32</v>
      </c>
      <c r="J11" s="226" t="s">
        <v>33</v>
      </c>
      <c r="K11" s="226" t="s">
        <v>19</v>
      </c>
      <c r="L11" s="230">
        <f>'COT AGENTES'!$M$11</f>
        <v>1</v>
      </c>
      <c r="M11" s="228" t="s">
        <v>34</v>
      </c>
      <c r="N11" s="229">
        <v>1</v>
      </c>
      <c r="O11" s="229"/>
    </row>
    <row r="12" spans="1:15" x14ac:dyDescent="0.2">
      <c r="A12" s="226">
        <v>11</v>
      </c>
      <c r="B12" s="226" t="str">
        <f t="shared" si="0"/>
        <v>SISTEMATANK SIZE 8LFM-2001-11</v>
      </c>
      <c r="C12" s="226">
        <f t="shared" si="2"/>
        <v>1</v>
      </c>
      <c r="D12" s="226" t="s">
        <v>13</v>
      </c>
      <c r="E12" s="226" t="s">
        <v>14</v>
      </c>
      <c r="F12" s="226" t="s">
        <v>15</v>
      </c>
      <c r="G12" s="226">
        <f t="shared" si="3"/>
        <v>11</v>
      </c>
      <c r="H12" s="226" t="s">
        <v>16</v>
      </c>
      <c r="I12" s="227" t="s">
        <v>35</v>
      </c>
      <c r="J12" s="226" t="s">
        <v>36</v>
      </c>
      <c r="K12" s="226" t="s">
        <v>19</v>
      </c>
      <c r="L12" s="226">
        <v>1</v>
      </c>
      <c r="M12" s="228" t="str">
        <f t="shared" si="1"/>
        <v>442927-R2</v>
      </c>
      <c r="N12" s="229">
        <v>1</v>
      </c>
      <c r="O12" s="229"/>
    </row>
    <row r="13" spans="1:15" x14ac:dyDescent="0.2">
      <c r="A13" s="226">
        <v>12</v>
      </c>
      <c r="B13" s="226" t="str">
        <f t="shared" si="0"/>
        <v>SISTEMATANK SIZE 8LFM-2001-12</v>
      </c>
      <c r="C13" s="226">
        <f t="shared" si="2"/>
        <v>1</v>
      </c>
      <c r="D13" s="226" t="s">
        <v>13</v>
      </c>
      <c r="E13" s="226" t="s">
        <v>14</v>
      </c>
      <c r="F13" s="226" t="s">
        <v>15</v>
      </c>
      <c r="G13" s="226">
        <f t="shared" si="3"/>
        <v>12</v>
      </c>
      <c r="H13" s="226" t="s">
        <v>16</v>
      </c>
      <c r="I13" s="227" t="s">
        <v>37</v>
      </c>
      <c r="J13" s="226" t="s">
        <v>38</v>
      </c>
      <c r="K13" s="226" t="s">
        <v>19</v>
      </c>
      <c r="L13" s="226">
        <v>1</v>
      </c>
      <c r="M13" s="228" t="str">
        <f t="shared" si="1"/>
        <v>442928-R2</v>
      </c>
      <c r="N13" s="229">
        <v>1</v>
      </c>
      <c r="O13" s="229"/>
    </row>
    <row r="14" spans="1:15" x14ac:dyDescent="0.2">
      <c r="A14" s="226">
        <v>13</v>
      </c>
      <c r="B14" s="226" t="str">
        <f t="shared" si="0"/>
        <v>SISTEMATANK SIZE 8LFM-2001-13</v>
      </c>
      <c r="C14" s="226">
        <f t="shared" si="2"/>
        <v>1</v>
      </c>
      <c r="D14" s="226" t="s">
        <v>13</v>
      </c>
      <c r="E14" s="226" t="s">
        <v>14</v>
      </c>
      <c r="F14" s="226" t="s">
        <v>15</v>
      </c>
      <c r="G14" s="226">
        <f t="shared" si="3"/>
        <v>13</v>
      </c>
      <c r="H14" s="226" t="s">
        <v>16</v>
      </c>
      <c r="I14" s="227">
        <v>570557</v>
      </c>
      <c r="J14" s="226" t="s">
        <v>39</v>
      </c>
      <c r="K14" s="226" t="s">
        <v>19</v>
      </c>
      <c r="L14" s="226">
        <f>L3</f>
        <v>1</v>
      </c>
      <c r="M14" s="228">
        <f t="shared" si="1"/>
        <v>570557</v>
      </c>
      <c r="N14" s="229">
        <v>1</v>
      </c>
      <c r="O14" s="229"/>
    </row>
    <row r="15" spans="1:15" x14ac:dyDescent="0.2">
      <c r="A15" s="226">
        <v>14</v>
      </c>
      <c r="B15" s="226" t="str">
        <f t="shared" si="0"/>
        <v>SISTEMATANK SIZE 8LFM-2001-14</v>
      </c>
      <c r="C15" s="226">
        <f t="shared" si="2"/>
        <v>1</v>
      </c>
      <c r="D15" s="226" t="s">
        <v>13</v>
      </c>
      <c r="E15" s="226" t="s">
        <v>14</v>
      </c>
      <c r="F15" s="226" t="s">
        <v>15</v>
      </c>
      <c r="G15" s="226">
        <f t="shared" si="3"/>
        <v>14</v>
      </c>
      <c r="K15" s="226" t="s">
        <v>19</v>
      </c>
      <c r="M15" s="228">
        <f t="shared" si="1"/>
        <v>0</v>
      </c>
      <c r="N15" s="229">
        <v>1</v>
      </c>
      <c r="O15" s="229"/>
    </row>
    <row r="16" spans="1:15" x14ac:dyDescent="0.2">
      <c r="A16" s="226">
        <v>15</v>
      </c>
      <c r="B16" s="226" t="str">
        <f t="shared" si="0"/>
        <v>SISTEMATANK SIZE 8LFM-2001-15</v>
      </c>
      <c r="C16" s="226">
        <f t="shared" si="2"/>
        <v>1</v>
      </c>
      <c r="D16" s="226" t="s">
        <v>13</v>
      </c>
      <c r="E16" s="226" t="s">
        <v>14</v>
      </c>
      <c r="F16" s="226" t="s">
        <v>15</v>
      </c>
      <c r="G16" s="226">
        <f t="shared" si="3"/>
        <v>15</v>
      </c>
      <c r="H16" s="226" t="s">
        <v>16</v>
      </c>
      <c r="I16" s="227">
        <v>437900</v>
      </c>
      <c r="J16" s="226" t="s">
        <v>40</v>
      </c>
      <c r="K16" s="226" t="s">
        <v>19</v>
      </c>
      <c r="L16" s="226">
        <v>1</v>
      </c>
      <c r="M16" s="228">
        <f t="shared" si="1"/>
        <v>437900</v>
      </c>
      <c r="N16" s="229">
        <v>1</v>
      </c>
      <c r="O16" s="229"/>
    </row>
    <row r="17" spans="1:15" x14ac:dyDescent="0.2">
      <c r="A17" s="226">
        <v>16</v>
      </c>
      <c r="B17" s="226" t="str">
        <f t="shared" si="0"/>
        <v>SISTEMATANK SIZE 8LFM-2001-16</v>
      </c>
      <c r="C17" s="226">
        <f t="shared" si="2"/>
        <v>1</v>
      </c>
      <c r="D17" s="226" t="s">
        <v>13</v>
      </c>
      <c r="E17" s="226" t="s">
        <v>14</v>
      </c>
      <c r="F17" s="226" t="s">
        <v>15</v>
      </c>
      <c r="G17" s="226">
        <f t="shared" si="3"/>
        <v>16</v>
      </c>
      <c r="H17" s="226" t="s">
        <v>16</v>
      </c>
      <c r="I17" s="227">
        <v>73597</v>
      </c>
      <c r="J17" s="226" t="s">
        <v>41</v>
      </c>
      <c r="K17" s="226" t="s">
        <v>19</v>
      </c>
      <c r="L17" s="226">
        <v>1</v>
      </c>
      <c r="M17" s="228">
        <f t="shared" si="1"/>
        <v>73597</v>
      </c>
      <c r="N17" s="229">
        <v>1</v>
      </c>
      <c r="O17" s="229"/>
    </row>
    <row r="18" spans="1:15" x14ac:dyDescent="0.2">
      <c r="A18" s="226">
        <v>17</v>
      </c>
      <c r="B18" s="226" t="str">
        <f t="shared" si="0"/>
        <v>SISTEMATANK SIZE 8LFM-2001-17</v>
      </c>
      <c r="C18" s="226">
        <f t="shared" si="2"/>
        <v>1</v>
      </c>
      <c r="D18" s="226" t="s">
        <v>13</v>
      </c>
      <c r="E18" s="226" t="s">
        <v>14</v>
      </c>
      <c r="F18" s="226" t="s">
        <v>15</v>
      </c>
      <c r="G18" s="226">
        <f t="shared" si="3"/>
        <v>17</v>
      </c>
      <c r="H18" s="226" t="s">
        <v>16</v>
      </c>
      <c r="I18" s="227">
        <v>32338</v>
      </c>
      <c r="J18" s="226" t="s">
        <v>42</v>
      </c>
      <c r="K18" s="226" t="s">
        <v>19</v>
      </c>
      <c r="L18" s="226">
        <v>1</v>
      </c>
      <c r="M18" s="228">
        <f t="shared" si="1"/>
        <v>32338</v>
      </c>
      <c r="N18" s="229">
        <v>1</v>
      </c>
      <c r="O18" s="229"/>
    </row>
    <row r="19" spans="1:15" x14ac:dyDescent="0.2">
      <c r="A19" s="226">
        <v>18</v>
      </c>
      <c r="B19" s="226" t="str">
        <f t="shared" si="0"/>
        <v>-</v>
      </c>
      <c r="M19" s="228">
        <f t="shared" si="1"/>
        <v>0</v>
      </c>
      <c r="N19" s="229">
        <v>1</v>
      </c>
      <c r="O19" s="229"/>
    </row>
    <row r="20" spans="1:15" x14ac:dyDescent="0.2">
      <c r="A20" s="226">
        <v>19</v>
      </c>
      <c r="B20" s="226" t="str">
        <f t="shared" si="0"/>
        <v>OPCIONALTANK SIZE 8LFM-2001-1</v>
      </c>
      <c r="C20" s="226">
        <f>C13</f>
        <v>1</v>
      </c>
      <c r="D20" s="226" t="s">
        <v>43</v>
      </c>
      <c r="E20" s="226" t="s">
        <v>14</v>
      </c>
      <c r="F20" s="226" t="s">
        <v>15</v>
      </c>
      <c r="G20" s="226">
        <v>1</v>
      </c>
      <c r="H20" s="226" t="s">
        <v>16</v>
      </c>
      <c r="I20" s="227" t="s">
        <v>44</v>
      </c>
      <c r="J20" s="226" t="s">
        <v>45</v>
      </c>
      <c r="K20" s="226" t="s">
        <v>19</v>
      </c>
      <c r="L20" s="226">
        <f>L3</f>
        <v>1</v>
      </c>
      <c r="M20" s="228" t="str">
        <f t="shared" si="1"/>
        <v>570539-R2</v>
      </c>
      <c r="N20" s="229">
        <v>1</v>
      </c>
      <c r="O20" s="229"/>
    </row>
    <row r="21" spans="1:15" x14ac:dyDescent="0.2">
      <c r="A21" s="226">
        <v>20</v>
      </c>
      <c r="B21" s="226" t="str">
        <f t="shared" si="0"/>
        <v>OPCIONALTANK SIZE 8LFM-2001-2</v>
      </c>
      <c r="C21" s="226">
        <f t="shared" ref="C21" si="4">C20</f>
        <v>1</v>
      </c>
      <c r="D21" s="226" t="s">
        <v>43</v>
      </c>
      <c r="E21" s="226" t="s">
        <v>14</v>
      </c>
      <c r="F21" s="226" t="s">
        <v>15</v>
      </c>
      <c r="G21" s="226">
        <f t="shared" ref="G21:G24" si="5">+G20+1</f>
        <v>2</v>
      </c>
      <c r="H21" s="226" t="s">
        <v>16</v>
      </c>
      <c r="I21" s="227">
        <v>437900</v>
      </c>
      <c r="J21" s="226" t="s">
        <v>40</v>
      </c>
      <c r="K21" s="226" t="s">
        <v>19</v>
      </c>
      <c r="L21" s="226">
        <v>1</v>
      </c>
      <c r="M21" s="228">
        <f t="shared" si="1"/>
        <v>437900</v>
      </c>
      <c r="N21" s="229">
        <v>1</v>
      </c>
      <c r="O21" s="229"/>
    </row>
    <row r="22" spans="1:15" x14ac:dyDescent="0.2">
      <c r="A22" s="226">
        <v>21</v>
      </c>
      <c r="B22" s="226" t="str">
        <f t="shared" si="0"/>
        <v>OPCIONALTANK SIZE 8LFM-2001-3</v>
      </c>
      <c r="C22" s="226">
        <f t="shared" ref="C22" si="6">C20</f>
        <v>1</v>
      </c>
      <c r="D22" s="226" t="s">
        <v>43</v>
      </c>
      <c r="E22" s="226" t="s">
        <v>14</v>
      </c>
      <c r="F22" s="226" t="s">
        <v>15</v>
      </c>
      <c r="G22" s="226">
        <f t="shared" si="5"/>
        <v>3</v>
      </c>
      <c r="H22" s="226" t="s">
        <v>16</v>
      </c>
      <c r="I22" s="227">
        <v>73597</v>
      </c>
      <c r="J22" s="226" t="s">
        <v>41</v>
      </c>
      <c r="K22" s="226" t="s">
        <v>19</v>
      </c>
      <c r="L22" s="226">
        <v>1</v>
      </c>
      <c r="M22" s="228">
        <f t="shared" si="1"/>
        <v>73597</v>
      </c>
      <c r="N22" s="229">
        <v>1</v>
      </c>
      <c r="O22" s="229"/>
    </row>
    <row r="23" spans="1:15" x14ac:dyDescent="0.2">
      <c r="A23" s="226">
        <v>22</v>
      </c>
      <c r="B23" s="226" t="str">
        <f t="shared" si="0"/>
        <v>OPCIONALTANK SIZE 8LFM-2001-4</v>
      </c>
      <c r="C23" s="226">
        <f>C20</f>
        <v>1</v>
      </c>
      <c r="D23" s="226" t="s">
        <v>43</v>
      </c>
      <c r="E23" s="226" t="s">
        <v>14</v>
      </c>
      <c r="F23" s="226" t="s">
        <v>15</v>
      </c>
      <c r="G23" s="226">
        <f t="shared" si="5"/>
        <v>4</v>
      </c>
      <c r="H23" s="226" t="s">
        <v>16</v>
      </c>
      <c r="I23" s="227">
        <v>32338</v>
      </c>
      <c r="J23" s="226" t="s">
        <v>42</v>
      </c>
      <c r="K23" s="226" t="s">
        <v>19</v>
      </c>
      <c r="L23" s="226">
        <v>1</v>
      </c>
      <c r="M23" s="228">
        <f t="shared" si="1"/>
        <v>32338</v>
      </c>
      <c r="N23" s="229">
        <v>1</v>
      </c>
      <c r="O23" s="229"/>
    </row>
    <row r="24" spans="1:15" x14ac:dyDescent="0.2">
      <c r="A24" s="226">
        <v>23</v>
      </c>
      <c r="B24" s="226" t="str">
        <f t="shared" si="0"/>
        <v>OPCIONALTANK SIZE 8LFM-2001-5</v>
      </c>
      <c r="C24" s="226">
        <f>C23</f>
        <v>1</v>
      </c>
      <c r="D24" s="226" t="s">
        <v>43</v>
      </c>
      <c r="E24" s="226" t="s">
        <v>14</v>
      </c>
      <c r="F24" s="226" t="s">
        <v>15</v>
      </c>
      <c r="G24" s="226">
        <f t="shared" si="5"/>
        <v>5</v>
      </c>
      <c r="H24" s="226" t="s">
        <v>16</v>
      </c>
      <c r="I24" s="227">
        <v>76498</v>
      </c>
      <c r="J24" s="226" t="s">
        <v>46</v>
      </c>
      <c r="K24" s="226" t="s">
        <v>19</v>
      </c>
      <c r="L24" s="226">
        <v>1</v>
      </c>
      <c r="M24" s="228">
        <f t="shared" si="1"/>
        <v>76498</v>
      </c>
      <c r="N24" s="229">
        <v>1</v>
      </c>
      <c r="O24" s="229"/>
    </row>
    <row r="25" spans="1:15" x14ac:dyDescent="0.2">
      <c r="A25" s="226">
        <v>24</v>
      </c>
      <c r="B25" s="226" t="str">
        <f t="shared" si="0"/>
        <v>-</v>
      </c>
      <c r="M25" s="228">
        <f t="shared" si="1"/>
        <v>0</v>
      </c>
      <c r="N25" s="229">
        <v>1</v>
      </c>
      <c r="O25" s="229"/>
    </row>
    <row r="26" spans="1:15" x14ac:dyDescent="0.2">
      <c r="A26" s="226">
        <v>25</v>
      </c>
      <c r="B26" s="226" t="str">
        <f t="shared" si="0"/>
        <v>SISTEMATANK SIZE 16LFM-2001-1</v>
      </c>
      <c r="C26" s="226">
        <f>L26</f>
        <v>1</v>
      </c>
      <c r="D26" s="226" t="s">
        <v>13</v>
      </c>
      <c r="E26" s="226" t="s">
        <v>47</v>
      </c>
      <c r="F26" s="226" t="s">
        <v>15</v>
      </c>
      <c r="G26" s="226">
        <v>1</v>
      </c>
      <c r="H26" s="226" t="s">
        <v>16</v>
      </c>
      <c r="I26" s="227" t="s">
        <v>17</v>
      </c>
      <c r="J26" s="226" t="s">
        <v>48</v>
      </c>
      <c r="K26" s="226" t="s">
        <v>19</v>
      </c>
      <c r="L26" s="226">
        <v>1</v>
      </c>
      <c r="M26" s="228" t="s">
        <v>49</v>
      </c>
      <c r="N26" s="229">
        <v>1</v>
      </c>
      <c r="O26" s="229"/>
    </row>
    <row r="27" spans="1:15" x14ac:dyDescent="0.2">
      <c r="A27" s="226">
        <v>26</v>
      </c>
      <c r="B27" s="226" t="str">
        <f t="shared" si="0"/>
        <v>SISTEMATANK SIZE 16LFM-2001-2</v>
      </c>
      <c r="C27" s="226">
        <f>C26</f>
        <v>1</v>
      </c>
      <c r="D27" s="226" t="s">
        <v>13</v>
      </c>
      <c r="E27" s="226" t="s">
        <v>47</v>
      </c>
      <c r="F27" s="226" t="s">
        <v>15</v>
      </c>
      <c r="G27" s="226">
        <f t="shared" ref="G27:G42" si="7">+G26+1</f>
        <v>2</v>
      </c>
      <c r="H27" s="226" t="s">
        <v>16</v>
      </c>
      <c r="I27" s="227">
        <v>445733</v>
      </c>
      <c r="J27" s="226" t="s">
        <v>50</v>
      </c>
      <c r="K27" s="226" t="s">
        <v>19</v>
      </c>
      <c r="L27" s="226">
        <v>1</v>
      </c>
      <c r="M27" s="228">
        <f t="shared" si="1"/>
        <v>445733</v>
      </c>
      <c r="N27" s="229">
        <v>1</v>
      </c>
      <c r="O27" s="229"/>
    </row>
    <row r="28" spans="1:15" x14ac:dyDescent="0.2">
      <c r="A28" s="226">
        <v>27</v>
      </c>
      <c r="B28" s="226" t="str">
        <f t="shared" si="0"/>
        <v>SISTEMATANK SIZE 16LFM-2001-3</v>
      </c>
      <c r="C28" s="226">
        <f t="shared" ref="C28:C42" si="8">C27</f>
        <v>1</v>
      </c>
      <c r="D28" s="226" t="s">
        <v>13</v>
      </c>
      <c r="E28" s="226" t="s">
        <v>47</v>
      </c>
      <c r="F28" s="226" t="s">
        <v>15</v>
      </c>
      <c r="G28" s="226">
        <f t="shared" si="7"/>
        <v>3</v>
      </c>
      <c r="H28" s="226" t="s">
        <v>16</v>
      </c>
      <c r="I28" s="227" t="s">
        <v>22</v>
      </c>
      <c r="J28" s="226" t="s">
        <v>23</v>
      </c>
      <c r="K28" s="226" t="s">
        <v>19</v>
      </c>
      <c r="L28" s="230">
        <f>'COT AGENTES'!$H$5</f>
        <v>2</v>
      </c>
      <c r="M28" s="228">
        <v>453646</v>
      </c>
      <c r="N28" s="229">
        <v>1</v>
      </c>
      <c r="O28" s="229"/>
    </row>
    <row r="29" spans="1:15" x14ac:dyDescent="0.2">
      <c r="A29" s="226">
        <v>28</v>
      </c>
      <c r="B29" s="226" t="str">
        <f t="shared" si="0"/>
        <v>SISTEMATANK SIZE 16LFM-2001-4</v>
      </c>
      <c r="C29" s="226">
        <f t="shared" si="8"/>
        <v>1</v>
      </c>
      <c r="D29" s="226" t="s">
        <v>13</v>
      </c>
      <c r="E29" s="226" t="s">
        <v>47</v>
      </c>
      <c r="F29" s="226" t="s">
        <v>15</v>
      </c>
      <c r="G29" s="226">
        <f t="shared" si="7"/>
        <v>4</v>
      </c>
      <c r="H29" s="226" t="s">
        <v>16</v>
      </c>
      <c r="I29" s="227">
        <v>570055</v>
      </c>
      <c r="J29" s="226" t="s">
        <v>24</v>
      </c>
      <c r="K29" s="226" t="s">
        <v>19</v>
      </c>
      <c r="L29" s="226">
        <v>1</v>
      </c>
      <c r="M29" s="228">
        <f t="shared" si="1"/>
        <v>570055</v>
      </c>
      <c r="N29" s="229">
        <v>1</v>
      </c>
      <c r="O29" s="229"/>
    </row>
    <row r="30" spans="1:15" x14ac:dyDescent="0.2">
      <c r="A30" s="226">
        <v>29</v>
      </c>
      <c r="B30" s="226" t="str">
        <f t="shared" si="0"/>
        <v>SISTEMATANK SIZE 16LFM-2001-5</v>
      </c>
      <c r="C30" s="226">
        <f t="shared" si="8"/>
        <v>1</v>
      </c>
      <c r="D30" s="226" t="s">
        <v>13</v>
      </c>
      <c r="E30" s="226" t="s">
        <v>47</v>
      </c>
      <c r="F30" s="226" t="s">
        <v>15</v>
      </c>
      <c r="G30" s="226">
        <f t="shared" si="7"/>
        <v>5</v>
      </c>
      <c r="H30" s="226" t="s">
        <v>16</v>
      </c>
      <c r="I30" s="227">
        <v>314205321</v>
      </c>
      <c r="J30" s="226" t="s">
        <v>25</v>
      </c>
      <c r="K30" s="226" t="s">
        <v>19</v>
      </c>
      <c r="L30" s="226">
        <v>1</v>
      </c>
      <c r="M30" s="228">
        <f t="shared" si="1"/>
        <v>314205321</v>
      </c>
      <c r="N30" s="229">
        <v>1</v>
      </c>
      <c r="O30" s="229"/>
    </row>
    <row r="31" spans="1:15" x14ac:dyDescent="0.2">
      <c r="A31" s="226">
        <v>30</v>
      </c>
      <c r="B31" s="226" t="str">
        <f t="shared" si="0"/>
        <v>SISTEMATANK SIZE 16LFM-2001-6</v>
      </c>
      <c r="C31" s="226">
        <f t="shared" si="8"/>
        <v>1</v>
      </c>
      <c r="D31" s="226" t="s">
        <v>13</v>
      </c>
      <c r="E31" s="226" t="s">
        <v>47</v>
      </c>
      <c r="F31" s="226" t="s">
        <v>15</v>
      </c>
      <c r="G31" s="226">
        <f t="shared" si="7"/>
        <v>6</v>
      </c>
      <c r="H31" s="226" t="s">
        <v>16</v>
      </c>
      <c r="I31" s="227">
        <v>570585</v>
      </c>
      <c r="J31" s="226" t="s">
        <v>26</v>
      </c>
      <c r="K31" s="226" t="s">
        <v>19</v>
      </c>
      <c r="L31" s="226">
        <v>1</v>
      </c>
      <c r="M31" s="228">
        <f t="shared" si="1"/>
        <v>570585</v>
      </c>
      <c r="N31" s="229">
        <v>1</v>
      </c>
      <c r="O31" s="229"/>
    </row>
    <row r="32" spans="1:15" x14ac:dyDescent="0.2">
      <c r="A32" s="226">
        <v>31</v>
      </c>
      <c r="B32" s="226" t="str">
        <f t="shared" si="0"/>
        <v>SISTEMATANK SIZE 16LFM-2001-7</v>
      </c>
      <c r="C32" s="226">
        <f t="shared" si="8"/>
        <v>1</v>
      </c>
      <c r="D32" s="226" t="s">
        <v>13</v>
      </c>
      <c r="E32" s="226" t="s">
        <v>47</v>
      </c>
      <c r="F32" s="226" t="s">
        <v>15</v>
      </c>
      <c r="G32" s="226">
        <f t="shared" si="7"/>
        <v>7</v>
      </c>
      <c r="H32" s="226" t="s">
        <v>16</v>
      </c>
      <c r="I32" s="227">
        <v>304205030</v>
      </c>
      <c r="J32" s="226" t="s">
        <v>27</v>
      </c>
      <c r="K32" s="226" t="s">
        <v>19</v>
      </c>
      <c r="L32" s="226">
        <v>1</v>
      </c>
      <c r="M32" s="228">
        <f t="shared" si="1"/>
        <v>304205030</v>
      </c>
      <c r="N32" s="229">
        <v>1</v>
      </c>
      <c r="O32" s="229"/>
    </row>
    <row r="33" spans="1:15" x14ac:dyDescent="0.2">
      <c r="A33" s="226">
        <v>32</v>
      </c>
      <c r="B33" s="226" t="str">
        <f t="shared" si="0"/>
        <v>SISTEMATANK SIZE 16LFM-2001-8</v>
      </c>
      <c r="C33" s="226">
        <f t="shared" si="8"/>
        <v>1</v>
      </c>
      <c r="D33" s="226" t="s">
        <v>13</v>
      </c>
      <c r="E33" s="226" t="s">
        <v>47</v>
      </c>
      <c r="F33" s="226" t="s">
        <v>15</v>
      </c>
      <c r="G33" s="226">
        <f t="shared" si="7"/>
        <v>8</v>
      </c>
      <c r="H33" s="226" t="s">
        <v>16</v>
      </c>
      <c r="I33" s="227" t="s">
        <v>28</v>
      </c>
      <c r="J33" s="226" t="s">
        <v>29</v>
      </c>
      <c r="K33" s="226" t="s">
        <v>19</v>
      </c>
      <c r="L33" s="226">
        <v>1</v>
      </c>
      <c r="M33" s="228" t="str">
        <f t="shared" si="1"/>
        <v>A1638150HY</v>
      </c>
      <c r="N33" s="229">
        <v>1</v>
      </c>
      <c r="O33" s="229"/>
    </row>
    <row r="34" spans="1:15" x14ac:dyDescent="0.2">
      <c r="A34" s="226">
        <v>33</v>
      </c>
      <c r="B34" s="226" t="str">
        <f t="shared" si="0"/>
        <v>SISTEMATANK SIZE 16LFM-2001-9</v>
      </c>
      <c r="C34" s="226">
        <f t="shared" si="8"/>
        <v>1</v>
      </c>
      <c r="D34" s="226" t="s">
        <v>13</v>
      </c>
      <c r="E34" s="226" t="s">
        <v>47</v>
      </c>
      <c r="F34" s="226" t="s">
        <v>15</v>
      </c>
      <c r="G34" s="226">
        <f t="shared" si="7"/>
        <v>9</v>
      </c>
      <c r="H34" s="226" t="s">
        <v>16</v>
      </c>
      <c r="I34" s="227" t="s">
        <v>30</v>
      </c>
      <c r="J34" s="226" t="s">
        <v>31</v>
      </c>
      <c r="K34" s="226" t="s">
        <v>19</v>
      </c>
      <c r="L34" s="226">
        <v>2</v>
      </c>
      <c r="M34" s="228" t="str">
        <f t="shared" si="1"/>
        <v>570085-R2</v>
      </c>
      <c r="N34" s="229">
        <v>1</v>
      </c>
      <c r="O34" s="229"/>
    </row>
    <row r="35" spans="1:15" x14ac:dyDescent="0.2">
      <c r="A35" s="226">
        <v>34</v>
      </c>
      <c r="B35" s="226" t="str">
        <f t="shared" si="0"/>
        <v>SISTEMATANK SIZE 16LFM-2001-10</v>
      </c>
      <c r="C35" s="226">
        <f t="shared" si="8"/>
        <v>1</v>
      </c>
      <c r="D35" s="226" t="s">
        <v>13</v>
      </c>
      <c r="E35" s="226" t="s">
        <v>47</v>
      </c>
      <c r="F35" s="226" t="s">
        <v>15</v>
      </c>
      <c r="G35" s="226">
        <f t="shared" si="7"/>
        <v>10</v>
      </c>
      <c r="H35" s="226" t="s">
        <v>16</v>
      </c>
      <c r="I35" s="227" t="s">
        <v>32</v>
      </c>
      <c r="J35" s="226" t="s">
        <v>33</v>
      </c>
      <c r="K35" s="226" t="s">
        <v>19</v>
      </c>
      <c r="L35" s="230">
        <f>'COT AGENTES'!$M$11</f>
        <v>1</v>
      </c>
      <c r="M35" s="228" t="s">
        <v>51</v>
      </c>
      <c r="N35" s="229">
        <v>1</v>
      </c>
      <c r="O35" s="229"/>
    </row>
    <row r="36" spans="1:15" x14ac:dyDescent="0.2">
      <c r="A36" s="226">
        <v>35</v>
      </c>
      <c r="B36" s="226" t="str">
        <f t="shared" si="0"/>
        <v>SISTEMATANK SIZE 16LFM-2001-11</v>
      </c>
      <c r="C36" s="226">
        <f t="shared" si="8"/>
        <v>1</v>
      </c>
      <c r="D36" s="226" t="s">
        <v>13</v>
      </c>
      <c r="E36" s="226" t="s">
        <v>47</v>
      </c>
      <c r="F36" s="226" t="s">
        <v>15</v>
      </c>
      <c r="G36" s="226">
        <f t="shared" si="7"/>
        <v>11</v>
      </c>
      <c r="H36" s="226" t="s">
        <v>16</v>
      </c>
      <c r="I36" s="227" t="s">
        <v>35</v>
      </c>
      <c r="J36" s="226" t="s">
        <v>36</v>
      </c>
      <c r="K36" s="226" t="s">
        <v>19</v>
      </c>
      <c r="L36" s="226">
        <v>1</v>
      </c>
      <c r="M36" s="228" t="str">
        <f t="shared" si="1"/>
        <v>442927-R2</v>
      </c>
      <c r="N36" s="229">
        <v>1</v>
      </c>
      <c r="O36" s="229"/>
    </row>
    <row r="37" spans="1:15" x14ac:dyDescent="0.2">
      <c r="A37" s="226">
        <v>36</v>
      </c>
      <c r="B37" s="226" t="str">
        <f t="shared" si="0"/>
        <v>SISTEMATANK SIZE 16LFM-2001-12</v>
      </c>
      <c r="C37" s="226">
        <f t="shared" si="8"/>
        <v>1</v>
      </c>
      <c r="D37" s="226" t="s">
        <v>13</v>
      </c>
      <c r="E37" s="226" t="s">
        <v>47</v>
      </c>
      <c r="F37" s="226" t="s">
        <v>15</v>
      </c>
      <c r="G37" s="226">
        <f t="shared" si="7"/>
        <v>12</v>
      </c>
      <c r="H37" s="226" t="s">
        <v>16</v>
      </c>
      <c r="I37" s="227" t="s">
        <v>37</v>
      </c>
      <c r="J37" s="226" t="s">
        <v>38</v>
      </c>
      <c r="K37" s="226" t="s">
        <v>19</v>
      </c>
      <c r="L37" s="226">
        <v>1</v>
      </c>
      <c r="M37" s="228" t="str">
        <f t="shared" si="1"/>
        <v>442928-R2</v>
      </c>
      <c r="N37" s="229">
        <v>1</v>
      </c>
      <c r="O37" s="229"/>
    </row>
    <row r="38" spans="1:15" x14ac:dyDescent="0.2">
      <c r="A38" s="226">
        <v>37</v>
      </c>
      <c r="B38" s="226" t="str">
        <f t="shared" si="0"/>
        <v>SISTEMATANK SIZE 16LFM-2001-13</v>
      </c>
      <c r="C38" s="226">
        <f t="shared" si="8"/>
        <v>1</v>
      </c>
      <c r="D38" s="226" t="s">
        <v>13</v>
      </c>
      <c r="E38" s="226" t="s">
        <v>47</v>
      </c>
      <c r="F38" s="226" t="s">
        <v>15</v>
      </c>
      <c r="G38" s="226">
        <f t="shared" si="7"/>
        <v>13</v>
      </c>
      <c r="H38" s="226" t="s">
        <v>16</v>
      </c>
      <c r="I38" s="227">
        <v>570557</v>
      </c>
      <c r="J38" s="226" t="s">
        <v>39</v>
      </c>
      <c r="K38" s="226" t="s">
        <v>19</v>
      </c>
      <c r="L38" s="226">
        <f>L27</f>
        <v>1</v>
      </c>
      <c r="M38" s="228">
        <f t="shared" si="1"/>
        <v>570557</v>
      </c>
      <c r="N38" s="229">
        <v>1</v>
      </c>
      <c r="O38" s="229"/>
    </row>
    <row r="39" spans="1:15" x14ac:dyDescent="0.2">
      <c r="A39" s="226">
        <v>38</v>
      </c>
      <c r="B39" s="226" t="str">
        <f t="shared" si="0"/>
        <v>SISTEMATANK SIZE 16LFM-2001-14</v>
      </c>
      <c r="C39" s="226">
        <f t="shared" si="8"/>
        <v>1</v>
      </c>
      <c r="D39" s="226" t="s">
        <v>13</v>
      </c>
      <c r="E39" s="226" t="s">
        <v>47</v>
      </c>
      <c r="F39" s="226" t="s">
        <v>15</v>
      </c>
      <c r="G39" s="226">
        <f t="shared" si="7"/>
        <v>14</v>
      </c>
      <c r="M39" s="228">
        <f t="shared" si="1"/>
        <v>0</v>
      </c>
      <c r="N39" s="229">
        <v>1</v>
      </c>
      <c r="O39" s="229"/>
    </row>
    <row r="40" spans="1:15" x14ac:dyDescent="0.2">
      <c r="A40" s="226">
        <v>39</v>
      </c>
      <c r="B40" s="226" t="str">
        <f t="shared" si="0"/>
        <v>SISTEMATANK SIZE 16LFM-2001-15</v>
      </c>
      <c r="C40" s="226">
        <f t="shared" si="8"/>
        <v>1</v>
      </c>
      <c r="D40" s="226" t="s">
        <v>13</v>
      </c>
      <c r="E40" s="226" t="s">
        <v>47</v>
      </c>
      <c r="F40" s="226" t="s">
        <v>15</v>
      </c>
      <c r="G40" s="226">
        <f t="shared" si="7"/>
        <v>15</v>
      </c>
      <c r="H40" s="226" t="s">
        <v>16</v>
      </c>
      <c r="I40" s="227">
        <v>437900</v>
      </c>
      <c r="J40" s="226" t="s">
        <v>40</v>
      </c>
      <c r="K40" s="226" t="s">
        <v>19</v>
      </c>
      <c r="L40" s="226">
        <v>1</v>
      </c>
      <c r="M40" s="228">
        <f t="shared" si="1"/>
        <v>437900</v>
      </c>
      <c r="N40" s="229">
        <v>1</v>
      </c>
      <c r="O40" s="229"/>
    </row>
    <row r="41" spans="1:15" x14ac:dyDescent="0.2">
      <c r="A41" s="226">
        <v>40</v>
      </c>
      <c r="B41" s="226" t="str">
        <f t="shared" si="0"/>
        <v>SISTEMATANK SIZE 16LFM-2001-16</v>
      </c>
      <c r="C41" s="226">
        <f t="shared" si="8"/>
        <v>1</v>
      </c>
      <c r="D41" s="226" t="s">
        <v>13</v>
      </c>
      <c r="E41" s="226" t="s">
        <v>47</v>
      </c>
      <c r="F41" s="226" t="s">
        <v>15</v>
      </c>
      <c r="G41" s="226">
        <f t="shared" si="7"/>
        <v>16</v>
      </c>
      <c r="H41" s="226" t="s">
        <v>16</v>
      </c>
      <c r="I41" s="227">
        <v>73597</v>
      </c>
      <c r="J41" s="226" t="s">
        <v>41</v>
      </c>
      <c r="K41" s="226" t="s">
        <v>19</v>
      </c>
      <c r="L41" s="226">
        <v>1</v>
      </c>
      <c r="M41" s="228">
        <f t="shared" si="1"/>
        <v>73597</v>
      </c>
      <c r="N41" s="229">
        <v>1</v>
      </c>
      <c r="O41" s="229"/>
    </row>
    <row r="42" spans="1:15" x14ac:dyDescent="0.2">
      <c r="A42" s="226">
        <v>41</v>
      </c>
      <c r="B42" s="226" t="str">
        <f t="shared" si="0"/>
        <v>SISTEMATANK SIZE 16LFM-2001-17</v>
      </c>
      <c r="C42" s="226">
        <f t="shared" si="8"/>
        <v>1</v>
      </c>
      <c r="D42" s="226" t="s">
        <v>13</v>
      </c>
      <c r="E42" s="226" t="s">
        <v>47</v>
      </c>
      <c r="F42" s="226" t="s">
        <v>15</v>
      </c>
      <c r="G42" s="226">
        <f t="shared" si="7"/>
        <v>17</v>
      </c>
      <c r="H42" s="226" t="s">
        <v>16</v>
      </c>
      <c r="I42" s="227">
        <v>32338</v>
      </c>
      <c r="J42" s="226" t="s">
        <v>42</v>
      </c>
      <c r="K42" s="226" t="s">
        <v>19</v>
      </c>
      <c r="L42" s="226">
        <v>1</v>
      </c>
      <c r="M42" s="228">
        <f t="shared" si="1"/>
        <v>32338</v>
      </c>
      <c r="N42" s="229">
        <v>1</v>
      </c>
      <c r="O42" s="229"/>
    </row>
    <row r="43" spans="1:15" x14ac:dyDescent="0.2">
      <c r="A43" s="226">
        <v>42</v>
      </c>
      <c r="B43" s="226" t="str">
        <f t="shared" si="0"/>
        <v>-</v>
      </c>
      <c r="M43" s="228">
        <f t="shared" si="1"/>
        <v>0</v>
      </c>
      <c r="N43" s="229">
        <v>1</v>
      </c>
      <c r="O43" s="229"/>
    </row>
    <row r="44" spans="1:15" x14ac:dyDescent="0.2">
      <c r="A44" s="226">
        <v>43</v>
      </c>
      <c r="B44" s="226" t="str">
        <f t="shared" si="0"/>
        <v>OPCIONALTANK SIZE 16LFM-2001-1</v>
      </c>
      <c r="C44" s="226">
        <f>C38</f>
        <v>1</v>
      </c>
      <c r="D44" s="226" t="s">
        <v>43</v>
      </c>
      <c r="E44" s="226" t="s">
        <v>47</v>
      </c>
      <c r="F44" s="226" t="s">
        <v>15</v>
      </c>
      <c r="G44" s="226">
        <v>1</v>
      </c>
      <c r="H44" s="226" t="s">
        <v>16</v>
      </c>
      <c r="I44" s="227" t="s">
        <v>44</v>
      </c>
      <c r="J44" s="226" t="s">
        <v>45</v>
      </c>
      <c r="K44" s="226" t="s">
        <v>19</v>
      </c>
      <c r="L44" s="226">
        <f>L27</f>
        <v>1</v>
      </c>
      <c r="M44" s="228" t="str">
        <f t="shared" si="1"/>
        <v>570539-R2</v>
      </c>
      <c r="N44" s="229">
        <v>1</v>
      </c>
      <c r="O44" s="229"/>
    </row>
    <row r="45" spans="1:15" x14ac:dyDescent="0.2">
      <c r="A45" s="226">
        <v>44</v>
      </c>
      <c r="B45" s="226" t="str">
        <f t="shared" si="0"/>
        <v>OPCIONALTANK SIZE 16LFM-2001-2</v>
      </c>
      <c r="C45" s="226">
        <f t="shared" ref="C45:C48" si="9">C44</f>
        <v>1</v>
      </c>
      <c r="D45" s="226" t="s">
        <v>43</v>
      </c>
      <c r="E45" s="226" t="s">
        <v>47</v>
      </c>
      <c r="F45" s="226" t="s">
        <v>15</v>
      </c>
      <c r="G45" s="226">
        <f t="shared" ref="G45:G48" si="10">+G44+1</f>
        <v>2</v>
      </c>
      <c r="H45" s="226" t="s">
        <v>16</v>
      </c>
      <c r="I45" s="227">
        <v>437900</v>
      </c>
      <c r="J45" s="226" t="s">
        <v>40</v>
      </c>
      <c r="K45" s="226" t="s">
        <v>19</v>
      </c>
      <c r="L45" s="226">
        <v>1</v>
      </c>
      <c r="M45" s="228">
        <f t="shared" si="1"/>
        <v>437900</v>
      </c>
      <c r="N45" s="229">
        <v>1</v>
      </c>
      <c r="O45" s="229"/>
    </row>
    <row r="46" spans="1:15" x14ac:dyDescent="0.2">
      <c r="A46" s="226">
        <v>45</v>
      </c>
      <c r="B46" s="226" t="str">
        <f t="shared" si="0"/>
        <v>OPCIONALTANK SIZE 16LFM-2001-3</v>
      </c>
      <c r="C46" s="226">
        <f t="shared" si="9"/>
        <v>1</v>
      </c>
      <c r="D46" s="226" t="s">
        <v>43</v>
      </c>
      <c r="E46" s="226" t="s">
        <v>47</v>
      </c>
      <c r="F46" s="226" t="s">
        <v>15</v>
      </c>
      <c r="G46" s="226">
        <f t="shared" si="10"/>
        <v>3</v>
      </c>
      <c r="H46" s="226" t="s">
        <v>16</v>
      </c>
      <c r="I46" s="227">
        <v>73597</v>
      </c>
      <c r="J46" s="226" t="s">
        <v>41</v>
      </c>
      <c r="K46" s="226" t="s">
        <v>19</v>
      </c>
      <c r="L46" s="226">
        <v>1</v>
      </c>
      <c r="M46" s="228">
        <f t="shared" si="1"/>
        <v>73597</v>
      </c>
      <c r="N46" s="229">
        <v>1</v>
      </c>
      <c r="O46" s="229"/>
    </row>
    <row r="47" spans="1:15" x14ac:dyDescent="0.2">
      <c r="A47" s="226">
        <v>46</v>
      </c>
      <c r="B47" s="226" t="str">
        <f t="shared" si="0"/>
        <v>OPCIONALTANK SIZE 16LFM-2001-4</v>
      </c>
      <c r="C47" s="226">
        <f t="shared" si="9"/>
        <v>1</v>
      </c>
      <c r="D47" s="226" t="s">
        <v>43</v>
      </c>
      <c r="E47" s="226" t="s">
        <v>47</v>
      </c>
      <c r="F47" s="226" t="s">
        <v>15</v>
      </c>
      <c r="G47" s="226">
        <f t="shared" si="10"/>
        <v>4</v>
      </c>
      <c r="H47" s="226" t="s">
        <v>16</v>
      </c>
      <c r="I47" s="227">
        <v>32338</v>
      </c>
      <c r="J47" s="226" t="s">
        <v>42</v>
      </c>
      <c r="K47" s="226" t="s">
        <v>19</v>
      </c>
      <c r="L47" s="226">
        <v>1</v>
      </c>
      <c r="M47" s="228">
        <f t="shared" si="1"/>
        <v>32338</v>
      </c>
      <c r="N47" s="229">
        <v>1</v>
      </c>
      <c r="O47" s="229"/>
    </row>
    <row r="48" spans="1:15" x14ac:dyDescent="0.2">
      <c r="A48" s="226">
        <v>47</v>
      </c>
      <c r="B48" s="226" t="str">
        <f t="shared" si="0"/>
        <v>OPCIONALTANK SIZE 16LFM-2001-5</v>
      </c>
      <c r="C48" s="226">
        <f t="shared" si="9"/>
        <v>1</v>
      </c>
      <c r="D48" s="226" t="s">
        <v>43</v>
      </c>
      <c r="E48" s="226" t="s">
        <v>47</v>
      </c>
      <c r="F48" s="226" t="s">
        <v>15</v>
      </c>
      <c r="G48" s="226">
        <f t="shared" si="10"/>
        <v>5</v>
      </c>
      <c r="H48" s="226" t="s">
        <v>16</v>
      </c>
      <c r="I48" s="227">
        <v>76498</v>
      </c>
      <c r="J48" s="226" t="s">
        <v>46</v>
      </c>
      <c r="K48" s="226" t="s">
        <v>19</v>
      </c>
      <c r="L48" s="226">
        <v>1</v>
      </c>
      <c r="M48" s="228">
        <f t="shared" si="1"/>
        <v>76498</v>
      </c>
      <c r="N48" s="229">
        <v>1</v>
      </c>
      <c r="O48" s="229"/>
    </row>
    <row r="49" spans="1:15" x14ac:dyDescent="0.2">
      <c r="A49" s="226">
        <v>48</v>
      </c>
      <c r="B49" s="226" t="str">
        <f t="shared" si="0"/>
        <v>-</v>
      </c>
      <c r="M49" s="228">
        <f t="shared" si="1"/>
        <v>0</v>
      </c>
      <c r="N49" s="229">
        <v>1</v>
      </c>
      <c r="O49" s="229"/>
    </row>
    <row r="50" spans="1:15" x14ac:dyDescent="0.2">
      <c r="A50" s="226">
        <v>49</v>
      </c>
      <c r="B50" s="226" t="str">
        <f t="shared" si="0"/>
        <v>SISTEMATANK SIZE 32LFM-2001-1</v>
      </c>
      <c r="C50" s="226">
        <f>L50</f>
        <v>1</v>
      </c>
      <c r="D50" s="226" t="s">
        <v>13</v>
      </c>
      <c r="E50" s="226" t="s">
        <v>52</v>
      </c>
      <c r="F50" s="226" t="s">
        <v>15</v>
      </c>
      <c r="G50" s="226">
        <v>1</v>
      </c>
      <c r="H50" s="226" t="s">
        <v>16</v>
      </c>
      <c r="I50" s="227" t="s">
        <v>17</v>
      </c>
      <c r="J50" s="226" t="s">
        <v>53</v>
      </c>
      <c r="K50" s="226" t="s">
        <v>19</v>
      </c>
      <c r="L50" s="226">
        <v>1</v>
      </c>
      <c r="M50" s="228" t="s">
        <v>54</v>
      </c>
      <c r="N50" s="229">
        <v>1</v>
      </c>
      <c r="O50" s="229"/>
    </row>
    <row r="51" spans="1:15" x14ac:dyDescent="0.2">
      <c r="A51" s="226">
        <v>50</v>
      </c>
      <c r="B51" s="226" t="str">
        <f t="shared" si="0"/>
        <v>SISTEMATANK SIZE 32LFM-2001-2</v>
      </c>
      <c r="C51" s="226">
        <f>C50</f>
        <v>1</v>
      </c>
      <c r="D51" s="226" t="s">
        <v>13</v>
      </c>
      <c r="E51" s="226" t="s">
        <v>52</v>
      </c>
      <c r="F51" s="226" t="s">
        <v>15</v>
      </c>
      <c r="G51" s="226">
        <f t="shared" ref="G51:G66" si="11">+G50+1</f>
        <v>2</v>
      </c>
      <c r="H51" s="226" t="s">
        <v>16</v>
      </c>
      <c r="I51" s="227">
        <v>445734</v>
      </c>
      <c r="J51" s="226" t="s">
        <v>55</v>
      </c>
      <c r="K51" s="226" t="s">
        <v>19</v>
      </c>
      <c r="L51" s="226">
        <v>1</v>
      </c>
      <c r="M51" s="228">
        <f t="shared" si="1"/>
        <v>445734</v>
      </c>
      <c r="N51" s="229">
        <v>1</v>
      </c>
      <c r="O51" s="229"/>
    </row>
    <row r="52" spans="1:15" x14ac:dyDescent="0.2">
      <c r="A52" s="226">
        <v>51</v>
      </c>
      <c r="B52" s="226" t="str">
        <f t="shared" si="0"/>
        <v>SISTEMATANK SIZE 32LFM-2001-3</v>
      </c>
      <c r="C52" s="226">
        <f t="shared" ref="C52:C66" si="12">C51</f>
        <v>1</v>
      </c>
      <c r="D52" s="226" t="s">
        <v>13</v>
      </c>
      <c r="E52" s="226" t="s">
        <v>52</v>
      </c>
      <c r="F52" s="226" t="s">
        <v>15</v>
      </c>
      <c r="G52" s="226">
        <f t="shared" si="11"/>
        <v>3</v>
      </c>
      <c r="H52" s="226" t="s">
        <v>16</v>
      </c>
      <c r="I52" s="227" t="s">
        <v>22</v>
      </c>
      <c r="J52" s="226" t="s">
        <v>23</v>
      </c>
      <c r="K52" s="226" t="s">
        <v>19</v>
      </c>
      <c r="L52" s="230">
        <f>'COT AGENTES'!$H$5</f>
        <v>2</v>
      </c>
      <c r="M52" s="228">
        <v>453646</v>
      </c>
      <c r="N52" s="229">
        <v>1</v>
      </c>
      <c r="O52" s="229"/>
    </row>
    <row r="53" spans="1:15" x14ac:dyDescent="0.2">
      <c r="A53" s="226">
        <v>52</v>
      </c>
      <c r="B53" s="226" t="str">
        <f t="shared" si="0"/>
        <v>SISTEMATANK SIZE 32LFM-2001-4</v>
      </c>
      <c r="C53" s="226">
        <f t="shared" si="12"/>
        <v>1</v>
      </c>
      <c r="D53" s="226" t="s">
        <v>13</v>
      </c>
      <c r="E53" s="226" t="s">
        <v>52</v>
      </c>
      <c r="F53" s="226" t="s">
        <v>15</v>
      </c>
      <c r="G53" s="226">
        <f t="shared" si="11"/>
        <v>4</v>
      </c>
      <c r="H53" s="226" t="s">
        <v>16</v>
      </c>
      <c r="I53" s="227">
        <v>570055</v>
      </c>
      <c r="J53" s="226" t="s">
        <v>24</v>
      </c>
      <c r="K53" s="226" t="s">
        <v>19</v>
      </c>
      <c r="L53" s="226">
        <v>1</v>
      </c>
      <c r="M53" s="228">
        <f t="shared" si="1"/>
        <v>570055</v>
      </c>
      <c r="N53" s="229">
        <v>1</v>
      </c>
      <c r="O53" s="229"/>
    </row>
    <row r="54" spans="1:15" x14ac:dyDescent="0.2">
      <c r="A54" s="226">
        <v>53</v>
      </c>
      <c r="B54" s="226" t="str">
        <f t="shared" si="0"/>
        <v>SISTEMATANK SIZE 32LFM-2001-5</v>
      </c>
      <c r="C54" s="226">
        <f t="shared" si="12"/>
        <v>1</v>
      </c>
      <c r="D54" s="226" t="s">
        <v>13</v>
      </c>
      <c r="E54" s="226" t="s">
        <v>52</v>
      </c>
      <c r="F54" s="226" t="s">
        <v>15</v>
      </c>
      <c r="G54" s="226">
        <f t="shared" si="11"/>
        <v>5</v>
      </c>
      <c r="H54" s="226" t="s">
        <v>16</v>
      </c>
      <c r="I54" s="227">
        <v>314205314</v>
      </c>
      <c r="J54" s="226" t="s">
        <v>56</v>
      </c>
      <c r="K54" s="226" t="s">
        <v>19</v>
      </c>
      <c r="L54" s="226">
        <v>1</v>
      </c>
      <c r="M54" s="228">
        <f t="shared" si="1"/>
        <v>314205314</v>
      </c>
      <c r="N54" s="229">
        <v>1</v>
      </c>
      <c r="O54" s="229"/>
    </row>
    <row r="55" spans="1:15" x14ac:dyDescent="0.2">
      <c r="A55" s="226">
        <v>54</v>
      </c>
      <c r="B55" s="226" t="str">
        <f t="shared" si="0"/>
        <v>SISTEMATANK SIZE 32LFM-2001-6</v>
      </c>
      <c r="C55" s="226">
        <f t="shared" si="12"/>
        <v>1</v>
      </c>
      <c r="D55" s="226" t="s">
        <v>13</v>
      </c>
      <c r="E55" s="226" t="s">
        <v>52</v>
      </c>
      <c r="F55" s="226" t="s">
        <v>15</v>
      </c>
      <c r="G55" s="226">
        <f t="shared" si="11"/>
        <v>6</v>
      </c>
      <c r="H55" s="226" t="s">
        <v>16</v>
      </c>
      <c r="I55" s="227">
        <v>570585</v>
      </c>
      <c r="J55" s="226" t="s">
        <v>26</v>
      </c>
      <c r="K55" s="226" t="s">
        <v>19</v>
      </c>
      <c r="L55" s="226">
        <v>1</v>
      </c>
      <c r="M55" s="228">
        <f t="shared" si="1"/>
        <v>570585</v>
      </c>
      <c r="N55" s="229">
        <v>1</v>
      </c>
      <c r="O55" s="229"/>
    </row>
    <row r="56" spans="1:15" x14ac:dyDescent="0.2">
      <c r="A56" s="226">
        <v>55</v>
      </c>
      <c r="B56" s="226" t="str">
        <f t="shared" si="0"/>
        <v>SISTEMATANK SIZE 32LFM-2001-7</v>
      </c>
      <c r="C56" s="226">
        <f t="shared" si="12"/>
        <v>1</v>
      </c>
      <c r="D56" s="226" t="s">
        <v>13</v>
      </c>
      <c r="E56" s="226" t="s">
        <v>52</v>
      </c>
      <c r="F56" s="226" t="s">
        <v>15</v>
      </c>
      <c r="G56" s="226">
        <f t="shared" si="11"/>
        <v>7</v>
      </c>
      <c r="H56" s="226" t="s">
        <v>16</v>
      </c>
      <c r="I56" s="227">
        <v>304205030</v>
      </c>
      <c r="J56" s="226" t="s">
        <v>27</v>
      </c>
      <c r="K56" s="226" t="s">
        <v>19</v>
      </c>
      <c r="L56" s="226">
        <v>1</v>
      </c>
      <c r="M56" s="228">
        <f t="shared" si="1"/>
        <v>304205030</v>
      </c>
      <c r="N56" s="229">
        <v>1</v>
      </c>
      <c r="O56" s="229"/>
    </row>
    <row r="57" spans="1:15" x14ac:dyDescent="0.2">
      <c r="A57" s="226">
        <v>56</v>
      </c>
      <c r="B57" s="226" t="str">
        <f t="shared" si="0"/>
        <v>SISTEMATANK SIZE 32LFM-2001-8</v>
      </c>
      <c r="C57" s="226">
        <f t="shared" si="12"/>
        <v>1</v>
      </c>
      <c r="D57" s="226" t="s">
        <v>13</v>
      </c>
      <c r="E57" s="226" t="s">
        <v>52</v>
      </c>
      <c r="F57" s="226" t="s">
        <v>15</v>
      </c>
      <c r="G57" s="226">
        <f t="shared" si="11"/>
        <v>8</v>
      </c>
      <c r="H57" s="226" t="s">
        <v>16</v>
      </c>
      <c r="I57" s="227" t="s">
        <v>28</v>
      </c>
      <c r="J57" s="226" t="s">
        <v>29</v>
      </c>
      <c r="K57" s="226" t="s">
        <v>19</v>
      </c>
      <c r="L57" s="226">
        <v>1</v>
      </c>
      <c r="M57" s="228" t="str">
        <f t="shared" si="1"/>
        <v>A1638150HY</v>
      </c>
      <c r="N57" s="229">
        <v>1</v>
      </c>
      <c r="O57" s="229"/>
    </row>
    <row r="58" spans="1:15" x14ac:dyDescent="0.2">
      <c r="A58" s="226">
        <v>57</v>
      </c>
      <c r="B58" s="226" t="str">
        <f t="shared" si="0"/>
        <v>SISTEMATANK SIZE 32LFM-2001-9</v>
      </c>
      <c r="C58" s="226">
        <f t="shared" si="12"/>
        <v>1</v>
      </c>
      <c r="D58" s="226" t="s">
        <v>13</v>
      </c>
      <c r="E58" s="226" t="s">
        <v>52</v>
      </c>
      <c r="F58" s="226" t="s">
        <v>15</v>
      </c>
      <c r="G58" s="226">
        <f t="shared" si="11"/>
        <v>9</v>
      </c>
      <c r="H58" s="226" t="s">
        <v>16</v>
      </c>
      <c r="I58" s="227" t="s">
        <v>30</v>
      </c>
      <c r="J58" s="226" t="s">
        <v>31</v>
      </c>
      <c r="K58" s="226" t="s">
        <v>19</v>
      </c>
      <c r="L58" s="226">
        <v>2</v>
      </c>
      <c r="M58" s="228" t="str">
        <f t="shared" si="1"/>
        <v>570085-R2</v>
      </c>
      <c r="N58" s="229">
        <v>1</v>
      </c>
      <c r="O58" s="229"/>
    </row>
    <row r="59" spans="1:15" x14ac:dyDescent="0.2">
      <c r="A59" s="226">
        <v>58</v>
      </c>
      <c r="B59" s="226" t="str">
        <f t="shared" si="0"/>
        <v>SISTEMATANK SIZE 32LFM-2001-10</v>
      </c>
      <c r="C59" s="226">
        <f t="shared" si="12"/>
        <v>1</v>
      </c>
      <c r="D59" s="226" t="s">
        <v>13</v>
      </c>
      <c r="E59" s="226" t="s">
        <v>52</v>
      </c>
      <c r="F59" s="226" t="s">
        <v>15</v>
      </c>
      <c r="G59" s="226">
        <f t="shared" si="11"/>
        <v>10</v>
      </c>
      <c r="H59" s="226" t="s">
        <v>16</v>
      </c>
      <c r="I59" s="227" t="s">
        <v>32</v>
      </c>
      <c r="J59" s="226" t="s">
        <v>33</v>
      </c>
      <c r="K59" s="226" t="s">
        <v>19</v>
      </c>
      <c r="L59" s="230">
        <f>'COT AGENTES'!$M$11</f>
        <v>1</v>
      </c>
      <c r="M59" s="228" t="s">
        <v>57</v>
      </c>
      <c r="N59" s="229">
        <v>1</v>
      </c>
      <c r="O59" s="229"/>
    </row>
    <row r="60" spans="1:15" x14ac:dyDescent="0.2">
      <c r="A60" s="226">
        <v>59</v>
      </c>
      <c r="B60" s="226" t="str">
        <f t="shared" si="0"/>
        <v>SISTEMATANK SIZE 32LFM-2001-11</v>
      </c>
      <c r="C60" s="226">
        <f t="shared" si="12"/>
        <v>1</v>
      </c>
      <c r="D60" s="226" t="s">
        <v>13</v>
      </c>
      <c r="E60" s="226" t="s">
        <v>52</v>
      </c>
      <c r="F60" s="226" t="s">
        <v>15</v>
      </c>
      <c r="G60" s="226">
        <f t="shared" si="11"/>
        <v>11</v>
      </c>
      <c r="H60" s="226" t="s">
        <v>16</v>
      </c>
      <c r="I60" s="227" t="s">
        <v>35</v>
      </c>
      <c r="J60" s="226" t="s">
        <v>36</v>
      </c>
      <c r="K60" s="226" t="s">
        <v>19</v>
      </c>
      <c r="L60" s="226">
        <v>1</v>
      </c>
      <c r="M60" s="228" t="str">
        <f t="shared" si="1"/>
        <v>442927-R2</v>
      </c>
      <c r="N60" s="229">
        <v>1</v>
      </c>
      <c r="O60" s="229"/>
    </row>
    <row r="61" spans="1:15" x14ac:dyDescent="0.2">
      <c r="A61" s="226">
        <v>60</v>
      </c>
      <c r="B61" s="226" t="str">
        <f t="shared" si="0"/>
        <v>SISTEMATANK SIZE 32LFM-2001-12</v>
      </c>
      <c r="C61" s="226">
        <f t="shared" si="12"/>
        <v>1</v>
      </c>
      <c r="D61" s="226" t="s">
        <v>13</v>
      </c>
      <c r="E61" s="226" t="s">
        <v>52</v>
      </c>
      <c r="F61" s="226" t="s">
        <v>15</v>
      </c>
      <c r="G61" s="226">
        <f t="shared" si="11"/>
        <v>12</v>
      </c>
      <c r="H61" s="226" t="s">
        <v>16</v>
      </c>
      <c r="I61" s="227" t="s">
        <v>37</v>
      </c>
      <c r="J61" s="226" t="s">
        <v>38</v>
      </c>
      <c r="K61" s="226" t="s">
        <v>19</v>
      </c>
      <c r="L61" s="226">
        <v>1</v>
      </c>
      <c r="M61" s="228" t="str">
        <f t="shared" si="1"/>
        <v>442928-R2</v>
      </c>
      <c r="N61" s="229">
        <v>1</v>
      </c>
      <c r="O61" s="229"/>
    </row>
    <row r="62" spans="1:15" x14ac:dyDescent="0.2">
      <c r="A62" s="226">
        <v>61</v>
      </c>
      <c r="B62" s="226" t="str">
        <f t="shared" si="0"/>
        <v>SISTEMATANK SIZE 32LFM-2001-13</v>
      </c>
      <c r="C62" s="226">
        <f t="shared" si="12"/>
        <v>1</v>
      </c>
      <c r="D62" s="226" t="s">
        <v>13</v>
      </c>
      <c r="E62" s="226" t="s">
        <v>52</v>
      </c>
      <c r="F62" s="226" t="s">
        <v>15</v>
      </c>
      <c r="G62" s="226">
        <f t="shared" si="11"/>
        <v>13</v>
      </c>
      <c r="H62" s="226" t="s">
        <v>16</v>
      </c>
      <c r="I62" s="227">
        <v>570557</v>
      </c>
      <c r="J62" s="226" t="s">
        <v>39</v>
      </c>
      <c r="K62" s="226" t="s">
        <v>19</v>
      </c>
      <c r="L62" s="226">
        <v>1</v>
      </c>
      <c r="M62" s="228">
        <f t="shared" si="1"/>
        <v>570557</v>
      </c>
      <c r="N62" s="229">
        <v>1</v>
      </c>
      <c r="O62" s="229"/>
    </row>
    <row r="63" spans="1:15" x14ac:dyDescent="0.2">
      <c r="A63" s="226">
        <v>62</v>
      </c>
      <c r="B63" s="226" t="str">
        <f t="shared" si="0"/>
        <v>SISTEMATANK SIZE 32LFM-2001-14</v>
      </c>
      <c r="C63" s="226">
        <f t="shared" si="12"/>
        <v>1</v>
      </c>
      <c r="D63" s="226" t="s">
        <v>13</v>
      </c>
      <c r="E63" s="226" t="s">
        <v>52</v>
      </c>
      <c r="F63" s="226" t="s">
        <v>15</v>
      </c>
      <c r="G63" s="226">
        <f t="shared" si="11"/>
        <v>14</v>
      </c>
      <c r="M63" s="228">
        <f t="shared" si="1"/>
        <v>0</v>
      </c>
      <c r="N63" s="229">
        <v>1</v>
      </c>
      <c r="O63" s="229"/>
    </row>
    <row r="64" spans="1:15" x14ac:dyDescent="0.2">
      <c r="A64" s="226">
        <v>63</v>
      </c>
      <c r="B64" s="226" t="str">
        <f t="shared" si="0"/>
        <v>SISTEMATANK SIZE 32LFM-2001-15</v>
      </c>
      <c r="C64" s="226">
        <f t="shared" si="12"/>
        <v>1</v>
      </c>
      <c r="D64" s="226" t="s">
        <v>13</v>
      </c>
      <c r="E64" s="226" t="s">
        <v>52</v>
      </c>
      <c r="F64" s="226" t="s">
        <v>15</v>
      </c>
      <c r="G64" s="226">
        <f t="shared" si="11"/>
        <v>15</v>
      </c>
      <c r="H64" s="226" t="s">
        <v>16</v>
      </c>
      <c r="I64" s="227">
        <v>437900</v>
      </c>
      <c r="J64" s="226" t="s">
        <v>40</v>
      </c>
      <c r="K64" s="226" t="s">
        <v>19</v>
      </c>
      <c r="L64" s="226">
        <v>1</v>
      </c>
      <c r="M64" s="228">
        <f t="shared" si="1"/>
        <v>437900</v>
      </c>
      <c r="N64" s="229">
        <v>1</v>
      </c>
      <c r="O64" s="229"/>
    </row>
    <row r="65" spans="1:15" x14ac:dyDescent="0.2">
      <c r="A65" s="226">
        <v>64</v>
      </c>
      <c r="B65" s="226" t="str">
        <f t="shared" si="0"/>
        <v>SISTEMATANK SIZE 32LFM-2001-16</v>
      </c>
      <c r="C65" s="226">
        <f t="shared" si="12"/>
        <v>1</v>
      </c>
      <c r="D65" s="226" t="s">
        <v>13</v>
      </c>
      <c r="E65" s="226" t="s">
        <v>52</v>
      </c>
      <c r="F65" s="226" t="s">
        <v>15</v>
      </c>
      <c r="G65" s="226">
        <f t="shared" si="11"/>
        <v>16</v>
      </c>
      <c r="H65" s="226" t="s">
        <v>16</v>
      </c>
      <c r="I65" s="227">
        <v>73597</v>
      </c>
      <c r="J65" s="226" t="s">
        <v>41</v>
      </c>
      <c r="K65" s="226" t="s">
        <v>19</v>
      </c>
      <c r="L65" s="226">
        <v>1</v>
      </c>
      <c r="M65" s="228">
        <f t="shared" si="1"/>
        <v>73597</v>
      </c>
      <c r="N65" s="229">
        <v>1</v>
      </c>
      <c r="O65" s="229"/>
    </row>
    <row r="66" spans="1:15" x14ac:dyDescent="0.2">
      <c r="A66" s="226">
        <v>65</v>
      </c>
      <c r="B66" s="226" t="str">
        <f t="shared" ref="B66:B130" si="13">D66&amp;E66&amp;F66&amp;C66&amp;"-"&amp;G66&amp;IF(M66&lt;&gt;"",O66,"")</f>
        <v>SISTEMATANK SIZE 32LFM-2001-17</v>
      </c>
      <c r="C66" s="226">
        <f t="shared" si="12"/>
        <v>1</v>
      </c>
      <c r="D66" s="226" t="s">
        <v>13</v>
      </c>
      <c r="E66" s="226" t="s">
        <v>52</v>
      </c>
      <c r="F66" s="226" t="s">
        <v>15</v>
      </c>
      <c r="G66" s="226">
        <f t="shared" si="11"/>
        <v>17</v>
      </c>
      <c r="H66" s="226" t="s">
        <v>16</v>
      </c>
      <c r="I66" s="227">
        <v>32338</v>
      </c>
      <c r="J66" s="226" t="s">
        <v>42</v>
      </c>
      <c r="K66" s="226" t="s">
        <v>19</v>
      </c>
      <c r="L66" s="226">
        <v>1</v>
      </c>
      <c r="M66" s="228">
        <f t="shared" si="1"/>
        <v>32338</v>
      </c>
      <c r="N66" s="229">
        <v>1</v>
      </c>
      <c r="O66" s="229"/>
    </row>
    <row r="67" spans="1:15" x14ac:dyDescent="0.2">
      <c r="A67" s="226">
        <v>66</v>
      </c>
      <c r="B67" s="226" t="str">
        <f t="shared" si="13"/>
        <v>-</v>
      </c>
      <c r="M67" s="228">
        <f t="shared" ref="M67:M131" si="14">I67</f>
        <v>0</v>
      </c>
      <c r="N67" s="229">
        <v>1</v>
      </c>
      <c r="O67" s="229"/>
    </row>
    <row r="68" spans="1:15" x14ac:dyDescent="0.2">
      <c r="A68" s="226">
        <v>67</v>
      </c>
      <c r="B68" s="226" t="str">
        <f t="shared" si="13"/>
        <v>OPCIONALTANK SIZE 32LFM-2001-1</v>
      </c>
      <c r="C68" s="226">
        <f>C62</f>
        <v>1</v>
      </c>
      <c r="D68" s="226" t="s">
        <v>43</v>
      </c>
      <c r="E68" s="226" t="s">
        <v>52</v>
      </c>
      <c r="F68" s="226" t="s">
        <v>15</v>
      </c>
      <c r="G68" s="226">
        <v>1</v>
      </c>
      <c r="H68" s="226" t="s">
        <v>16</v>
      </c>
      <c r="I68" s="227" t="s">
        <v>44</v>
      </c>
      <c r="J68" s="226" t="s">
        <v>45</v>
      </c>
      <c r="K68" s="226" t="s">
        <v>19</v>
      </c>
      <c r="L68" s="226">
        <f>L51</f>
        <v>1</v>
      </c>
      <c r="M68" s="228" t="str">
        <f t="shared" si="14"/>
        <v>570539-R2</v>
      </c>
      <c r="N68" s="229">
        <v>1</v>
      </c>
      <c r="O68" s="229"/>
    </row>
    <row r="69" spans="1:15" x14ac:dyDescent="0.2">
      <c r="A69" s="226">
        <v>68</v>
      </c>
      <c r="B69" s="226" t="str">
        <f t="shared" si="13"/>
        <v>OPCIONALTANK SIZE 32LFM-2001-2</v>
      </c>
      <c r="C69" s="226">
        <f t="shared" ref="C69:C72" si="15">C68</f>
        <v>1</v>
      </c>
      <c r="D69" s="226" t="s">
        <v>43</v>
      </c>
      <c r="E69" s="226" t="s">
        <v>52</v>
      </c>
      <c r="F69" s="226" t="s">
        <v>15</v>
      </c>
      <c r="G69" s="226">
        <f t="shared" ref="G69:G72" si="16">+G68+1</f>
        <v>2</v>
      </c>
      <c r="H69" s="226" t="s">
        <v>16</v>
      </c>
      <c r="I69" s="227">
        <v>437900</v>
      </c>
      <c r="J69" s="226" t="s">
        <v>40</v>
      </c>
      <c r="K69" s="226" t="s">
        <v>19</v>
      </c>
      <c r="L69" s="226">
        <v>1</v>
      </c>
      <c r="M69" s="228">
        <f t="shared" si="14"/>
        <v>437900</v>
      </c>
      <c r="N69" s="229">
        <v>1</v>
      </c>
      <c r="O69" s="229"/>
    </row>
    <row r="70" spans="1:15" x14ac:dyDescent="0.2">
      <c r="A70" s="226">
        <v>69</v>
      </c>
      <c r="B70" s="226" t="str">
        <f t="shared" si="13"/>
        <v>OPCIONALTANK SIZE 32LFM-2001-3</v>
      </c>
      <c r="C70" s="226">
        <f t="shared" si="15"/>
        <v>1</v>
      </c>
      <c r="D70" s="226" t="s">
        <v>43</v>
      </c>
      <c r="E70" s="226" t="s">
        <v>52</v>
      </c>
      <c r="F70" s="226" t="s">
        <v>15</v>
      </c>
      <c r="G70" s="226">
        <f t="shared" si="16"/>
        <v>3</v>
      </c>
      <c r="H70" s="226" t="s">
        <v>16</v>
      </c>
      <c r="I70" s="227">
        <v>73597</v>
      </c>
      <c r="J70" s="226" t="s">
        <v>41</v>
      </c>
      <c r="K70" s="226" t="s">
        <v>19</v>
      </c>
      <c r="L70" s="226">
        <v>1</v>
      </c>
      <c r="M70" s="228">
        <f t="shared" si="14"/>
        <v>73597</v>
      </c>
      <c r="N70" s="229">
        <v>1</v>
      </c>
      <c r="O70" s="229"/>
    </row>
    <row r="71" spans="1:15" x14ac:dyDescent="0.2">
      <c r="A71" s="226">
        <v>70</v>
      </c>
      <c r="B71" s="226" t="str">
        <f t="shared" si="13"/>
        <v>OPCIONALTANK SIZE 32LFM-2001-4</v>
      </c>
      <c r="C71" s="226">
        <f t="shared" si="15"/>
        <v>1</v>
      </c>
      <c r="D71" s="226" t="s">
        <v>43</v>
      </c>
      <c r="E71" s="226" t="s">
        <v>52</v>
      </c>
      <c r="F71" s="226" t="s">
        <v>15</v>
      </c>
      <c r="G71" s="226">
        <f t="shared" si="16"/>
        <v>4</v>
      </c>
      <c r="H71" s="226" t="s">
        <v>16</v>
      </c>
      <c r="I71" s="227">
        <v>32338</v>
      </c>
      <c r="J71" s="226" t="s">
        <v>42</v>
      </c>
      <c r="K71" s="226" t="s">
        <v>19</v>
      </c>
      <c r="L71" s="226">
        <v>1</v>
      </c>
      <c r="M71" s="228">
        <f t="shared" si="14"/>
        <v>32338</v>
      </c>
      <c r="N71" s="229">
        <v>1</v>
      </c>
      <c r="O71" s="229"/>
    </row>
    <row r="72" spans="1:15" x14ac:dyDescent="0.2">
      <c r="A72" s="226">
        <v>71</v>
      </c>
      <c r="B72" s="226" t="str">
        <f t="shared" si="13"/>
        <v>OPCIONALTANK SIZE 32LFM-2001-5</v>
      </c>
      <c r="C72" s="226">
        <f t="shared" si="15"/>
        <v>1</v>
      </c>
      <c r="D72" s="226" t="s">
        <v>43</v>
      </c>
      <c r="E72" s="226" t="s">
        <v>52</v>
      </c>
      <c r="F72" s="226" t="s">
        <v>15</v>
      </c>
      <c r="G72" s="226">
        <f t="shared" si="16"/>
        <v>5</v>
      </c>
      <c r="H72" s="226" t="s">
        <v>16</v>
      </c>
      <c r="I72" s="227">
        <v>76498</v>
      </c>
      <c r="J72" s="226" t="s">
        <v>46</v>
      </c>
      <c r="K72" s="226" t="s">
        <v>19</v>
      </c>
      <c r="L72" s="226">
        <v>1</v>
      </c>
      <c r="M72" s="228">
        <f t="shared" si="14"/>
        <v>76498</v>
      </c>
      <c r="N72" s="229">
        <v>1</v>
      </c>
      <c r="O72" s="229"/>
    </row>
    <row r="73" spans="1:15" x14ac:dyDescent="0.2">
      <c r="A73" s="226">
        <v>72</v>
      </c>
      <c r="B73" s="226" t="str">
        <f t="shared" si="13"/>
        <v>-</v>
      </c>
      <c r="M73" s="228">
        <f t="shared" si="14"/>
        <v>0</v>
      </c>
      <c r="N73" s="229">
        <v>1</v>
      </c>
      <c r="O73" s="229"/>
    </row>
    <row r="74" spans="1:15" x14ac:dyDescent="0.2">
      <c r="A74" s="226">
        <v>73</v>
      </c>
      <c r="B74" s="226" t="str">
        <f t="shared" si="13"/>
        <v>SISTEMATANK SIZE 52LFM-2001-1</v>
      </c>
      <c r="C74" s="226">
        <f>L74</f>
        <v>1</v>
      </c>
      <c r="D74" s="226" t="s">
        <v>13</v>
      </c>
      <c r="E74" s="226" t="s">
        <v>58</v>
      </c>
      <c r="F74" s="226" t="s">
        <v>15</v>
      </c>
      <c r="G74" s="226">
        <v>1</v>
      </c>
      <c r="H74" s="226" t="s">
        <v>16</v>
      </c>
      <c r="I74" s="227" t="s">
        <v>17</v>
      </c>
      <c r="J74" s="226" t="s">
        <v>59</v>
      </c>
      <c r="K74" s="226" t="s">
        <v>19</v>
      </c>
      <c r="L74" s="226">
        <v>1</v>
      </c>
      <c r="M74" s="228" t="s">
        <v>60</v>
      </c>
      <c r="N74" s="229">
        <v>1</v>
      </c>
      <c r="O74" s="229"/>
    </row>
    <row r="75" spans="1:15" x14ac:dyDescent="0.2">
      <c r="A75" s="226">
        <v>74</v>
      </c>
      <c r="B75" s="226" t="str">
        <f t="shared" si="13"/>
        <v>SISTEMATANK SIZE 52LFM-2001-2</v>
      </c>
      <c r="C75" s="226">
        <f>C74</f>
        <v>1</v>
      </c>
      <c r="D75" s="226" t="s">
        <v>13</v>
      </c>
      <c r="E75" s="226" t="s">
        <v>58</v>
      </c>
      <c r="F75" s="226" t="s">
        <v>15</v>
      </c>
      <c r="G75" s="226">
        <f t="shared" ref="G75:G90" si="17">+G74+1</f>
        <v>2</v>
      </c>
      <c r="H75" s="226" t="s">
        <v>16</v>
      </c>
      <c r="I75" s="227">
        <v>445735</v>
      </c>
      <c r="J75" s="226" t="s">
        <v>61</v>
      </c>
      <c r="K75" s="226" t="s">
        <v>19</v>
      </c>
      <c r="L75" s="226">
        <v>1</v>
      </c>
      <c r="M75" s="228">
        <f t="shared" si="14"/>
        <v>445735</v>
      </c>
      <c r="N75" s="229">
        <v>1</v>
      </c>
      <c r="O75" s="229"/>
    </row>
    <row r="76" spans="1:15" x14ac:dyDescent="0.2">
      <c r="A76" s="226">
        <v>75</v>
      </c>
      <c r="B76" s="226" t="str">
        <f t="shared" si="13"/>
        <v>SISTEMATANK SIZE 52LFM-2001-3</v>
      </c>
      <c r="C76" s="226">
        <f t="shared" ref="C76:C90" si="18">C75</f>
        <v>1</v>
      </c>
      <c r="D76" s="226" t="s">
        <v>13</v>
      </c>
      <c r="E76" s="226" t="s">
        <v>58</v>
      </c>
      <c r="F76" s="226" t="s">
        <v>15</v>
      </c>
      <c r="G76" s="226">
        <f t="shared" si="17"/>
        <v>3</v>
      </c>
      <c r="H76" s="226" t="s">
        <v>16</v>
      </c>
      <c r="I76" s="227" t="s">
        <v>22</v>
      </c>
      <c r="J76" s="226" t="s">
        <v>23</v>
      </c>
      <c r="K76" s="226" t="s">
        <v>19</v>
      </c>
      <c r="L76" s="230">
        <f>'COT AGENTES'!$H$5</f>
        <v>2</v>
      </c>
      <c r="M76" s="228">
        <v>453646</v>
      </c>
      <c r="N76" s="229">
        <v>1</v>
      </c>
      <c r="O76" s="229"/>
    </row>
    <row r="77" spans="1:15" x14ac:dyDescent="0.2">
      <c r="A77" s="226">
        <v>76</v>
      </c>
      <c r="B77" s="226" t="str">
        <f t="shared" si="13"/>
        <v>SISTEMATANK SIZE 52LFM-2001-4</v>
      </c>
      <c r="C77" s="226">
        <f t="shared" si="18"/>
        <v>1</v>
      </c>
      <c r="D77" s="226" t="s">
        <v>13</v>
      </c>
      <c r="E77" s="226" t="s">
        <v>58</v>
      </c>
      <c r="F77" s="226" t="s">
        <v>15</v>
      </c>
      <c r="G77" s="226">
        <f t="shared" si="17"/>
        <v>4</v>
      </c>
      <c r="H77" s="226" t="s">
        <v>16</v>
      </c>
      <c r="I77" s="227">
        <v>570055</v>
      </c>
      <c r="J77" s="226" t="s">
        <v>24</v>
      </c>
      <c r="K77" s="226" t="s">
        <v>19</v>
      </c>
      <c r="L77" s="226">
        <v>1</v>
      </c>
      <c r="M77" s="228">
        <f t="shared" si="14"/>
        <v>570055</v>
      </c>
      <c r="N77" s="229">
        <v>1</v>
      </c>
      <c r="O77" s="229"/>
    </row>
    <row r="78" spans="1:15" x14ac:dyDescent="0.2">
      <c r="A78" s="226">
        <v>77</v>
      </c>
      <c r="B78" s="226" t="str">
        <f t="shared" si="13"/>
        <v>SISTEMATANK SIZE 52LFM-2001-5</v>
      </c>
      <c r="C78" s="226">
        <f t="shared" si="18"/>
        <v>1</v>
      </c>
      <c r="D78" s="226" t="s">
        <v>13</v>
      </c>
      <c r="E78" s="226" t="s">
        <v>58</v>
      </c>
      <c r="F78" s="226" t="s">
        <v>15</v>
      </c>
      <c r="G78" s="226">
        <f t="shared" si="17"/>
        <v>5</v>
      </c>
      <c r="H78" s="226" t="s">
        <v>16</v>
      </c>
      <c r="I78" s="227">
        <v>314205321</v>
      </c>
      <c r="J78" s="226" t="s">
        <v>25</v>
      </c>
      <c r="K78" s="226" t="s">
        <v>19</v>
      </c>
      <c r="L78" s="226">
        <v>1</v>
      </c>
      <c r="M78" s="228">
        <f t="shared" si="14"/>
        <v>314205321</v>
      </c>
      <c r="N78" s="229">
        <v>1</v>
      </c>
      <c r="O78" s="229"/>
    </row>
    <row r="79" spans="1:15" x14ac:dyDescent="0.2">
      <c r="A79" s="226">
        <v>78</v>
      </c>
      <c r="B79" s="226" t="str">
        <f t="shared" si="13"/>
        <v>SISTEMATANK SIZE 52LFM-2001-6</v>
      </c>
      <c r="C79" s="226">
        <f t="shared" si="18"/>
        <v>1</v>
      </c>
      <c r="D79" s="226" t="s">
        <v>13</v>
      </c>
      <c r="E79" s="226" t="s">
        <v>58</v>
      </c>
      <c r="F79" s="226" t="s">
        <v>15</v>
      </c>
      <c r="G79" s="226">
        <f t="shared" si="17"/>
        <v>6</v>
      </c>
      <c r="H79" s="226" t="s">
        <v>16</v>
      </c>
      <c r="I79" s="227">
        <v>570585</v>
      </c>
      <c r="J79" s="226" t="s">
        <v>26</v>
      </c>
      <c r="K79" s="226" t="s">
        <v>19</v>
      </c>
      <c r="L79" s="226">
        <v>1</v>
      </c>
      <c r="M79" s="228">
        <f t="shared" si="14"/>
        <v>570585</v>
      </c>
      <c r="N79" s="229">
        <v>1</v>
      </c>
      <c r="O79" s="229"/>
    </row>
    <row r="80" spans="1:15" x14ac:dyDescent="0.2">
      <c r="A80" s="226">
        <v>79</v>
      </c>
      <c r="B80" s="226" t="str">
        <f t="shared" si="13"/>
        <v>SISTEMATANK SIZE 52LFM-2001-7</v>
      </c>
      <c r="C80" s="226">
        <f t="shared" si="18"/>
        <v>1</v>
      </c>
      <c r="D80" s="226" t="s">
        <v>13</v>
      </c>
      <c r="E80" s="226" t="s">
        <v>58</v>
      </c>
      <c r="F80" s="226" t="s">
        <v>15</v>
      </c>
      <c r="G80" s="226">
        <f t="shared" si="17"/>
        <v>7</v>
      </c>
      <c r="H80" s="226" t="s">
        <v>16</v>
      </c>
      <c r="I80" s="227">
        <v>304205030</v>
      </c>
      <c r="J80" s="226" t="s">
        <v>27</v>
      </c>
      <c r="K80" s="226" t="s">
        <v>19</v>
      </c>
      <c r="L80" s="226">
        <v>1</v>
      </c>
      <c r="M80" s="228">
        <f t="shared" si="14"/>
        <v>304205030</v>
      </c>
      <c r="N80" s="229">
        <v>1</v>
      </c>
      <c r="O80" s="229"/>
    </row>
    <row r="81" spans="1:15" x14ac:dyDescent="0.2">
      <c r="A81" s="226">
        <v>80</v>
      </c>
      <c r="B81" s="226" t="str">
        <f t="shared" si="13"/>
        <v>SISTEMATANK SIZE 52LFM-2001-8</v>
      </c>
      <c r="C81" s="226">
        <f t="shared" si="18"/>
        <v>1</v>
      </c>
      <c r="D81" s="226" t="s">
        <v>13</v>
      </c>
      <c r="E81" s="226" t="s">
        <v>58</v>
      </c>
      <c r="F81" s="226" t="s">
        <v>15</v>
      </c>
      <c r="G81" s="226">
        <f t="shared" si="17"/>
        <v>8</v>
      </c>
      <c r="H81" s="226" t="s">
        <v>16</v>
      </c>
      <c r="I81" s="227" t="s">
        <v>28</v>
      </c>
      <c r="J81" s="226" t="s">
        <v>29</v>
      </c>
      <c r="K81" s="226" t="s">
        <v>19</v>
      </c>
      <c r="L81" s="226">
        <v>1</v>
      </c>
      <c r="M81" s="228" t="str">
        <f t="shared" si="14"/>
        <v>A1638150HY</v>
      </c>
      <c r="N81" s="229">
        <v>1</v>
      </c>
      <c r="O81" s="229"/>
    </row>
    <row r="82" spans="1:15" x14ac:dyDescent="0.2">
      <c r="A82" s="226">
        <v>81</v>
      </c>
      <c r="B82" s="226" t="str">
        <f t="shared" si="13"/>
        <v>SISTEMATANK SIZE 52LFM-2001-9</v>
      </c>
      <c r="C82" s="226">
        <f t="shared" si="18"/>
        <v>1</v>
      </c>
      <c r="D82" s="226" t="s">
        <v>13</v>
      </c>
      <c r="E82" s="226" t="s">
        <v>58</v>
      </c>
      <c r="F82" s="226" t="s">
        <v>15</v>
      </c>
      <c r="G82" s="226">
        <f t="shared" si="17"/>
        <v>9</v>
      </c>
      <c r="H82" s="226" t="s">
        <v>16</v>
      </c>
      <c r="I82" s="227" t="s">
        <v>62</v>
      </c>
      <c r="J82" s="226" t="s">
        <v>63</v>
      </c>
      <c r="K82" s="226" t="s">
        <v>19</v>
      </c>
      <c r="L82" s="226">
        <v>2</v>
      </c>
      <c r="M82" s="228" t="str">
        <f t="shared" si="14"/>
        <v>570092-R2</v>
      </c>
      <c r="N82" s="229">
        <v>1</v>
      </c>
      <c r="O82" s="229"/>
    </row>
    <row r="83" spans="1:15" x14ac:dyDescent="0.2">
      <c r="A83" s="226">
        <v>82</v>
      </c>
      <c r="B83" s="226" t="str">
        <f t="shared" si="13"/>
        <v>SISTEMATANK SIZE 52LFM-2001-10</v>
      </c>
      <c r="C83" s="226">
        <f t="shared" si="18"/>
        <v>1</v>
      </c>
      <c r="D83" s="226" t="s">
        <v>13</v>
      </c>
      <c r="E83" s="226" t="s">
        <v>58</v>
      </c>
      <c r="F83" s="226" t="s">
        <v>15</v>
      </c>
      <c r="G83" s="226">
        <f t="shared" si="17"/>
        <v>10</v>
      </c>
      <c r="H83" s="226" t="s">
        <v>16</v>
      </c>
      <c r="I83" s="227" t="s">
        <v>32</v>
      </c>
      <c r="J83" s="226" t="s">
        <v>33</v>
      </c>
      <c r="K83" s="226" t="s">
        <v>19</v>
      </c>
      <c r="L83" s="230">
        <f>'COT AGENTES'!$M$11</f>
        <v>1</v>
      </c>
      <c r="M83" s="228" t="s">
        <v>64</v>
      </c>
      <c r="N83" s="229">
        <v>1</v>
      </c>
      <c r="O83" s="229"/>
    </row>
    <row r="84" spans="1:15" x14ac:dyDescent="0.2">
      <c r="A84" s="226">
        <v>83</v>
      </c>
      <c r="B84" s="226" t="str">
        <f t="shared" si="13"/>
        <v>SISTEMATANK SIZE 52LFM-2001-11</v>
      </c>
      <c r="C84" s="226">
        <f t="shared" si="18"/>
        <v>1</v>
      </c>
      <c r="D84" s="226" t="s">
        <v>13</v>
      </c>
      <c r="E84" s="226" t="s">
        <v>58</v>
      </c>
      <c r="F84" s="226" t="s">
        <v>15</v>
      </c>
      <c r="G84" s="226">
        <f t="shared" si="17"/>
        <v>11</v>
      </c>
      <c r="H84" s="226" t="s">
        <v>16</v>
      </c>
      <c r="I84" s="227" t="s">
        <v>35</v>
      </c>
      <c r="J84" s="226" t="s">
        <v>36</v>
      </c>
      <c r="K84" s="226" t="s">
        <v>19</v>
      </c>
      <c r="L84" s="226">
        <v>1</v>
      </c>
      <c r="M84" s="228" t="str">
        <f t="shared" si="14"/>
        <v>442927-R2</v>
      </c>
      <c r="N84" s="229">
        <v>1</v>
      </c>
      <c r="O84" s="229"/>
    </row>
    <row r="85" spans="1:15" x14ac:dyDescent="0.2">
      <c r="A85" s="226">
        <v>84</v>
      </c>
      <c r="B85" s="226" t="str">
        <f t="shared" si="13"/>
        <v>SISTEMATANK SIZE 52LFM-2001-12</v>
      </c>
      <c r="C85" s="226">
        <f t="shared" si="18"/>
        <v>1</v>
      </c>
      <c r="D85" s="226" t="s">
        <v>13</v>
      </c>
      <c r="E85" s="226" t="s">
        <v>58</v>
      </c>
      <c r="F85" s="226" t="s">
        <v>15</v>
      </c>
      <c r="G85" s="226">
        <f t="shared" si="17"/>
        <v>12</v>
      </c>
      <c r="H85" s="226" t="s">
        <v>16</v>
      </c>
      <c r="I85" s="227" t="s">
        <v>37</v>
      </c>
      <c r="J85" s="226" t="s">
        <v>38</v>
      </c>
      <c r="K85" s="226" t="s">
        <v>19</v>
      </c>
      <c r="L85" s="226">
        <v>1</v>
      </c>
      <c r="M85" s="228" t="str">
        <f t="shared" si="14"/>
        <v>442928-R2</v>
      </c>
      <c r="N85" s="229">
        <v>1</v>
      </c>
      <c r="O85" s="229"/>
    </row>
    <row r="86" spans="1:15" x14ac:dyDescent="0.2">
      <c r="A86" s="226">
        <v>85</v>
      </c>
      <c r="B86" s="226" t="str">
        <f t="shared" si="13"/>
        <v>SISTEMATANK SIZE 52LFM-2001-13</v>
      </c>
      <c r="C86" s="226">
        <f t="shared" si="18"/>
        <v>1</v>
      </c>
      <c r="D86" s="226" t="s">
        <v>13</v>
      </c>
      <c r="E86" s="226" t="s">
        <v>58</v>
      </c>
      <c r="F86" s="226" t="s">
        <v>15</v>
      </c>
      <c r="G86" s="226">
        <f t="shared" si="17"/>
        <v>13</v>
      </c>
      <c r="H86" s="226" t="s">
        <v>16</v>
      </c>
      <c r="I86" s="227">
        <v>570558</v>
      </c>
      <c r="J86" s="226" t="s">
        <v>65</v>
      </c>
      <c r="K86" s="226" t="s">
        <v>19</v>
      </c>
      <c r="L86" s="226">
        <v>1</v>
      </c>
      <c r="M86" s="228">
        <f t="shared" si="14"/>
        <v>570558</v>
      </c>
      <c r="N86" s="229">
        <v>1</v>
      </c>
      <c r="O86" s="229"/>
    </row>
    <row r="87" spans="1:15" x14ac:dyDescent="0.2">
      <c r="A87" s="226">
        <v>86</v>
      </c>
      <c r="B87" s="226" t="str">
        <f t="shared" si="13"/>
        <v>SISTEMATANK SIZE 52LFM-2001-14</v>
      </c>
      <c r="C87" s="226">
        <f t="shared" si="18"/>
        <v>1</v>
      </c>
      <c r="D87" s="226" t="s">
        <v>13</v>
      </c>
      <c r="E87" s="226" t="s">
        <v>58</v>
      </c>
      <c r="F87" s="226" t="s">
        <v>15</v>
      </c>
      <c r="G87" s="226">
        <f t="shared" si="17"/>
        <v>14</v>
      </c>
      <c r="M87" s="228">
        <f t="shared" si="14"/>
        <v>0</v>
      </c>
      <c r="N87" s="229">
        <v>1</v>
      </c>
      <c r="O87" s="229"/>
    </row>
    <row r="88" spans="1:15" x14ac:dyDescent="0.2">
      <c r="A88" s="226">
        <v>87</v>
      </c>
      <c r="B88" s="226" t="str">
        <f t="shared" si="13"/>
        <v>SISTEMATANK SIZE 52LFM-2001-15</v>
      </c>
      <c r="C88" s="226">
        <f t="shared" si="18"/>
        <v>1</v>
      </c>
      <c r="D88" s="226" t="s">
        <v>13</v>
      </c>
      <c r="E88" s="226" t="s">
        <v>58</v>
      </c>
      <c r="F88" s="226" t="s">
        <v>15</v>
      </c>
      <c r="G88" s="226">
        <f t="shared" si="17"/>
        <v>15</v>
      </c>
      <c r="H88" s="226" t="s">
        <v>16</v>
      </c>
      <c r="I88" s="227">
        <v>437900</v>
      </c>
      <c r="J88" s="226" t="s">
        <v>40</v>
      </c>
      <c r="K88" s="226" t="s">
        <v>19</v>
      </c>
      <c r="L88" s="226">
        <v>1</v>
      </c>
      <c r="M88" s="228">
        <f t="shared" si="14"/>
        <v>437900</v>
      </c>
      <c r="N88" s="229">
        <v>1</v>
      </c>
      <c r="O88" s="229"/>
    </row>
    <row r="89" spans="1:15" x14ac:dyDescent="0.2">
      <c r="A89" s="226">
        <v>88</v>
      </c>
      <c r="B89" s="226" t="str">
        <f t="shared" si="13"/>
        <v>SISTEMATANK SIZE 52LFM-2001-16</v>
      </c>
      <c r="C89" s="226">
        <f t="shared" si="18"/>
        <v>1</v>
      </c>
      <c r="D89" s="226" t="s">
        <v>13</v>
      </c>
      <c r="E89" s="226" t="s">
        <v>58</v>
      </c>
      <c r="F89" s="226" t="s">
        <v>15</v>
      </c>
      <c r="G89" s="226">
        <f t="shared" si="17"/>
        <v>16</v>
      </c>
      <c r="H89" s="226" t="s">
        <v>16</v>
      </c>
      <c r="I89" s="227">
        <v>415142</v>
      </c>
      <c r="J89" s="226" t="s">
        <v>66</v>
      </c>
      <c r="K89" s="226" t="s">
        <v>19</v>
      </c>
      <c r="L89" s="226">
        <v>1</v>
      </c>
      <c r="M89" s="228">
        <f t="shared" si="14"/>
        <v>415142</v>
      </c>
      <c r="N89" s="229">
        <v>1</v>
      </c>
      <c r="O89" s="229"/>
    </row>
    <row r="90" spans="1:15" x14ac:dyDescent="0.2">
      <c r="A90" s="226">
        <v>89</v>
      </c>
      <c r="B90" s="226" t="str">
        <f t="shared" si="13"/>
        <v>SISTEMATANK SIZE 52LFM-2001-17</v>
      </c>
      <c r="C90" s="226">
        <f t="shared" si="18"/>
        <v>1</v>
      </c>
      <c r="D90" s="226" t="s">
        <v>13</v>
      </c>
      <c r="E90" s="226" t="s">
        <v>58</v>
      </c>
      <c r="F90" s="226" t="s">
        <v>15</v>
      </c>
      <c r="G90" s="226">
        <f t="shared" si="17"/>
        <v>17</v>
      </c>
      <c r="H90" s="226" t="s">
        <v>16</v>
      </c>
      <c r="I90" s="227">
        <v>32338</v>
      </c>
      <c r="J90" s="226" t="s">
        <v>42</v>
      </c>
      <c r="K90" s="226" t="s">
        <v>19</v>
      </c>
      <c r="L90" s="226">
        <v>1</v>
      </c>
      <c r="M90" s="228">
        <f t="shared" si="14"/>
        <v>32338</v>
      </c>
      <c r="N90" s="229">
        <v>1</v>
      </c>
      <c r="O90" s="229"/>
    </row>
    <row r="91" spans="1:15" x14ac:dyDescent="0.2">
      <c r="A91" s="226">
        <v>90</v>
      </c>
      <c r="B91" s="226" t="str">
        <f t="shared" si="13"/>
        <v>-</v>
      </c>
      <c r="M91" s="228">
        <f t="shared" si="14"/>
        <v>0</v>
      </c>
      <c r="N91" s="229">
        <v>1</v>
      </c>
      <c r="O91" s="229"/>
    </row>
    <row r="92" spans="1:15" x14ac:dyDescent="0.2">
      <c r="A92" s="226">
        <v>91</v>
      </c>
      <c r="B92" s="226" t="str">
        <f t="shared" si="13"/>
        <v>OPCIONALTANK SIZE 52LFM-2001-1</v>
      </c>
      <c r="C92" s="226">
        <f>C86</f>
        <v>1</v>
      </c>
      <c r="D92" s="226" t="s">
        <v>43</v>
      </c>
      <c r="E92" s="226" t="s">
        <v>58</v>
      </c>
      <c r="F92" s="226" t="s">
        <v>15</v>
      </c>
      <c r="G92" s="226">
        <v>1</v>
      </c>
      <c r="H92" s="226" t="s">
        <v>16</v>
      </c>
      <c r="I92" s="227" t="s">
        <v>67</v>
      </c>
      <c r="J92" s="226" t="s">
        <v>68</v>
      </c>
      <c r="K92" s="226" t="s">
        <v>19</v>
      </c>
      <c r="L92" s="226">
        <f>L75</f>
        <v>1</v>
      </c>
      <c r="M92" s="228" t="str">
        <f t="shared" si="14"/>
        <v>570538-R2</v>
      </c>
      <c r="N92" s="229">
        <v>1</v>
      </c>
      <c r="O92" s="229"/>
    </row>
    <row r="93" spans="1:15" x14ac:dyDescent="0.2">
      <c r="A93" s="226">
        <v>92</v>
      </c>
      <c r="B93" s="226" t="str">
        <f t="shared" si="13"/>
        <v>OPCIONALTANK SIZE 52LFM-2001-2</v>
      </c>
      <c r="C93" s="226">
        <f t="shared" ref="C93:C96" si="19">C92</f>
        <v>1</v>
      </c>
      <c r="D93" s="226" t="s">
        <v>43</v>
      </c>
      <c r="E93" s="226" t="s">
        <v>58</v>
      </c>
      <c r="F93" s="226" t="s">
        <v>15</v>
      </c>
      <c r="G93" s="226">
        <f t="shared" ref="G93:G96" si="20">+G92+1</f>
        <v>2</v>
      </c>
      <c r="H93" s="226" t="s">
        <v>16</v>
      </c>
      <c r="I93" s="227">
        <v>437900</v>
      </c>
      <c r="J93" s="226" t="s">
        <v>40</v>
      </c>
      <c r="K93" s="226" t="s">
        <v>19</v>
      </c>
      <c r="L93" s="226">
        <v>1</v>
      </c>
      <c r="M93" s="228">
        <f t="shared" si="14"/>
        <v>437900</v>
      </c>
      <c r="N93" s="229">
        <v>1</v>
      </c>
      <c r="O93" s="229"/>
    </row>
    <row r="94" spans="1:15" x14ac:dyDescent="0.2">
      <c r="A94" s="226">
        <v>93</v>
      </c>
      <c r="B94" s="226" t="str">
        <f t="shared" si="13"/>
        <v>OPCIONALTANK SIZE 52LFM-2001-3</v>
      </c>
      <c r="C94" s="226">
        <f t="shared" si="19"/>
        <v>1</v>
      </c>
      <c r="D94" s="226" t="s">
        <v>43</v>
      </c>
      <c r="E94" s="226" t="s">
        <v>58</v>
      </c>
      <c r="F94" s="226" t="s">
        <v>15</v>
      </c>
      <c r="G94" s="226">
        <f t="shared" si="20"/>
        <v>3</v>
      </c>
      <c r="H94" s="226" t="s">
        <v>16</v>
      </c>
      <c r="I94" s="227">
        <v>415142</v>
      </c>
      <c r="J94" s="226" t="s">
        <v>66</v>
      </c>
      <c r="K94" s="226" t="s">
        <v>19</v>
      </c>
      <c r="L94" s="226">
        <v>1</v>
      </c>
      <c r="M94" s="228">
        <f t="shared" si="14"/>
        <v>415142</v>
      </c>
      <c r="N94" s="229">
        <v>1</v>
      </c>
      <c r="O94" s="229"/>
    </row>
    <row r="95" spans="1:15" x14ac:dyDescent="0.2">
      <c r="A95" s="226">
        <v>94</v>
      </c>
      <c r="B95" s="226" t="str">
        <f t="shared" si="13"/>
        <v>OPCIONALTANK SIZE 52LFM-2001-4</v>
      </c>
      <c r="C95" s="226">
        <f t="shared" si="19"/>
        <v>1</v>
      </c>
      <c r="D95" s="226" t="s">
        <v>43</v>
      </c>
      <c r="E95" s="226" t="s">
        <v>58</v>
      </c>
      <c r="F95" s="226" t="s">
        <v>15</v>
      </c>
      <c r="G95" s="226">
        <f t="shared" si="20"/>
        <v>4</v>
      </c>
      <c r="H95" s="226" t="s">
        <v>16</v>
      </c>
      <c r="I95" s="227">
        <v>32338</v>
      </c>
      <c r="J95" s="226" t="s">
        <v>42</v>
      </c>
      <c r="K95" s="226" t="s">
        <v>19</v>
      </c>
      <c r="L95" s="226">
        <v>1</v>
      </c>
      <c r="M95" s="228">
        <f t="shared" si="14"/>
        <v>32338</v>
      </c>
      <c r="N95" s="229">
        <v>1</v>
      </c>
      <c r="O95" s="229"/>
    </row>
    <row r="96" spans="1:15" x14ac:dyDescent="0.2">
      <c r="A96" s="226">
        <v>95</v>
      </c>
      <c r="B96" s="226" t="str">
        <f t="shared" si="13"/>
        <v>OPCIONALTANK SIZE 52LFM-2001-5</v>
      </c>
      <c r="C96" s="226">
        <f t="shared" si="19"/>
        <v>1</v>
      </c>
      <c r="D96" s="226" t="s">
        <v>43</v>
      </c>
      <c r="E96" s="226" t="s">
        <v>58</v>
      </c>
      <c r="F96" s="226" t="s">
        <v>15</v>
      </c>
      <c r="G96" s="226">
        <f t="shared" si="20"/>
        <v>5</v>
      </c>
      <c r="H96" s="226" t="s">
        <v>16</v>
      </c>
      <c r="I96" s="227">
        <v>76498</v>
      </c>
      <c r="J96" s="226" t="s">
        <v>46</v>
      </c>
      <c r="K96" s="226" t="s">
        <v>19</v>
      </c>
      <c r="L96" s="226">
        <v>1</v>
      </c>
      <c r="M96" s="228">
        <f t="shared" si="14"/>
        <v>76498</v>
      </c>
      <c r="N96" s="229">
        <v>1</v>
      </c>
      <c r="O96" s="229"/>
    </row>
    <row r="97" spans="1:15" x14ac:dyDescent="0.2">
      <c r="A97" s="226">
        <v>96</v>
      </c>
      <c r="B97" s="226" t="str">
        <f t="shared" si="13"/>
        <v>-</v>
      </c>
      <c r="M97" s="228">
        <f t="shared" si="14"/>
        <v>0</v>
      </c>
      <c r="N97" s="229">
        <v>1</v>
      </c>
      <c r="O97" s="229"/>
    </row>
    <row r="98" spans="1:15" x14ac:dyDescent="0.2">
      <c r="A98" s="226">
        <v>97</v>
      </c>
      <c r="B98" s="226" t="str">
        <f t="shared" si="13"/>
        <v>SISTEMATANK SIZE 106LFM-2001-1</v>
      </c>
      <c r="C98" s="226">
        <f>L98</f>
        <v>1</v>
      </c>
      <c r="D98" s="226" t="s">
        <v>13</v>
      </c>
      <c r="E98" s="226" t="s">
        <v>69</v>
      </c>
      <c r="F98" s="226" t="s">
        <v>15</v>
      </c>
      <c r="G98" s="226">
        <v>1</v>
      </c>
      <c r="H98" s="226" t="s">
        <v>16</v>
      </c>
      <c r="I98" s="227" t="s">
        <v>17</v>
      </c>
      <c r="J98" s="226" t="s">
        <v>70</v>
      </c>
      <c r="K98" s="226" t="s">
        <v>19</v>
      </c>
      <c r="L98" s="226">
        <v>1</v>
      </c>
      <c r="M98" s="228" t="s">
        <v>71</v>
      </c>
      <c r="N98" s="229">
        <v>1</v>
      </c>
      <c r="O98" s="229"/>
    </row>
    <row r="99" spans="1:15" x14ac:dyDescent="0.2">
      <c r="A99" s="226">
        <v>98</v>
      </c>
      <c r="B99" s="226" t="str">
        <f t="shared" si="13"/>
        <v>SISTEMATANK SIZE 106LFM-2001-2</v>
      </c>
      <c r="C99" s="226">
        <f>C98</f>
        <v>1</v>
      </c>
      <c r="D99" s="226" t="s">
        <v>13</v>
      </c>
      <c r="E99" s="226" t="s">
        <v>69</v>
      </c>
      <c r="F99" s="226" t="s">
        <v>15</v>
      </c>
      <c r="G99" s="226">
        <f t="shared" ref="G99:G115" si="21">+G98+1</f>
        <v>2</v>
      </c>
      <c r="H99" s="226" t="s">
        <v>16</v>
      </c>
      <c r="I99" s="227">
        <v>445736</v>
      </c>
      <c r="J99" s="226" t="s">
        <v>72</v>
      </c>
      <c r="K99" s="226" t="s">
        <v>19</v>
      </c>
      <c r="L99" s="226">
        <v>1</v>
      </c>
      <c r="M99" s="228">
        <f t="shared" si="14"/>
        <v>445736</v>
      </c>
      <c r="N99" s="229">
        <v>1</v>
      </c>
      <c r="O99" s="229"/>
    </row>
    <row r="100" spans="1:15" x14ac:dyDescent="0.2">
      <c r="A100" s="226">
        <v>99</v>
      </c>
      <c r="B100" s="226" t="str">
        <f t="shared" si="13"/>
        <v>SISTEMATANK SIZE 106LFM-2001-3</v>
      </c>
      <c r="C100" s="226">
        <f t="shared" ref="C100:C115" si="22">C99</f>
        <v>1</v>
      </c>
      <c r="D100" s="226" t="s">
        <v>13</v>
      </c>
      <c r="E100" s="226" t="s">
        <v>69</v>
      </c>
      <c r="F100" s="226" t="s">
        <v>15</v>
      </c>
      <c r="G100" s="226">
        <f t="shared" si="21"/>
        <v>3</v>
      </c>
      <c r="H100" s="226" t="s">
        <v>16</v>
      </c>
      <c r="I100" s="227" t="s">
        <v>22</v>
      </c>
      <c r="J100" s="226" t="s">
        <v>23</v>
      </c>
      <c r="K100" s="226" t="s">
        <v>19</v>
      </c>
      <c r="L100" s="230">
        <f>'COT AGENTES'!$H$5</f>
        <v>2</v>
      </c>
      <c r="M100" s="228">
        <v>453646</v>
      </c>
      <c r="N100" s="229">
        <v>1</v>
      </c>
      <c r="O100" s="229"/>
    </row>
    <row r="101" spans="1:15" x14ac:dyDescent="0.2">
      <c r="A101" s="226">
        <v>100</v>
      </c>
      <c r="B101" s="226" t="str">
        <f t="shared" si="13"/>
        <v>SISTEMATANK SIZE 106LFM-2001-4</v>
      </c>
      <c r="C101" s="226">
        <f t="shared" si="22"/>
        <v>1</v>
      </c>
      <c r="D101" s="226" t="s">
        <v>13</v>
      </c>
      <c r="E101" s="226" t="s">
        <v>69</v>
      </c>
      <c r="F101" s="226" t="s">
        <v>15</v>
      </c>
      <c r="G101" s="226">
        <f t="shared" si="21"/>
        <v>4</v>
      </c>
      <c r="H101" s="226" t="s">
        <v>16</v>
      </c>
      <c r="I101" s="227">
        <v>570055</v>
      </c>
      <c r="J101" s="226" t="s">
        <v>24</v>
      </c>
      <c r="K101" s="226" t="s">
        <v>19</v>
      </c>
      <c r="L101" s="226">
        <v>1</v>
      </c>
      <c r="M101" s="228">
        <f t="shared" si="14"/>
        <v>570055</v>
      </c>
      <c r="N101" s="229">
        <v>1</v>
      </c>
      <c r="O101" s="229"/>
    </row>
    <row r="102" spans="1:15" x14ac:dyDescent="0.2">
      <c r="A102" s="226">
        <v>101</v>
      </c>
      <c r="B102" s="226" t="str">
        <f t="shared" si="13"/>
        <v>SISTEMATANK SIZE 106LFM-2001-5</v>
      </c>
      <c r="C102" s="226">
        <f t="shared" si="22"/>
        <v>1</v>
      </c>
      <c r="D102" s="226" t="s">
        <v>13</v>
      </c>
      <c r="E102" s="226" t="s">
        <v>69</v>
      </c>
      <c r="F102" s="226" t="s">
        <v>15</v>
      </c>
      <c r="G102" s="226">
        <f t="shared" si="21"/>
        <v>5</v>
      </c>
      <c r="H102" s="226" t="s">
        <v>16</v>
      </c>
      <c r="I102" s="227">
        <v>314205314</v>
      </c>
      <c r="J102" s="226" t="s">
        <v>56</v>
      </c>
      <c r="K102" s="226" t="s">
        <v>19</v>
      </c>
      <c r="L102" s="226">
        <v>1</v>
      </c>
      <c r="M102" s="228">
        <f t="shared" si="14"/>
        <v>314205314</v>
      </c>
      <c r="N102" s="229">
        <v>1</v>
      </c>
      <c r="O102" s="229"/>
    </row>
    <row r="103" spans="1:15" x14ac:dyDescent="0.2">
      <c r="A103" s="226">
        <v>102</v>
      </c>
      <c r="B103" s="226" t="str">
        <f t="shared" si="13"/>
        <v>SISTEMATANK SIZE 106LFM-2001-6</v>
      </c>
      <c r="C103" s="226">
        <f t="shared" si="22"/>
        <v>1</v>
      </c>
      <c r="D103" s="226" t="s">
        <v>13</v>
      </c>
      <c r="E103" s="226" t="s">
        <v>69</v>
      </c>
      <c r="F103" s="226" t="s">
        <v>15</v>
      </c>
      <c r="G103" s="226">
        <f t="shared" si="21"/>
        <v>6</v>
      </c>
      <c r="H103" s="226" t="s">
        <v>16</v>
      </c>
      <c r="I103" s="227">
        <v>570585</v>
      </c>
      <c r="J103" s="226" t="s">
        <v>26</v>
      </c>
      <c r="K103" s="226" t="s">
        <v>19</v>
      </c>
      <c r="L103" s="226">
        <v>1</v>
      </c>
      <c r="M103" s="228">
        <f t="shared" si="14"/>
        <v>570585</v>
      </c>
      <c r="N103" s="229">
        <v>1</v>
      </c>
      <c r="O103" s="229"/>
    </row>
    <row r="104" spans="1:15" x14ac:dyDescent="0.2">
      <c r="A104" s="226">
        <v>103</v>
      </c>
      <c r="B104" s="226" t="str">
        <f t="shared" si="13"/>
        <v>SISTEMATANK SIZE 106LFM-2001-7</v>
      </c>
      <c r="C104" s="226">
        <f t="shared" si="22"/>
        <v>1</v>
      </c>
      <c r="D104" s="226" t="s">
        <v>13</v>
      </c>
      <c r="E104" s="226" t="s">
        <v>69</v>
      </c>
      <c r="F104" s="226" t="s">
        <v>15</v>
      </c>
      <c r="G104" s="226">
        <f t="shared" si="21"/>
        <v>7</v>
      </c>
      <c r="H104" s="226" t="s">
        <v>16</v>
      </c>
      <c r="I104" s="227">
        <v>304205030</v>
      </c>
      <c r="J104" s="226" t="s">
        <v>27</v>
      </c>
      <c r="K104" s="226" t="s">
        <v>19</v>
      </c>
      <c r="L104" s="226">
        <v>1</v>
      </c>
      <c r="M104" s="228">
        <f t="shared" si="14"/>
        <v>304205030</v>
      </c>
      <c r="N104" s="229">
        <v>1</v>
      </c>
      <c r="O104" s="229"/>
    </row>
    <row r="105" spans="1:15" x14ac:dyDescent="0.2">
      <c r="A105" s="226">
        <v>104</v>
      </c>
      <c r="B105" s="226" t="str">
        <f t="shared" si="13"/>
        <v>SISTEMATANK SIZE 106LFM-2001-8</v>
      </c>
      <c r="C105" s="226">
        <f t="shared" si="22"/>
        <v>1</v>
      </c>
      <c r="D105" s="226" t="s">
        <v>13</v>
      </c>
      <c r="E105" s="226" t="s">
        <v>69</v>
      </c>
      <c r="F105" s="226" t="s">
        <v>15</v>
      </c>
      <c r="G105" s="226">
        <f t="shared" si="21"/>
        <v>8</v>
      </c>
      <c r="H105" s="226" t="s">
        <v>16</v>
      </c>
      <c r="I105" s="227" t="s">
        <v>28</v>
      </c>
      <c r="J105" s="226" t="s">
        <v>29</v>
      </c>
      <c r="K105" s="226" t="s">
        <v>19</v>
      </c>
      <c r="L105" s="226">
        <v>1</v>
      </c>
      <c r="M105" s="228" t="str">
        <f t="shared" si="14"/>
        <v>A1638150HY</v>
      </c>
      <c r="N105" s="229">
        <v>1</v>
      </c>
      <c r="O105" s="229"/>
    </row>
    <row r="106" spans="1:15" x14ac:dyDescent="0.2">
      <c r="A106" s="226">
        <v>105</v>
      </c>
      <c r="B106" s="226" t="str">
        <f t="shared" si="13"/>
        <v>SISTEMATANK SIZE 106LFM-2001-9</v>
      </c>
      <c r="C106" s="226">
        <f t="shared" si="22"/>
        <v>1</v>
      </c>
      <c r="D106" s="226" t="s">
        <v>13</v>
      </c>
      <c r="E106" s="226" t="s">
        <v>69</v>
      </c>
      <c r="F106" s="226" t="s">
        <v>15</v>
      </c>
      <c r="G106" s="226">
        <f t="shared" si="21"/>
        <v>9</v>
      </c>
      <c r="H106" s="226" t="s">
        <v>16</v>
      </c>
      <c r="I106" s="227" t="s">
        <v>62</v>
      </c>
      <c r="J106" s="226" t="s">
        <v>63</v>
      </c>
      <c r="K106" s="226" t="s">
        <v>19</v>
      </c>
      <c r="L106" s="226">
        <v>2</v>
      </c>
      <c r="M106" s="228" t="str">
        <f t="shared" si="14"/>
        <v>570092-R2</v>
      </c>
      <c r="N106" s="229">
        <v>1</v>
      </c>
      <c r="O106" s="229"/>
    </row>
    <row r="107" spans="1:15" x14ac:dyDescent="0.2">
      <c r="A107" s="226">
        <v>106</v>
      </c>
      <c r="B107" s="226" t="str">
        <f t="shared" si="13"/>
        <v>SISTEMATANK SIZE 106LFM-2001-10</v>
      </c>
      <c r="C107" s="226">
        <f t="shared" si="22"/>
        <v>1</v>
      </c>
      <c r="D107" s="226" t="s">
        <v>13</v>
      </c>
      <c r="E107" s="226" t="s">
        <v>69</v>
      </c>
      <c r="F107" s="226" t="s">
        <v>15</v>
      </c>
      <c r="G107" s="226">
        <f t="shared" si="21"/>
        <v>10</v>
      </c>
      <c r="H107" s="226" t="s">
        <v>16</v>
      </c>
      <c r="I107" s="227" t="s">
        <v>32</v>
      </c>
      <c r="J107" s="226" t="s">
        <v>33</v>
      </c>
      <c r="K107" s="226" t="s">
        <v>19</v>
      </c>
      <c r="L107" s="230">
        <f>'COT AGENTES'!$M$11</f>
        <v>1</v>
      </c>
      <c r="M107" s="228" t="s">
        <v>73</v>
      </c>
      <c r="N107" s="229">
        <v>1</v>
      </c>
      <c r="O107" s="229"/>
    </row>
    <row r="108" spans="1:15" x14ac:dyDescent="0.2">
      <c r="A108" s="226">
        <v>107</v>
      </c>
      <c r="B108" s="226" t="str">
        <f t="shared" si="13"/>
        <v>SISTEMATANK SIZE 106LFM-2001-11</v>
      </c>
      <c r="C108" s="226">
        <f t="shared" si="22"/>
        <v>1</v>
      </c>
      <c r="D108" s="226" t="s">
        <v>13</v>
      </c>
      <c r="E108" s="226" t="s">
        <v>69</v>
      </c>
      <c r="F108" s="226" t="s">
        <v>15</v>
      </c>
      <c r="G108" s="226">
        <f t="shared" si="21"/>
        <v>11</v>
      </c>
      <c r="H108" s="226" t="s">
        <v>16</v>
      </c>
      <c r="I108" s="227" t="s">
        <v>35</v>
      </c>
      <c r="J108" s="226" t="s">
        <v>36</v>
      </c>
      <c r="K108" s="226" t="s">
        <v>19</v>
      </c>
      <c r="L108" s="226">
        <v>1</v>
      </c>
      <c r="M108" s="228" t="str">
        <f t="shared" si="14"/>
        <v>442927-R2</v>
      </c>
      <c r="N108" s="229">
        <v>1</v>
      </c>
      <c r="O108" s="229"/>
    </row>
    <row r="109" spans="1:15" x14ac:dyDescent="0.2">
      <c r="A109" s="226">
        <v>108</v>
      </c>
      <c r="B109" s="226" t="str">
        <f t="shared" si="13"/>
        <v>SISTEMATANK SIZE 106LFM-2001-12</v>
      </c>
      <c r="C109" s="226">
        <f t="shared" si="22"/>
        <v>1</v>
      </c>
      <c r="D109" s="226" t="s">
        <v>13</v>
      </c>
      <c r="E109" s="226" t="s">
        <v>69</v>
      </c>
      <c r="F109" s="226" t="s">
        <v>15</v>
      </c>
      <c r="G109" s="226">
        <f t="shared" si="21"/>
        <v>12</v>
      </c>
      <c r="H109" s="226" t="s">
        <v>16</v>
      </c>
      <c r="I109" s="227" t="s">
        <v>37</v>
      </c>
      <c r="J109" s="226" t="s">
        <v>38</v>
      </c>
      <c r="K109" s="226" t="s">
        <v>19</v>
      </c>
      <c r="L109" s="226">
        <v>1</v>
      </c>
      <c r="M109" s="228" t="str">
        <f t="shared" si="14"/>
        <v>442928-R2</v>
      </c>
      <c r="N109" s="229">
        <v>1</v>
      </c>
      <c r="O109" s="229"/>
    </row>
    <row r="110" spans="1:15" x14ac:dyDescent="0.2">
      <c r="A110" s="226">
        <v>109</v>
      </c>
      <c r="B110" s="226" t="str">
        <f t="shared" si="13"/>
        <v>SISTEMATANK SIZE 106LFM-2001-13</v>
      </c>
      <c r="C110" s="226">
        <f t="shared" si="22"/>
        <v>1</v>
      </c>
      <c r="D110" s="226" t="s">
        <v>13</v>
      </c>
      <c r="E110" s="226" t="s">
        <v>69</v>
      </c>
      <c r="F110" s="226" t="s">
        <v>15</v>
      </c>
      <c r="G110" s="226">
        <f t="shared" si="21"/>
        <v>13</v>
      </c>
      <c r="H110" s="226" t="s">
        <v>16</v>
      </c>
      <c r="I110" s="227">
        <v>570558</v>
      </c>
      <c r="J110" s="226" t="s">
        <v>65</v>
      </c>
      <c r="K110" s="226" t="s">
        <v>19</v>
      </c>
      <c r="L110" s="226">
        <v>1</v>
      </c>
      <c r="M110" s="228">
        <f t="shared" si="14"/>
        <v>570558</v>
      </c>
      <c r="N110" s="229">
        <v>1</v>
      </c>
      <c r="O110" s="229"/>
    </row>
    <row r="111" spans="1:15" x14ac:dyDescent="0.2">
      <c r="A111" s="226">
        <v>110</v>
      </c>
      <c r="B111" s="226" t="str">
        <f t="shared" si="13"/>
        <v>SISTEMATANK SIZE 106LFM-2001-14</v>
      </c>
      <c r="C111" s="226">
        <f t="shared" si="22"/>
        <v>1</v>
      </c>
      <c r="D111" s="226" t="s">
        <v>13</v>
      </c>
      <c r="E111" s="226" t="s">
        <v>69</v>
      </c>
      <c r="F111" s="226" t="s">
        <v>15</v>
      </c>
      <c r="G111" s="226">
        <f t="shared" si="21"/>
        <v>14</v>
      </c>
      <c r="M111" s="228">
        <f t="shared" si="14"/>
        <v>0</v>
      </c>
      <c r="N111" s="229">
        <v>1</v>
      </c>
      <c r="O111" s="229"/>
    </row>
    <row r="112" spans="1:15" x14ac:dyDescent="0.2">
      <c r="A112" s="226">
        <v>111</v>
      </c>
      <c r="B112" s="226" t="str">
        <f t="shared" si="13"/>
        <v>SISTEMATANK SIZE 106LFM-2001-15</v>
      </c>
      <c r="C112" s="226">
        <f t="shared" si="22"/>
        <v>1</v>
      </c>
      <c r="D112" s="226" t="s">
        <v>13</v>
      </c>
      <c r="E112" s="226" t="s">
        <v>69</v>
      </c>
      <c r="F112" s="226" t="s">
        <v>15</v>
      </c>
      <c r="G112" s="226">
        <f t="shared" si="21"/>
        <v>15</v>
      </c>
      <c r="H112" s="226" t="s">
        <v>16</v>
      </c>
      <c r="I112" s="227">
        <v>437900</v>
      </c>
      <c r="J112" s="226" t="s">
        <v>40</v>
      </c>
      <c r="K112" s="226" t="s">
        <v>19</v>
      </c>
      <c r="L112" s="226">
        <v>1</v>
      </c>
      <c r="M112" s="228">
        <f t="shared" si="14"/>
        <v>437900</v>
      </c>
      <c r="N112" s="229">
        <v>1</v>
      </c>
      <c r="O112" s="229"/>
    </row>
    <row r="113" spans="1:15" x14ac:dyDescent="0.2">
      <c r="A113" s="226">
        <v>112</v>
      </c>
      <c r="B113" s="226" t="str">
        <f t="shared" si="13"/>
        <v>SISTEMATANK SIZE 106LFM-2001-16</v>
      </c>
      <c r="C113" s="226">
        <f t="shared" si="22"/>
        <v>1</v>
      </c>
      <c r="D113" s="226" t="s">
        <v>13</v>
      </c>
      <c r="E113" s="226" t="s">
        <v>69</v>
      </c>
      <c r="F113" s="226" t="s">
        <v>15</v>
      </c>
      <c r="G113" s="226">
        <f t="shared" si="21"/>
        <v>16</v>
      </c>
      <c r="H113" s="226" t="s">
        <v>16</v>
      </c>
      <c r="I113" s="227">
        <v>415142</v>
      </c>
      <c r="J113" s="226" t="s">
        <v>66</v>
      </c>
      <c r="K113" s="226" t="s">
        <v>19</v>
      </c>
      <c r="L113" s="226">
        <v>1</v>
      </c>
      <c r="M113" s="228">
        <f t="shared" si="14"/>
        <v>415142</v>
      </c>
      <c r="N113" s="229">
        <v>1</v>
      </c>
      <c r="O113" s="229"/>
    </row>
    <row r="114" spans="1:15" x14ac:dyDescent="0.2">
      <c r="A114" s="226">
        <v>113</v>
      </c>
      <c r="B114" s="226" t="str">
        <f t="shared" si="13"/>
        <v>SISTEMATANK SIZE 106LFM-2001-17</v>
      </c>
      <c r="C114" s="226">
        <f t="shared" si="22"/>
        <v>1</v>
      </c>
      <c r="D114" s="226" t="s">
        <v>13</v>
      </c>
      <c r="E114" s="226" t="s">
        <v>69</v>
      </c>
      <c r="F114" s="226" t="s">
        <v>15</v>
      </c>
      <c r="G114" s="226">
        <f t="shared" si="21"/>
        <v>17</v>
      </c>
      <c r="H114" s="226" t="s">
        <v>16</v>
      </c>
      <c r="I114" s="227">
        <v>32338</v>
      </c>
      <c r="J114" s="226" t="s">
        <v>42</v>
      </c>
      <c r="K114" s="226" t="s">
        <v>19</v>
      </c>
      <c r="L114" s="226">
        <v>1</v>
      </c>
      <c r="M114" s="228">
        <f t="shared" si="14"/>
        <v>32338</v>
      </c>
      <c r="N114" s="229">
        <v>1</v>
      </c>
      <c r="O114" s="229"/>
    </row>
    <row r="115" spans="1:15" x14ac:dyDescent="0.2">
      <c r="A115" s="226">
        <v>114</v>
      </c>
      <c r="B115" s="226" t="str">
        <f t="shared" si="13"/>
        <v>SISTEMATANK SIZE 106LFM-2001-18</v>
      </c>
      <c r="C115" s="226">
        <f t="shared" si="22"/>
        <v>1</v>
      </c>
      <c r="D115" s="226" t="s">
        <v>13</v>
      </c>
      <c r="E115" s="226" t="s">
        <v>69</v>
      </c>
      <c r="F115" s="226" t="s">
        <v>15</v>
      </c>
      <c r="G115" s="226">
        <f t="shared" si="21"/>
        <v>18</v>
      </c>
      <c r="N115" s="229">
        <v>1</v>
      </c>
      <c r="O115" s="229"/>
    </row>
    <row r="116" spans="1:15" x14ac:dyDescent="0.2">
      <c r="A116" s="226">
        <v>115</v>
      </c>
      <c r="B116" s="226" t="str">
        <f t="shared" si="13"/>
        <v>-</v>
      </c>
      <c r="M116" s="228">
        <f t="shared" si="14"/>
        <v>0</v>
      </c>
      <c r="N116" s="229">
        <v>1</v>
      </c>
      <c r="O116" s="229"/>
    </row>
    <row r="117" spans="1:15" x14ac:dyDescent="0.2">
      <c r="A117" s="226">
        <v>116</v>
      </c>
      <c r="B117" s="226" t="str">
        <f t="shared" si="13"/>
        <v>OPCIONALTANK SIZE 106LFM-2001-1</v>
      </c>
      <c r="C117" s="226">
        <f>C110</f>
        <v>1</v>
      </c>
      <c r="D117" s="226" t="s">
        <v>43</v>
      </c>
      <c r="E117" s="226" t="s">
        <v>69</v>
      </c>
      <c r="F117" s="226" t="s">
        <v>15</v>
      </c>
      <c r="G117" s="226">
        <v>1</v>
      </c>
      <c r="H117" s="226" t="s">
        <v>16</v>
      </c>
      <c r="I117" s="227" t="s">
        <v>67</v>
      </c>
      <c r="J117" s="226" t="s">
        <v>68</v>
      </c>
      <c r="K117" s="226" t="s">
        <v>19</v>
      </c>
      <c r="L117" s="226">
        <f>L99</f>
        <v>1</v>
      </c>
      <c r="M117" s="228" t="str">
        <f t="shared" si="14"/>
        <v>570538-R2</v>
      </c>
      <c r="N117" s="229">
        <v>1</v>
      </c>
      <c r="O117" s="229"/>
    </row>
    <row r="118" spans="1:15" x14ac:dyDescent="0.2">
      <c r="A118" s="226">
        <v>117</v>
      </c>
      <c r="B118" s="226" t="str">
        <f t="shared" si="13"/>
        <v>OPCIONALTANK SIZE 106LFM-2001-2</v>
      </c>
      <c r="C118" s="226">
        <f t="shared" ref="C118:C122" si="23">C117</f>
        <v>1</v>
      </c>
      <c r="D118" s="226" t="s">
        <v>43</v>
      </c>
      <c r="E118" s="226" t="s">
        <v>69</v>
      </c>
      <c r="F118" s="226" t="s">
        <v>15</v>
      </c>
      <c r="G118" s="226">
        <f t="shared" ref="G118:G122" si="24">+G117+1</f>
        <v>2</v>
      </c>
      <c r="H118" s="226" t="s">
        <v>16</v>
      </c>
      <c r="I118" s="227">
        <v>437900</v>
      </c>
      <c r="J118" s="226" t="s">
        <v>40</v>
      </c>
      <c r="K118" s="226" t="s">
        <v>19</v>
      </c>
      <c r="L118" s="226">
        <v>1</v>
      </c>
      <c r="M118" s="228">
        <f t="shared" si="14"/>
        <v>437900</v>
      </c>
      <c r="N118" s="229">
        <v>1</v>
      </c>
      <c r="O118" s="229"/>
    </row>
    <row r="119" spans="1:15" x14ac:dyDescent="0.2">
      <c r="A119" s="226">
        <v>118</v>
      </c>
      <c r="B119" s="226" t="str">
        <f t="shared" si="13"/>
        <v>OPCIONALTANK SIZE 106LFM-2001-3</v>
      </c>
      <c r="C119" s="226">
        <f t="shared" si="23"/>
        <v>1</v>
      </c>
      <c r="D119" s="226" t="s">
        <v>43</v>
      </c>
      <c r="E119" s="226" t="s">
        <v>69</v>
      </c>
      <c r="F119" s="226" t="s">
        <v>15</v>
      </c>
      <c r="G119" s="226">
        <f t="shared" si="24"/>
        <v>3</v>
      </c>
      <c r="H119" s="226" t="s">
        <v>16</v>
      </c>
      <c r="I119" s="227">
        <v>415142</v>
      </c>
      <c r="J119" s="226" t="s">
        <v>66</v>
      </c>
      <c r="K119" s="226" t="s">
        <v>19</v>
      </c>
      <c r="L119" s="226">
        <v>1</v>
      </c>
      <c r="M119" s="228">
        <f t="shared" si="14"/>
        <v>415142</v>
      </c>
      <c r="N119" s="229">
        <v>1</v>
      </c>
      <c r="O119" s="229"/>
    </row>
    <row r="120" spans="1:15" x14ac:dyDescent="0.2">
      <c r="A120" s="226">
        <v>119</v>
      </c>
      <c r="B120" s="226" t="str">
        <f t="shared" si="13"/>
        <v>OPCIONALTANK SIZE 106LFM-2001-4</v>
      </c>
      <c r="C120" s="226">
        <f t="shared" si="23"/>
        <v>1</v>
      </c>
      <c r="D120" s="226" t="s">
        <v>43</v>
      </c>
      <c r="E120" s="226" t="s">
        <v>69</v>
      </c>
      <c r="F120" s="226" t="s">
        <v>15</v>
      </c>
      <c r="G120" s="226">
        <f t="shared" si="24"/>
        <v>4</v>
      </c>
      <c r="H120" s="226" t="s">
        <v>16</v>
      </c>
      <c r="I120" s="227">
        <v>32338</v>
      </c>
      <c r="J120" s="226" t="s">
        <v>42</v>
      </c>
      <c r="K120" s="226" t="s">
        <v>19</v>
      </c>
      <c r="L120" s="226">
        <v>1</v>
      </c>
      <c r="M120" s="228">
        <f t="shared" si="14"/>
        <v>32338</v>
      </c>
      <c r="N120" s="229">
        <v>1</v>
      </c>
      <c r="O120" s="229"/>
    </row>
    <row r="121" spans="1:15" x14ac:dyDescent="0.2">
      <c r="A121" s="226">
        <v>120</v>
      </c>
      <c r="B121" s="226" t="str">
        <f t="shared" si="13"/>
        <v>OPCIONALTANK SIZE 106LFM-2001-5</v>
      </c>
      <c r="C121" s="226">
        <f t="shared" si="23"/>
        <v>1</v>
      </c>
      <c r="D121" s="226" t="s">
        <v>43</v>
      </c>
      <c r="E121" s="226" t="s">
        <v>69</v>
      </c>
      <c r="F121" s="226" t="s">
        <v>15</v>
      </c>
      <c r="G121" s="226">
        <f t="shared" si="24"/>
        <v>5</v>
      </c>
      <c r="H121" s="226" t="s">
        <v>16</v>
      </c>
      <c r="I121" s="227">
        <v>76498</v>
      </c>
      <c r="J121" s="226" t="s">
        <v>46</v>
      </c>
      <c r="K121" s="226" t="s">
        <v>19</v>
      </c>
      <c r="L121" s="226">
        <v>1</v>
      </c>
      <c r="M121" s="228">
        <f t="shared" si="14"/>
        <v>76498</v>
      </c>
      <c r="N121" s="229">
        <v>1</v>
      </c>
      <c r="O121" s="229"/>
    </row>
    <row r="122" spans="1:15" x14ac:dyDescent="0.2">
      <c r="A122" s="226">
        <v>121</v>
      </c>
      <c r="B122" s="226" t="str">
        <f t="shared" si="13"/>
        <v>OPCIONALTANK SIZE 106LFM-2001-6</v>
      </c>
      <c r="C122" s="226">
        <f t="shared" si="23"/>
        <v>1</v>
      </c>
      <c r="D122" s="226" t="s">
        <v>43</v>
      </c>
      <c r="E122" s="226" t="s">
        <v>69</v>
      </c>
      <c r="F122" s="226" t="s">
        <v>15</v>
      </c>
      <c r="G122" s="226">
        <f t="shared" si="24"/>
        <v>6</v>
      </c>
      <c r="H122" s="226" t="s">
        <v>16</v>
      </c>
      <c r="I122" s="227">
        <v>570277</v>
      </c>
      <c r="J122" s="226" t="s">
        <v>74</v>
      </c>
      <c r="K122" s="226" t="s">
        <v>19</v>
      </c>
      <c r="L122" s="226">
        <v>1</v>
      </c>
      <c r="M122" s="228">
        <f t="shared" si="14"/>
        <v>570277</v>
      </c>
      <c r="N122" s="229">
        <v>1</v>
      </c>
      <c r="O122" s="229"/>
    </row>
    <row r="123" spans="1:15" x14ac:dyDescent="0.2">
      <c r="A123" s="226">
        <v>122</v>
      </c>
      <c r="B123" s="226" t="str">
        <f t="shared" si="13"/>
        <v>-</v>
      </c>
      <c r="M123" s="228">
        <f t="shared" si="14"/>
        <v>0</v>
      </c>
      <c r="N123" s="229">
        <v>1</v>
      </c>
      <c r="O123" s="229"/>
    </row>
    <row r="124" spans="1:15" x14ac:dyDescent="0.2">
      <c r="A124" s="226">
        <v>123</v>
      </c>
      <c r="B124" s="226" t="str">
        <f t="shared" si="13"/>
        <v>SISTEMATANK SIZE 147LFM-2001-1</v>
      </c>
      <c r="C124" s="226">
        <f>L124</f>
        <v>1</v>
      </c>
      <c r="D124" s="226" t="s">
        <v>13</v>
      </c>
      <c r="E124" s="226" t="s">
        <v>75</v>
      </c>
      <c r="F124" s="226" t="s">
        <v>15</v>
      </c>
      <c r="G124" s="226">
        <v>1</v>
      </c>
      <c r="H124" s="226" t="s">
        <v>16</v>
      </c>
      <c r="I124" s="227" t="s">
        <v>17</v>
      </c>
      <c r="J124" s="226" t="s">
        <v>76</v>
      </c>
      <c r="K124" s="226" t="s">
        <v>19</v>
      </c>
      <c r="L124" s="226">
        <v>1</v>
      </c>
      <c r="M124" s="228" t="s">
        <v>77</v>
      </c>
      <c r="N124" s="229">
        <v>1</v>
      </c>
      <c r="O124" s="229"/>
    </row>
    <row r="125" spans="1:15" x14ac:dyDescent="0.2">
      <c r="A125" s="226">
        <v>124</v>
      </c>
      <c r="B125" s="226" t="str">
        <f t="shared" si="13"/>
        <v>SISTEMATANK SIZE 147LFM-2001-2</v>
      </c>
      <c r="C125" s="226">
        <f>C124</f>
        <v>1</v>
      </c>
      <c r="D125" s="226" t="s">
        <v>13</v>
      </c>
      <c r="E125" s="226" t="s">
        <v>75</v>
      </c>
      <c r="F125" s="226" t="s">
        <v>15</v>
      </c>
      <c r="G125" s="226">
        <f t="shared" ref="G125:G140" si="25">+G124+1</f>
        <v>2</v>
      </c>
      <c r="H125" s="226" t="s">
        <v>16</v>
      </c>
      <c r="I125" s="227">
        <v>445737</v>
      </c>
      <c r="J125" s="226" t="s">
        <v>78</v>
      </c>
      <c r="K125" s="226" t="s">
        <v>19</v>
      </c>
      <c r="L125" s="226">
        <v>1</v>
      </c>
      <c r="M125" s="228">
        <f t="shared" si="14"/>
        <v>445737</v>
      </c>
      <c r="N125" s="229">
        <v>1</v>
      </c>
      <c r="O125" s="229"/>
    </row>
    <row r="126" spans="1:15" x14ac:dyDescent="0.2">
      <c r="A126" s="226">
        <v>125</v>
      </c>
      <c r="B126" s="226" t="str">
        <f t="shared" si="13"/>
        <v>SISTEMATANK SIZE 147LFM-2001-3</v>
      </c>
      <c r="C126" s="226">
        <f t="shared" ref="C126:C136" si="26">C125</f>
        <v>1</v>
      </c>
      <c r="D126" s="226" t="s">
        <v>13</v>
      </c>
      <c r="E126" s="226" t="s">
        <v>75</v>
      </c>
      <c r="F126" s="226" t="s">
        <v>15</v>
      </c>
      <c r="G126" s="226">
        <f t="shared" si="25"/>
        <v>3</v>
      </c>
      <c r="H126" s="226" t="s">
        <v>16</v>
      </c>
      <c r="I126" s="227" t="s">
        <v>22</v>
      </c>
      <c r="J126" s="226" t="s">
        <v>23</v>
      </c>
      <c r="K126" s="226" t="s">
        <v>19</v>
      </c>
      <c r="L126" s="230">
        <f>'COT AGENTES'!$H$5</f>
        <v>2</v>
      </c>
      <c r="M126" s="228">
        <v>453646</v>
      </c>
      <c r="N126" s="229">
        <v>1</v>
      </c>
      <c r="O126" s="229"/>
    </row>
    <row r="127" spans="1:15" x14ac:dyDescent="0.2">
      <c r="A127" s="226">
        <v>126</v>
      </c>
      <c r="B127" s="226" t="str">
        <f t="shared" si="13"/>
        <v>SISTEMATANK SIZE 147LFM-2001-4</v>
      </c>
      <c r="C127" s="226">
        <f t="shared" si="26"/>
        <v>1</v>
      </c>
      <c r="D127" s="226" t="s">
        <v>13</v>
      </c>
      <c r="E127" s="226" t="s">
        <v>75</v>
      </c>
      <c r="F127" s="226" t="s">
        <v>15</v>
      </c>
      <c r="G127" s="226">
        <f t="shared" si="25"/>
        <v>4</v>
      </c>
      <c r="H127" s="226" t="s">
        <v>16</v>
      </c>
      <c r="I127" s="227">
        <v>570055</v>
      </c>
      <c r="J127" s="226" t="s">
        <v>24</v>
      </c>
      <c r="K127" s="226" t="s">
        <v>19</v>
      </c>
      <c r="L127" s="226">
        <v>1</v>
      </c>
      <c r="M127" s="228">
        <f t="shared" si="14"/>
        <v>570055</v>
      </c>
      <c r="N127" s="229">
        <v>1</v>
      </c>
      <c r="O127" s="229"/>
    </row>
    <row r="128" spans="1:15" x14ac:dyDescent="0.2">
      <c r="A128" s="226">
        <v>127</v>
      </c>
      <c r="B128" s="226" t="str">
        <f t="shared" si="13"/>
        <v>SISTEMATANK SIZE 147LFM-2001-5</v>
      </c>
      <c r="C128" s="226">
        <f t="shared" si="26"/>
        <v>1</v>
      </c>
      <c r="D128" s="226" t="s">
        <v>13</v>
      </c>
      <c r="E128" s="226" t="s">
        <v>75</v>
      </c>
      <c r="F128" s="226" t="s">
        <v>15</v>
      </c>
      <c r="G128" s="226">
        <f t="shared" si="25"/>
        <v>5</v>
      </c>
      <c r="H128" s="226" t="s">
        <v>16</v>
      </c>
      <c r="I128" s="227">
        <v>314205314</v>
      </c>
      <c r="J128" s="226" t="s">
        <v>56</v>
      </c>
      <c r="K128" s="226" t="s">
        <v>19</v>
      </c>
      <c r="L128" s="226">
        <v>1</v>
      </c>
      <c r="M128" s="228">
        <f t="shared" si="14"/>
        <v>314205314</v>
      </c>
      <c r="N128" s="229">
        <v>1</v>
      </c>
      <c r="O128" s="229"/>
    </row>
    <row r="129" spans="1:15" x14ac:dyDescent="0.2">
      <c r="A129" s="226">
        <v>128</v>
      </c>
      <c r="B129" s="226" t="str">
        <f t="shared" si="13"/>
        <v>SISTEMATANK SIZE 147LFM-2001-6</v>
      </c>
      <c r="C129" s="226">
        <f t="shared" si="26"/>
        <v>1</v>
      </c>
      <c r="D129" s="226" t="s">
        <v>13</v>
      </c>
      <c r="E129" s="226" t="s">
        <v>75</v>
      </c>
      <c r="F129" s="226" t="s">
        <v>15</v>
      </c>
      <c r="G129" s="226">
        <f t="shared" si="25"/>
        <v>6</v>
      </c>
      <c r="H129" s="226" t="s">
        <v>16</v>
      </c>
      <c r="I129" s="227">
        <v>570585</v>
      </c>
      <c r="J129" s="226" t="s">
        <v>26</v>
      </c>
      <c r="K129" s="226" t="s">
        <v>19</v>
      </c>
      <c r="L129" s="226">
        <v>1</v>
      </c>
      <c r="M129" s="228">
        <f t="shared" si="14"/>
        <v>570585</v>
      </c>
      <c r="N129" s="229">
        <v>1</v>
      </c>
      <c r="O129" s="229"/>
    </row>
    <row r="130" spans="1:15" x14ac:dyDescent="0.2">
      <c r="A130" s="226">
        <v>129</v>
      </c>
      <c r="B130" s="226" t="str">
        <f t="shared" si="13"/>
        <v>SISTEMATANK SIZE 147LFM-2001-7</v>
      </c>
      <c r="C130" s="226">
        <f t="shared" si="26"/>
        <v>1</v>
      </c>
      <c r="D130" s="226" t="s">
        <v>13</v>
      </c>
      <c r="E130" s="226" t="s">
        <v>75</v>
      </c>
      <c r="F130" s="226" t="s">
        <v>15</v>
      </c>
      <c r="G130" s="226">
        <f t="shared" si="25"/>
        <v>7</v>
      </c>
      <c r="H130" s="226" t="s">
        <v>16</v>
      </c>
      <c r="I130" s="227">
        <v>304205030</v>
      </c>
      <c r="J130" s="226" t="s">
        <v>27</v>
      </c>
      <c r="K130" s="226" t="s">
        <v>19</v>
      </c>
      <c r="L130" s="226">
        <v>1</v>
      </c>
      <c r="M130" s="228">
        <f t="shared" si="14"/>
        <v>304205030</v>
      </c>
      <c r="N130" s="229">
        <v>1</v>
      </c>
      <c r="O130" s="229"/>
    </row>
    <row r="131" spans="1:15" x14ac:dyDescent="0.2">
      <c r="A131" s="226">
        <v>130</v>
      </c>
      <c r="B131" s="226" t="str">
        <f t="shared" ref="B131:B194" si="27">D131&amp;E131&amp;F131&amp;C131&amp;"-"&amp;G131&amp;IF(M131&lt;&gt;"",O131,"")</f>
        <v>SISTEMATANK SIZE 147LFM-2001-8</v>
      </c>
      <c r="C131" s="226">
        <f t="shared" si="26"/>
        <v>1</v>
      </c>
      <c r="D131" s="226" t="s">
        <v>13</v>
      </c>
      <c r="E131" s="226" t="s">
        <v>75</v>
      </c>
      <c r="F131" s="226" t="s">
        <v>15</v>
      </c>
      <c r="G131" s="226">
        <f t="shared" si="25"/>
        <v>8</v>
      </c>
      <c r="H131" s="226" t="s">
        <v>16</v>
      </c>
      <c r="I131" s="227" t="s">
        <v>28</v>
      </c>
      <c r="J131" s="226" t="s">
        <v>29</v>
      </c>
      <c r="K131" s="226" t="s">
        <v>19</v>
      </c>
      <c r="L131" s="226">
        <v>1</v>
      </c>
      <c r="M131" s="228" t="str">
        <f t="shared" si="14"/>
        <v>A1638150HY</v>
      </c>
      <c r="N131" s="229">
        <v>1</v>
      </c>
      <c r="O131" s="229"/>
    </row>
    <row r="132" spans="1:15" x14ac:dyDescent="0.2">
      <c r="A132" s="226">
        <v>131</v>
      </c>
      <c r="B132" s="226" t="str">
        <f t="shared" si="27"/>
        <v>SISTEMATANK SIZE 147LFM-2001-9</v>
      </c>
      <c r="C132" s="226">
        <f t="shared" si="26"/>
        <v>1</v>
      </c>
      <c r="D132" s="226" t="s">
        <v>13</v>
      </c>
      <c r="E132" s="226" t="s">
        <v>75</v>
      </c>
      <c r="F132" s="226" t="s">
        <v>15</v>
      </c>
      <c r="G132" s="226">
        <f t="shared" si="25"/>
        <v>9</v>
      </c>
      <c r="H132" s="226" t="s">
        <v>16</v>
      </c>
      <c r="I132" s="227" t="s">
        <v>62</v>
      </c>
      <c r="J132" s="226" t="s">
        <v>63</v>
      </c>
      <c r="K132" s="226" t="s">
        <v>19</v>
      </c>
      <c r="L132" s="226">
        <v>2</v>
      </c>
      <c r="M132" s="228" t="str">
        <f t="shared" ref="M132:M195" si="28">I132</f>
        <v>570092-R2</v>
      </c>
      <c r="N132" s="229">
        <v>1</v>
      </c>
      <c r="O132" s="229"/>
    </row>
    <row r="133" spans="1:15" x14ac:dyDescent="0.2">
      <c r="A133" s="226">
        <v>132</v>
      </c>
      <c r="B133" s="226" t="str">
        <f t="shared" si="27"/>
        <v>SISTEMATANK SIZE 147LFM-2001-10</v>
      </c>
      <c r="C133" s="226">
        <f t="shared" si="26"/>
        <v>1</v>
      </c>
      <c r="D133" s="226" t="s">
        <v>13</v>
      </c>
      <c r="E133" s="226" t="s">
        <v>75</v>
      </c>
      <c r="F133" s="226" t="s">
        <v>15</v>
      </c>
      <c r="G133" s="226">
        <f t="shared" si="25"/>
        <v>10</v>
      </c>
      <c r="H133" s="226" t="s">
        <v>16</v>
      </c>
      <c r="I133" s="227" t="s">
        <v>32</v>
      </c>
      <c r="J133" s="226" t="s">
        <v>33</v>
      </c>
      <c r="K133" s="226" t="s">
        <v>19</v>
      </c>
      <c r="L133" s="230">
        <f>'COT AGENTES'!$M$11</f>
        <v>1</v>
      </c>
      <c r="M133" s="228" t="s">
        <v>79</v>
      </c>
      <c r="N133" s="229">
        <v>1</v>
      </c>
      <c r="O133" s="229"/>
    </row>
    <row r="134" spans="1:15" x14ac:dyDescent="0.2">
      <c r="A134" s="226">
        <v>133</v>
      </c>
      <c r="B134" s="226" t="str">
        <f t="shared" si="27"/>
        <v>SISTEMATANK SIZE 147LFM-2001-11</v>
      </c>
      <c r="C134" s="226">
        <f t="shared" si="26"/>
        <v>1</v>
      </c>
      <c r="D134" s="226" t="s">
        <v>13</v>
      </c>
      <c r="E134" s="226" t="s">
        <v>75</v>
      </c>
      <c r="F134" s="226" t="s">
        <v>15</v>
      </c>
      <c r="G134" s="226">
        <f t="shared" si="25"/>
        <v>11</v>
      </c>
      <c r="H134" s="226" t="s">
        <v>16</v>
      </c>
      <c r="I134" s="227" t="s">
        <v>35</v>
      </c>
      <c r="J134" s="226" t="s">
        <v>36</v>
      </c>
      <c r="K134" s="226" t="s">
        <v>19</v>
      </c>
      <c r="L134" s="226">
        <v>1</v>
      </c>
      <c r="M134" s="228" t="str">
        <f t="shared" si="28"/>
        <v>442927-R2</v>
      </c>
      <c r="N134" s="229">
        <v>1</v>
      </c>
      <c r="O134" s="229"/>
    </row>
    <row r="135" spans="1:15" x14ac:dyDescent="0.2">
      <c r="A135" s="226">
        <v>134</v>
      </c>
      <c r="B135" s="226" t="str">
        <f t="shared" si="27"/>
        <v>SISTEMATANK SIZE 147LFM-2001-12</v>
      </c>
      <c r="C135" s="226">
        <f t="shared" si="26"/>
        <v>1</v>
      </c>
      <c r="D135" s="226" t="s">
        <v>13</v>
      </c>
      <c r="E135" s="226" t="s">
        <v>75</v>
      </c>
      <c r="F135" s="226" t="s">
        <v>15</v>
      </c>
      <c r="G135" s="226">
        <f t="shared" si="25"/>
        <v>12</v>
      </c>
      <c r="H135" s="226" t="s">
        <v>16</v>
      </c>
      <c r="I135" s="227" t="s">
        <v>37</v>
      </c>
      <c r="J135" s="226" t="s">
        <v>38</v>
      </c>
      <c r="K135" s="226" t="s">
        <v>19</v>
      </c>
      <c r="L135" s="226">
        <v>1</v>
      </c>
      <c r="M135" s="228" t="str">
        <f t="shared" si="28"/>
        <v>442928-R2</v>
      </c>
      <c r="N135" s="229">
        <v>1</v>
      </c>
      <c r="O135" s="229"/>
    </row>
    <row r="136" spans="1:15" x14ac:dyDescent="0.2">
      <c r="A136" s="226">
        <v>135</v>
      </c>
      <c r="B136" s="226" t="str">
        <f t="shared" si="27"/>
        <v>SISTEMATANK SIZE 147LFM-2001-13</v>
      </c>
      <c r="C136" s="226">
        <f t="shared" si="26"/>
        <v>1</v>
      </c>
      <c r="D136" s="226" t="s">
        <v>13</v>
      </c>
      <c r="E136" s="226" t="s">
        <v>75</v>
      </c>
      <c r="F136" s="226" t="s">
        <v>15</v>
      </c>
      <c r="G136" s="226">
        <f t="shared" si="25"/>
        <v>13</v>
      </c>
      <c r="H136" s="226" t="s">
        <v>16</v>
      </c>
      <c r="I136" s="227">
        <v>570558</v>
      </c>
      <c r="J136" s="226" t="s">
        <v>65</v>
      </c>
      <c r="K136" s="226" t="s">
        <v>19</v>
      </c>
      <c r="L136" s="226">
        <v>1</v>
      </c>
      <c r="M136" s="228">
        <f t="shared" si="28"/>
        <v>570558</v>
      </c>
      <c r="N136" s="229">
        <v>1</v>
      </c>
      <c r="O136" s="229"/>
    </row>
    <row r="137" spans="1:15" x14ac:dyDescent="0.2">
      <c r="A137" s="226">
        <v>136</v>
      </c>
      <c r="B137" s="226" t="str">
        <f t="shared" si="27"/>
        <v>SISTEMATANK SIZE 147LFM-2001-14</v>
      </c>
      <c r="C137" s="226">
        <f>C131</f>
        <v>1</v>
      </c>
      <c r="D137" s="226" t="s">
        <v>13</v>
      </c>
      <c r="E137" s="226" t="s">
        <v>75</v>
      </c>
      <c r="F137" s="226" t="s">
        <v>15</v>
      </c>
      <c r="G137" s="226">
        <f t="shared" si="25"/>
        <v>14</v>
      </c>
      <c r="M137" s="228">
        <f t="shared" si="28"/>
        <v>0</v>
      </c>
      <c r="N137" s="229">
        <v>1</v>
      </c>
      <c r="O137" s="229"/>
    </row>
    <row r="138" spans="1:15" x14ac:dyDescent="0.2">
      <c r="A138" s="226">
        <v>137</v>
      </c>
      <c r="B138" s="226" t="str">
        <f t="shared" si="27"/>
        <v>SISTEMATANK SIZE 147LFM-2001-15</v>
      </c>
      <c r="C138" s="226">
        <f t="shared" ref="C138:C140" si="29">C137</f>
        <v>1</v>
      </c>
      <c r="D138" s="226" t="s">
        <v>13</v>
      </c>
      <c r="E138" s="226" t="s">
        <v>75</v>
      </c>
      <c r="F138" s="226" t="s">
        <v>15</v>
      </c>
      <c r="G138" s="226">
        <f t="shared" si="25"/>
        <v>15</v>
      </c>
      <c r="H138" s="226" t="s">
        <v>16</v>
      </c>
      <c r="I138" s="227">
        <v>437900</v>
      </c>
      <c r="J138" s="226" t="s">
        <v>40</v>
      </c>
      <c r="K138" s="226" t="s">
        <v>19</v>
      </c>
      <c r="L138" s="226">
        <v>1</v>
      </c>
      <c r="M138" s="228">
        <f t="shared" si="28"/>
        <v>437900</v>
      </c>
      <c r="N138" s="229">
        <v>1</v>
      </c>
      <c r="O138" s="229"/>
    </row>
    <row r="139" spans="1:15" x14ac:dyDescent="0.2">
      <c r="A139" s="226">
        <v>138</v>
      </c>
      <c r="B139" s="226" t="str">
        <f t="shared" si="27"/>
        <v>SISTEMATANK SIZE 147LFM-2001-16</v>
      </c>
      <c r="C139" s="226">
        <f t="shared" si="29"/>
        <v>1</v>
      </c>
      <c r="D139" s="226" t="s">
        <v>13</v>
      </c>
      <c r="E139" s="226" t="s">
        <v>75</v>
      </c>
      <c r="F139" s="226" t="s">
        <v>15</v>
      </c>
      <c r="G139" s="226">
        <f t="shared" si="25"/>
        <v>16</v>
      </c>
      <c r="H139" s="226" t="s">
        <v>16</v>
      </c>
      <c r="I139" s="227">
        <v>415142</v>
      </c>
      <c r="J139" s="226" t="s">
        <v>66</v>
      </c>
      <c r="K139" s="226" t="s">
        <v>19</v>
      </c>
      <c r="L139" s="226">
        <v>1</v>
      </c>
      <c r="M139" s="228">
        <f t="shared" si="28"/>
        <v>415142</v>
      </c>
      <c r="N139" s="229">
        <v>1</v>
      </c>
      <c r="O139" s="229"/>
    </row>
    <row r="140" spans="1:15" x14ac:dyDescent="0.2">
      <c r="A140" s="226">
        <v>139</v>
      </c>
      <c r="B140" s="226" t="str">
        <f t="shared" si="27"/>
        <v>SISTEMATANK SIZE 147LFM-2001-17</v>
      </c>
      <c r="C140" s="226">
        <f t="shared" si="29"/>
        <v>1</v>
      </c>
      <c r="D140" s="226" t="s">
        <v>13</v>
      </c>
      <c r="E140" s="226" t="s">
        <v>75</v>
      </c>
      <c r="F140" s="226" t="s">
        <v>15</v>
      </c>
      <c r="G140" s="226">
        <f t="shared" si="25"/>
        <v>17</v>
      </c>
      <c r="H140" s="226" t="s">
        <v>16</v>
      </c>
      <c r="I140" s="227">
        <v>32338</v>
      </c>
      <c r="J140" s="226" t="s">
        <v>42</v>
      </c>
      <c r="K140" s="226" t="s">
        <v>19</v>
      </c>
      <c r="L140" s="226">
        <v>1</v>
      </c>
      <c r="M140" s="228">
        <f t="shared" si="28"/>
        <v>32338</v>
      </c>
      <c r="N140" s="229">
        <v>1</v>
      </c>
      <c r="O140" s="229"/>
    </row>
    <row r="141" spans="1:15" x14ac:dyDescent="0.2">
      <c r="A141" s="226">
        <v>140</v>
      </c>
      <c r="B141" s="226" t="str">
        <f t="shared" si="27"/>
        <v>-</v>
      </c>
      <c r="M141" s="228">
        <f t="shared" si="28"/>
        <v>0</v>
      </c>
      <c r="N141" s="229">
        <v>1</v>
      </c>
      <c r="O141" s="229"/>
    </row>
    <row r="142" spans="1:15" x14ac:dyDescent="0.2">
      <c r="A142" s="226">
        <v>141</v>
      </c>
      <c r="B142" s="226" t="str">
        <f t="shared" si="27"/>
        <v>OPCIONALTANK SIZE 147LFM-2001-1</v>
      </c>
      <c r="C142" s="226">
        <f>C136</f>
        <v>1</v>
      </c>
      <c r="D142" s="226" t="s">
        <v>43</v>
      </c>
      <c r="E142" s="226" t="s">
        <v>75</v>
      </c>
      <c r="F142" s="226" t="s">
        <v>15</v>
      </c>
      <c r="G142" s="226">
        <v>1</v>
      </c>
      <c r="H142" s="226" t="s">
        <v>16</v>
      </c>
      <c r="I142" s="227" t="s">
        <v>67</v>
      </c>
      <c r="J142" s="226" t="s">
        <v>68</v>
      </c>
      <c r="K142" s="226" t="s">
        <v>19</v>
      </c>
      <c r="L142" s="226">
        <f>L125</f>
        <v>1</v>
      </c>
      <c r="M142" s="228" t="str">
        <f t="shared" si="28"/>
        <v>570538-R2</v>
      </c>
      <c r="N142" s="229">
        <v>1</v>
      </c>
      <c r="O142" s="229"/>
    </row>
    <row r="143" spans="1:15" x14ac:dyDescent="0.2">
      <c r="A143" s="226">
        <v>142</v>
      </c>
      <c r="B143" s="226" t="str">
        <f t="shared" si="27"/>
        <v>OPCIONALTANK SIZE 147LFM-2001-2</v>
      </c>
      <c r="C143" s="226">
        <f t="shared" ref="C143:C147" si="30">C142</f>
        <v>1</v>
      </c>
      <c r="D143" s="226" t="s">
        <v>43</v>
      </c>
      <c r="E143" s="226" t="s">
        <v>75</v>
      </c>
      <c r="F143" s="226" t="s">
        <v>15</v>
      </c>
      <c r="G143" s="226">
        <f t="shared" ref="G143:G147" si="31">+G142+1</f>
        <v>2</v>
      </c>
      <c r="H143" s="226" t="s">
        <v>16</v>
      </c>
      <c r="I143" s="227">
        <v>437900</v>
      </c>
      <c r="J143" s="226" t="s">
        <v>40</v>
      </c>
      <c r="K143" s="226" t="s">
        <v>19</v>
      </c>
      <c r="L143" s="226">
        <v>1</v>
      </c>
      <c r="M143" s="228">
        <f t="shared" si="28"/>
        <v>437900</v>
      </c>
      <c r="N143" s="229">
        <v>1</v>
      </c>
      <c r="O143" s="229"/>
    </row>
    <row r="144" spans="1:15" x14ac:dyDescent="0.2">
      <c r="A144" s="226">
        <v>143</v>
      </c>
      <c r="B144" s="226" t="str">
        <f t="shared" si="27"/>
        <v>OPCIONALTANK SIZE 147LFM-2001-3</v>
      </c>
      <c r="C144" s="226">
        <f t="shared" si="30"/>
        <v>1</v>
      </c>
      <c r="D144" s="226" t="s">
        <v>43</v>
      </c>
      <c r="E144" s="226" t="s">
        <v>75</v>
      </c>
      <c r="F144" s="226" t="s">
        <v>15</v>
      </c>
      <c r="G144" s="226">
        <f t="shared" si="31"/>
        <v>3</v>
      </c>
      <c r="H144" s="226" t="s">
        <v>16</v>
      </c>
      <c r="I144" s="227">
        <v>415142</v>
      </c>
      <c r="J144" s="226" t="s">
        <v>66</v>
      </c>
      <c r="K144" s="226" t="s">
        <v>19</v>
      </c>
      <c r="L144" s="226">
        <v>1</v>
      </c>
      <c r="M144" s="228">
        <f t="shared" si="28"/>
        <v>415142</v>
      </c>
      <c r="N144" s="229">
        <v>1</v>
      </c>
      <c r="O144" s="229"/>
    </row>
    <row r="145" spans="1:15" x14ac:dyDescent="0.2">
      <c r="A145" s="226">
        <v>144</v>
      </c>
      <c r="B145" s="226" t="str">
        <f t="shared" si="27"/>
        <v>OPCIONALTANK SIZE 147LFM-2001-4</v>
      </c>
      <c r="C145" s="226">
        <f t="shared" si="30"/>
        <v>1</v>
      </c>
      <c r="D145" s="226" t="s">
        <v>43</v>
      </c>
      <c r="E145" s="226" t="s">
        <v>75</v>
      </c>
      <c r="F145" s="226" t="s">
        <v>15</v>
      </c>
      <c r="G145" s="226">
        <f t="shared" si="31"/>
        <v>4</v>
      </c>
      <c r="H145" s="226" t="s">
        <v>16</v>
      </c>
      <c r="I145" s="227">
        <v>32338</v>
      </c>
      <c r="J145" s="226" t="s">
        <v>42</v>
      </c>
      <c r="K145" s="226" t="s">
        <v>19</v>
      </c>
      <c r="L145" s="226">
        <v>1</v>
      </c>
      <c r="M145" s="228">
        <f t="shared" si="28"/>
        <v>32338</v>
      </c>
      <c r="N145" s="229">
        <v>1</v>
      </c>
      <c r="O145" s="229"/>
    </row>
    <row r="146" spans="1:15" x14ac:dyDescent="0.2">
      <c r="A146" s="226">
        <v>145</v>
      </c>
      <c r="B146" s="226" t="str">
        <f t="shared" si="27"/>
        <v>OPCIONALTANK SIZE 147LFM-2001-5</v>
      </c>
      <c r="C146" s="226">
        <f t="shared" si="30"/>
        <v>1</v>
      </c>
      <c r="D146" s="226" t="s">
        <v>43</v>
      </c>
      <c r="E146" s="226" t="s">
        <v>75</v>
      </c>
      <c r="F146" s="226" t="s">
        <v>15</v>
      </c>
      <c r="G146" s="226">
        <f t="shared" si="31"/>
        <v>5</v>
      </c>
      <c r="H146" s="226" t="s">
        <v>16</v>
      </c>
      <c r="I146" s="227">
        <v>76498</v>
      </c>
      <c r="J146" s="226" t="s">
        <v>46</v>
      </c>
      <c r="K146" s="226" t="s">
        <v>19</v>
      </c>
      <c r="L146" s="226">
        <v>1</v>
      </c>
      <c r="M146" s="228">
        <f t="shared" si="28"/>
        <v>76498</v>
      </c>
      <c r="N146" s="229">
        <v>1</v>
      </c>
      <c r="O146" s="229"/>
    </row>
    <row r="147" spans="1:15" x14ac:dyDescent="0.2">
      <c r="A147" s="226">
        <v>146</v>
      </c>
      <c r="B147" s="226" t="str">
        <f t="shared" si="27"/>
        <v>OPCIONALTANK SIZE 147LFM-2001-6</v>
      </c>
      <c r="C147" s="226">
        <f t="shared" si="30"/>
        <v>1</v>
      </c>
      <c r="D147" s="226" t="s">
        <v>43</v>
      </c>
      <c r="E147" s="226" t="s">
        <v>75</v>
      </c>
      <c r="F147" s="226" t="s">
        <v>15</v>
      </c>
      <c r="G147" s="226">
        <f t="shared" si="31"/>
        <v>6</v>
      </c>
      <c r="H147" s="226" t="s">
        <v>16</v>
      </c>
      <c r="I147" s="227">
        <v>570278</v>
      </c>
      <c r="J147" s="226" t="s">
        <v>80</v>
      </c>
      <c r="K147" s="226" t="s">
        <v>19</v>
      </c>
      <c r="L147" s="226">
        <v>1</v>
      </c>
      <c r="M147" s="228">
        <f t="shared" si="28"/>
        <v>570278</v>
      </c>
      <c r="N147" s="229">
        <v>1</v>
      </c>
      <c r="O147" s="229"/>
    </row>
    <row r="148" spans="1:15" x14ac:dyDescent="0.2">
      <c r="A148" s="226">
        <v>147</v>
      </c>
      <c r="B148" s="226" t="str">
        <f t="shared" si="27"/>
        <v>-</v>
      </c>
      <c r="M148" s="228">
        <f t="shared" si="28"/>
        <v>0</v>
      </c>
      <c r="N148" s="229">
        <v>1</v>
      </c>
      <c r="O148" s="229"/>
    </row>
    <row r="149" spans="1:15" x14ac:dyDescent="0.2">
      <c r="A149" s="226">
        <v>148</v>
      </c>
      <c r="B149" s="226" t="str">
        <f t="shared" si="27"/>
        <v>SISTEMATANK SIZE 180LFM-2001-1</v>
      </c>
      <c r="C149" s="226">
        <f>L149</f>
        <v>1</v>
      </c>
      <c r="D149" s="226" t="s">
        <v>13</v>
      </c>
      <c r="E149" s="226" t="s">
        <v>81</v>
      </c>
      <c r="F149" s="226" t="s">
        <v>15</v>
      </c>
      <c r="G149" s="226">
        <v>1</v>
      </c>
      <c r="H149" s="226" t="s">
        <v>16</v>
      </c>
      <c r="I149" s="227" t="s">
        <v>17</v>
      </c>
      <c r="J149" s="226" t="s">
        <v>82</v>
      </c>
      <c r="K149" s="226" t="s">
        <v>19</v>
      </c>
      <c r="L149" s="226">
        <v>1</v>
      </c>
      <c r="M149" s="228" t="s">
        <v>83</v>
      </c>
      <c r="N149" s="229">
        <v>1</v>
      </c>
      <c r="O149" s="229"/>
    </row>
    <row r="150" spans="1:15" x14ac:dyDescent="0.2">
      <c r="A150" s="226">
        <v>149</v>
      </c>
      <c r="B150" s="226" t="str">
        <f t="shared" si="27"/>
        <v>SISTEMATANK SIZE 180LFM-2001-2</v>
      </c>
      <c r="C150" s="226">
        <f>C149</f>
        <v>1</v>
      </c>
      <c r="D150" s="226" t="s">
        <v>13</v>
      </c>
      <c r="E150" s="226" t="s">
        <v>81</v>
      </c>
      <c r="F150" s="226" t="s">
        <v>15</v>
      </c>
      <c r="G150" s="226">
        <f t="shared" ref="G150:G165" si="32">+G149+1</f>
        <v>2</v>
      </c>
      <c r="H150" s="226" t="s">
        <v>16</v>
      </c>
      <c r="I150" s="227">
        <v>445738</v>
      </c>
      <c r="J150" s="226" t="s">
        <v>84</v>
      </c>
      <c r="K150" s="226" t="s">
        <v>19</v>
      </c>
      <c r="L150" s="226">
        <v>1</v>
      </c>
      <c r="M150" s="228">
        <f t="shared" si="28"/>
        <v>445738</v>
      </c>
      <c r="N150" s="229">
        <v>1</v>
      </c>
      <c r="O150" s="229"/>
    </row>
    <row r="151" spans="1:15" x14ac:dyDescent="0.2">
      <c r="A151" s="226">
        <v>150</v>
      </c>
      <c r="B151" s="226" t="str">
        <f t="shared" si="27"/>
        <v>SISTEMATANK SIZE 180LFM-2001-3</v>
      </c>
      <c r="C151" s="226">
        <f t="shared" ref="C151:C161" si="33">C150</f>
        <v>1</v>
      </c>
      <c r="D151" s="226" t="s">
        <v>13</v>
      </c>
      <c r="E151" s="226" t="s">
        <v>81</v>
      </c>
      <c r="F151" s="226" t="s">
        <v>15</v>
      </c>
      <c r="G151" s="226">
        <f t="shared" si="32"/>
        <v>3</v>
      </c>
      <c r="H151" s="226" t="s">
        <v>16</v>
      </c>
      <c r="I151" s="227" t="s">
        <v>22</v>
      </c>
      <c r="J151" s="226" t="s">
        <v>23</v>
      </c>
      <c r="K151" s="226" t="s">
        <v>19</v>
      </c>
      <c r="L151" s="230">
        <f>'COT AGENTES'!$H$5</f>
        <v>2</v>
      </c>
      <c r="M151" s="228">
        <v>453646</v>
      </c>
      <c r="N151" s="229">
        <v>1</v>
      </c>
      <c r="O151" s="229"/>
    </row>
    <row r="152" spans="1:15" x14ac:dyDescent="0.2">
      <c r="A152" s="226">
        <v>151</v>
      </c>
      <c r="B152" s="226" t="str">
        <f t="shared" si="27"/>
        <v>SISTEMATANK SIZE 180LFM-2001-4</v>
      </c>
      <c r="C152" s="226">
        <f t="shared" si="33"/>
        <v>1</v>
      </c>
      <c r="D152" s="226" t="s">
        <v>13</v>
      </c>
      <c r="E152" s="226" t="s">
        <v>81</v>
      </c>
      <c r="F152" s="226" t="s">
        <v>15</v>
      </c>
      <c r="G152" s="226">
        <f t="shared" si="32"/>
        <v>4</v>
      </c>
      <c r="H152" s="226" t="s">
        <v>16</v>
      </c>
      <c r="I152" s="227">
        <v>570055</v>
      </c>
      <c r="J152" s="226" t="s">
        <v>24</v>
      </c>
      <c r="K152" s="226" t="s">
        <v>19</v>
      </c>
      <c r="L152" s="226">
        <v>1</v>
      </c>
      <c r="M152" s="228">
        <f t="shared" si="28"/>
        <v>570055</v>
      </c>
      <c r="N152" s="229">
        <v>1</v>
      </c>
      <c r="O152" s="229"/>
    </row>
    <row r="153" spans="1:15" x14ac:dyDescent="0.2">
      <c r="A153" s="226">
        <v>152</v>
      </c>
      <c r="B153" s="226" t="str">
        <f t="shared" si="27"/>
        <v>SISTEMATANK SIZE 180LFM-2001-5</v>
      </c>
      <c r="C153" s="226">
        <f t="shared" si="33"/>
        <v>1</v>
      </c>
      <c r="D153" s="226" t="s">
        <v>13</v>
      </c>
      <c r="E153" s="226" t="s">
        <v>81</v>
      </c>
      <c r="F153" s="226" t="s">
        <v>15</v>
      </c>
      <c r="G153" s="226">
        <f t="shared" si="32"/>
        <v>5</v>
      </c>
      <c r="H153" s="226" t="s">
        <v>16</v>
      </c>
      <c r="I153" s="227">
        <v>314205314</v>
      </c>
      <c r="J153" s="226" t="s">
        <v>56</v>
      </c>
      <c r="K153" s="226" t="s">
        <v>19</v>
      </c>
      <c r="L153" s="226">
        <v>1</v>
      </c>
      <c r="M153" s="228">
        <f t="shared" si="28"/>
        <v>314205314</v>
      </c>
      <c r="N153" s="229">
        <v>1</v>
      </c>
      <c r="O153" s="229"/>
    </row>
    <row r="154" spans="1:15" x14ac:dyDescent="0.2">
      <c r="A154" s="226">
        <v>153</v>
      </c>
      <c r="B154" s="226" t="str">
        <f t="shared" si="27"/>
        <v>SISTEMATANK SIZE 180LFM-2001-6</v>
      </c>
      <c r="C154" s="226">
        <f t="shared" si="33"/>
        <v>1</v>
      </c>
      <c r="D154" s="226" t="s">
        <v>13</v>
      </c>
      <c r="E154" s="226" t="s">
        <v>81</v>
      </c>
      <c r="F154" s="226" t="s">
        <v>15</v>
      </c>
      <c r="G154" s="226">
        <f t="shared" si="32"/>
        <v>6</v>
      </c>
      <c r="H154" s="226" t="s">
        <v>16</v>
      </c>
      <c r="I154" s="227">
        <v>570585</v>
      </c>
      <c r="J154" s="226" t="s">
        <v>26</v>
      </c>
      <c r="K154" s="226" t="s">
        <v>19</v>
      </c>
      <c r="L154" s="226">
        <v>1</v>
      </c>
      <c r="M154" s="228">
        <f t="shared" si="28"/>
        <v>570585</v>
      </c>
      <c r="N154" s="229">
        <v>1</v>
      </c>
      <c r="O154" s="229"/>
    </row>
    <row r="155" spans="1:15" x14ac:dyDescent="0.2">
      <c r="A155" s="226">
        <v>154</v>
      </c>
      <c r="B155" s="226" t="str">
        <f t="shared" si="27"/>
        <v>SISTEMATANK SIZE 180LFM-2001-7</v>
      </c>
      <c r="C155" s="226">
        <f t="shared" si="33"/>
        <v>1</v>
      </c>
      <c r="D155" s="226" t="s">
        <v>13</v>
      </c>
      <c r="E155" s="226" t="s">
        <v>81</v>
      </c>
      <c r="F155" s="226" t="s">
        <v>15</v>
      </c>
      <c r="G155" s="226">
        <f t="shared" si="32"/>
        <v>7</v>
      </c>
      <c r="H155" s="226" t="s">
        <v>16</v>
      </c>
      <c r="I155" s="227">
        <v>304205030</v>
      </c>
      <c r="J155" s="226" t="s">
        <v>27</v>
      </c>
      <c r="K155" s="226" t="s">
        <v>19</v>
      </c>
      <c r="L155" s="226">
        <v>1</v>
      </c>
      <c r="M155" s="228">
        <f t="shared" si="28"/>
        <v>304205030</v>
      </c>
      <c r="N155" s="229">
        <v>1</v>
      </c>
      <c r="O155" s="229"/>
    </row>
    <row r="156" spans="1:15" x14ac:dyDescent="0.2">
      <c r="A156" s="226">
        <v>155</v>
      </c>
      <c r="B156" s="226" t="str">
        <f t="shared" si="27"/>
        <v>SISTEMATANK SIZE 180LFM-2001-8</v>
      </c>
      <c r="C156" s="226">
        <f t="shared" si="33"/>
        <v>1</v>
      </c>
      <c r="D156" s="226" t="s">
        <v>13</v>
      </c>
      <c r="E156" s="226" t="s">
        <v>81</v>
      </c>
      <c r="F156" s="226" t="s">
        <v>15</v>
      </c>
      <c r="G156" s="226">
        <f t="shared" si="32"/>
        <v>8</v>
      </c>
      <c r="H156" s="226" t="s">
        <v>16</v>
      </c>
      <c r="I156" s="227" t="s">
        <v>28</v>
      </c>
      <c r="J156" s="226" t="s">
        <v>29</v>
      </c>
      <c r="K156" s="226" t="s">
        <v>19</v>
      </c>
      <c r="L156" s="226">
        <v>1</v>
      </c>
      <c r="M156" s="228" t="str">
        <f t="shared" si="28"/>
        <v>A1638150HY</v>
      </c>
      <c r="N156" s="229">
        <v>1</v>
      </c>
      <c r="O156" s="229"/>
    </row>
    <row r="157" spans="1:15" x14ac:dyDescent="0.2">
      <c r="A157" s="226">
        <v>156</v>
      </c>
      <c r="B157" s="226" t="str">
        <f t="shared" si="27"/>
        <v>SISTEMATANK SIZE 180LFM-2001-9</v>
      </c>
      <c r="C157" s="226">
        <f t="shared" si="33"/>
        <v>1</v>
      </c>
      <c r="D157" s="226" t="s">
        <v>13</v>
      </c>
      <c r="E157" s="226" t="s">
        <v>81</v>
      </c>
      <c r="F157" s="226" t="s">
        <v>15</v>
      </c>
      <c r="G157" s="226">
        <f t="shared" si="32"/>
        <v>9</v>
      </c>
      <c r="H157" s="226" t="s">
        <v>16</v>
      </c>
      <c r="I157" s="227" t="s">
        <v>62</v>
      </c>
      <c r="J157" s="226" t="s">
        <v>63</v>
      </c>
      <c r="K157" s="226" t="s">
        <v>19</v>
      </c>
      <c r="L157" s="226">
        <v>2</v>
      </c>
      <c r="M157" s="228" t="str">
        <f t="shared" si="28"/>
        <v>570092-R2</v>
      </c>
      <c r="N157" s="229">
        <v>1</v>
      </c>
      <c r="O157" s="229"/>
    </row>
    <row r="158" spans="1:15" x14ac:dyDescent="0.2">
      <c r="A158" s="226">
        <v>157</v>
      </c>
      <c r="B158" s="226" t="str">
        <f t="shared" si="27"/>
        <v>SISTEMATANK SIZE 180LFM-2001-10</v>
      </c>
      <c r="C158" s="226">
        <f t="shared" si="33"/>
        <v>1</v>
      </c>
      <c r="D158" s="226" t="s">
        <v>13</v>
      </c>
      <c r="E158" s="226" t="s">
        <v>81</v>
      </c>
      <c r="F158" s="226" t="s">
        <v>15</v>
      </c>
      <c r="G158" s="226">
        <f t="shared" si="32"/>
        <v>10</v>
      </c>
      <c r="H158" s="226" t="s">
        <v>16</v>
      </c>
      <c r="I158" s="227" t="s">
        <v>32</v>
      </c>
      <c r="J158" s="226" t="s">
        <v>33</v>
      </c>
      <c r="K158" s="226" t="s">
        <v>19</v>
      </c>
      <c r="L158" s="230">
        <f>'COT AGENTES'!$M$11</f>
        <v>1</v>
      </c>
      <c r="M158" s="228" t="s">
        <v>85</v>
      </c>
      <c r="N158" s="229">
        <v>1</v>
      </c>
      <c r="O158" s="229"/>
    </row>
    <row r="159" spans="1:15" x14ac:dyDescent="0.2">
      <c r="A159" s="226">
        <v>158</v>
      </c>
      <c r="B159" s="226" t="str">
        <f t="shared" si="27"/>
        <v>SISTEMATANK SIZE 180LFM-2001-11</v>
      </c>
      <c r="C159" s="226">
        <f t="shared" si="33"/>
        <v>1</v>
      </c>
      <c r="D159" s="226" t="s">
        <v>13</v>
      </c>
      <c r="E159" s="226" t="s">
        <v>81</v>
      </c>
      <c r="F159" s="226" t="s">
        <v>15</v>
      </c>
      <c r="G159" s="226">
        <f t="shared" si="32"/>
        <v>11</v>
      </c>
      <c r="H159" s="226" t="s">
        <v>16</v>
      </c>
      <c r="I159" s="227" t="s">
        <v>35</v>
      </c>
      <c r="J159" s="226" t="s">
        <v>36</v>
      </c>
      <c r="K159" s="226" t="s">
        <v>19</v>
      </c>
      <c r="L159" s="226">
        <v>1</v>
      </c>
      <c r="M159" s="228" t="str">
        <f t="shared" si="28"/>
        <v>442927-R2</v>
      </c>
      <c r="N159" s="229">
        <v>1</v>
      </c>
      <c r="O159" s="229"/>
    </row>
    <row r="160" spans="1:15" x14ac:dyDescent="0.2">
      <c r="A160" s="226">
        <v>159</v>
      </c>
      <c r="B160" s="226" t="str">
        <f t="shared" si="27"/>
        <v>SISTEMATANK SIZE 180LFM-2001-12</v>
      </c>
      <c r="C160" s="226">
        <f t="shared" si="33"/>
        <v>1</v>
      </c>
      <c r="D160" s="226" t="s">
        <v>13</v>
      </c>
      <c r="E160" s="226" t="s">
        <v>81</v>
      </c>
      <c r="F160" s="226" t="s">
        <v>15</v>
      </c>
      <c r="G160" s="226">
        <f t="shared" si="32"/>
        <v>12</v>
      </c>
      <c r="H160" s="226" t="s">
        <v>16</v>
      </c>
      <c r="I160" s="227" t="s">
        <v>37</v>
      </c>
      <c r="J160" s="226" t="s">
        <v>38</v>
      </c>
      <c r="K160" s="226" t="s">
        <v>19</v>
      </c>
      <c r="L160" s="226">
        <v>1</v>
      </c>
      <c r="M160" s="228" t="str">
        <f t="shared" si="28"/>
        <v>442928-R2</v>
      </c>
      <c r="N160" s="229">
        <v>1</v>
      </c>
      <c r="O160" s="229"/>
    </row>
    <row r="161" spans="1:15" x14ac:dyDescent="0.2">
      <c r="A161" s="226">
        <v>160</v>
      </c>
      <c r="B161" s="226" t="str">
        <f t="shared" si="27"/>
        <v>SISTEMATANK SIZE 180LFM-2001-13</v>
      </c>
      <c r="C161" s="226">
        <f t="shared" si="33"/>
        <v>1</v>
      </c>
      <c r="D161" s="226" t="s">
        <v>13</v>
      </c>
      <c r="E161" s="226" t="s">
        <v>81</v>
      </c>
      <c r="F161" s="226" t="s">
        <v>15</v>
      </c>
      <c r="G161" s="226">
        <f t="shared" si="32"/>
        <v>13</v>
      </c>
      <c r="H161" s="226" t="s">
        <v>16</v>
      </c>
      <c r="I161" s="227">
        <v>570558</v>
      </c>
      <c r="J161" s="226" t="s">
        <v>65</v>
      </c>
      <c r="K161" s="226" t="s">
        <v>19</v>
      </c>
      <c r="L161" s="226">
        <f>L150</f>
        <v>1</v>
      </c>
      <c r="M161" s="228">
        <f t="shared" si="28"/>
        <v>570558</v>
      </c>
      <c r="N161" s="229">
        <v>1</v>
      </c>
      <c r="O161" s="229"/>
    </row>
    <row r="162" spans="1:15" x14ac:dyDescent="0.2">
      <c r="A162" s="226">
        <v>161</v>
      </c>
      <c r="B162" s="226" t="str">
        <f t="shared" si="27"/>
        <v>SISTEMATANK SIZE 180LFM-2001-14</v>
      </c>
      <c r="C162" s="226">
        <f>C156</f>
        <v>1</v>
      </c>
      <c r="D162" s="226" t="s">
        <v>13</v>
      </c>
      <c r="E162" s="226" t="s">
        <v>81</v>
      </c>
      <c r="F162" s="226" t="s">
        <v>15</v>
      </c>
      <c r="G162" s="226">
        <f t="shared" si="32"/>
        <v>14</v>
      </c>
      <c r="M162" s="228">
        <f t="shared" si="28"/>
        <v>0</v>
      </c>
      <c r="N162" s="229">
        <v>1</v>
      </c>
      <c r="O162" s="229"/>
    </row>
    <row r="163" spans="1:15" x14ac:dyDescent="0.2">
      <c r="A163" s="226">
        <v>162</v>
      </c>
      <c r="B163" s="226" t="str">
        <f t="shared" si="27"/>
        <v>SISTEMATANK SIZE 180LFM-2001-15</v>
      </c>
      <c r="C163" s="226">
        <f t="shared" ref="C163:C165" si="34">C162</f>
        <v>1</v>
      </c>
      <c r="D163" s="226" t="s">
        <v>13</v>
      </c>
      <c r="E163" s="226" t="s">
        <v>81</v>
      </c>
      <c r="F163" s="226" t="s">
        <v>15</v>
      </c>
      <c r="G163" s="226">
        <f t="shared" si="32"/>
        <v>15</v>
      </c>
      <c r="H163" s="226" t="s">
        <v>16</v>
      </c>
      <c r="I163" s="227">
        <v>437900</v>
      </c>
      <c r="J163" s="226" t="s">
        <v>40</v>
      </c>
      <c r="K163" s="226" t="s">
        <v>19</v>
      </c>
      <c r="L163" s="226">
        <v>1</v>
      </c>
      <c r="M163" s="228">
        <f t="shared" si="28"/>
        <v>437900</v>
      </c>
      <c r="N163" s="229">
        <v>1</v>
      </c>
      <c r="O163" s="229"/>
    </row>
    <row r="164" spans="1:15" x14ac:dyDescent="0.2">
      <c r="A164" s="226">
        <v>163</v>
      </c>
      <c r="B164" s="226" t="str">
        <f t="shared" si="27"/>
        <v>SISTEMATANK SIZE 180LFM-2001-16</v>
      </c>
      <c r="C164" s="226">
        <f t="shared" si="34"/>
        <v>1</v>
      </c>
      <c r="D164" s="226" t="s">
        <v>13</v>
      </c>
      <c r="E164" s="226" t="s">
        <v>81</v>
      </c>
      <c r="F164" s="226" t="s">
        <v>15</v>
      </c>
      <c r="G164" s="226">
        <f t="shared" si="32"/>
        <v>16</v>
      </c>
      <c r="H164" s="226" t="s">
        <v>16</v>
      </c>
      <c r="I164" s="227">
        <v>415142</v>
      </c>
      <c r="J164" s="226" t="s">
        <v>66</v>
      </c>
      <c r="K164" s="226" t="s">
        <v>19</v>
      </c>
      <c r="L164" s="226">
        <v>1</v>
      </c>
      <c r="M164" s="228">
        <f t="shared" si="28"/>
        <v>415142</v>
      </c>
      <c r="N164" s="229">
        <v>1</v>
      </c>
      <c r="O164" s="229"/>
    </row>
    <row r="165" spans="1:15" x14ac:dyDescent="0.2">
      <c r="A165" s="226">
        <v>164</v>
      </c>
      <c r="B165" s="226" t="str">
        <f t="shared" si="27"/>
        <v>SISTEMATANK SIZE 180LFM-2001-17</v>
      </c>
      <c r="C165" s="226">
        <f t="shared" si="34"/>
        <v>1</v>
      </c>
      <c r="D165" s="226" t="s">
        <v>13</v>
      </c>
      <c r="E165" s="226" t="s">
        <v>81</v>
      </c>
      <c r="F165" s="226" t="s">
        <v>15</v>
      </c>
      <c r="G165" s="226">
        <f t="shared" si="32"/>
        <v>17</v>
      </c>
      <c r="H165" s="226" t="s">
        <v>16</v>
      </c>
      <c r="I165" s="227">
        <v>32338</v>
      </c>
      <c r="J165" s="226" t="s">
        <v>42</v>
      </c>
      <c r="K165" s="226" t="s">
        <v>19</v>
      </c>
      <c r="L165" s="226">
        <v>1</v>
      </c>
      <c r="M165" s="228">
        <f t="shared" si="28"/>
        <v>32338</v>
      </c>
      <c r="N165" s="229">
        <v>1</v>
      </c>
      <c r="O165" s="229"/>
    </row>
    <row r="166" spans="1:15" x14ac:dyDescent="0.2">
      <c r="A166" s="226">
        <v>165</v>
      </c>
      <c r="B166" s="226" t="str">
        <f t="shared" si="27"/>
        <v>-</v>
      </c>
      <c r="M166" s="228">
        <f t="shared" si="28"/>
        <v>0</v>
      </c>
      <c r="N166" s="229">
        <v>1</v>
      </c>
      <c r="O166" s="229"/>
    </row>
    <row r="167" spans="1:15" x14ac:dyDescent="0.2">
      <c r="A167" s="226">
        <v>166</v>
      </c>
      <c r="B167" s="226" t="str">
        <f t="shared" si="27"/>
        <v>OPCIONALTANK SIZE 180LFM-2001-1</v>
      </c>
      <c r="C167" s="226">
        <f>C161</f>
        <v>1</v>
      </c>
      <c r="D167" s="226" t="s">
        <v>43</v>
      </c>
      <c r="E167" s="226" t="s">
        <v>81</v>
      </c>
      <c r="F167" s="226" t="s">
        <v>15</v>
      </c>
      <c r="G167" s="226">
        <v>1</v>
      </c>
      <c r="H167" s="226" t="s">
        <v>16</v>
      </c>
      <c r="I167" s="227" t="s">
        <v>67</v>
      </c>
      <c r="J167" s="226" t="s">
        <v>68</v>
      </c>
      <c r="K167" s="226" t="s">
        <v>19</v>
      </c>
      <c r="L167" s="226">
        <f>L150</f>
        <v>1</v>
      </c>
      <c r="M167" s="228" t="str">
        <f t="shared" si="28"/>
        <v>570538-R2</v>
      </c>
      <c r="N167" s="229">
        <v>1</v>
      </c>
      <c r="O167" s="229"/>
    </row>
    <row r="168" spans="1:15" x14ac:dyDescent="0.2">
      <c r="A168" s="226">
        <v>167</v>
      </c>
      <c r="B168" s="226" t="str">
        <f t="shared" si="27"/>
        <v>OPCIONALTANK SIZE 180LFM-2001-2</v>
      </c>
      <c r="C168" s="226">
        <f t="shared" ref="C168:C172" si="35">C167</f>
        <v>1</v>
      </c>
      <c r="D168" s="226" t="s">
        <v>43</v>
      </c>
      <c r="E168" s="226" t="s">
        <v>81</v>
      </c>
      <c r="F168" s="226" t="s">
        <v>15</v>
      </c>
      <c r="G168" s="226">
        <f t="shared" ref="G168:G172" si="36">+G167+1</f>
        <v>2</v>
      </c>
      <c r="H168" s="226" t="s">
        <v>16</v>
      </c>
      <c r="I168" s="227">
        <v>437900</v>
      </c>
      <c r="J168" s="226" t="s">
        <v>40</v>
      </c>
      <c r="K168" s="226" t="s">
        <v>19</v>
      </c>
      <c r="L168" s="226">
        <v>1</v>
      </c>
      <c r="M168" s="228">
        <f t="shared" si="28"/>
        <v>437900</v>
      </c>
      <c r="N168" s="229">
        <v>1</v>
      </c>
      <c r="O168" s="229"/>
    </row>
    <row r="169" spans="1:15" x14ac:dyDescent="0.2">
      <c r="A169" s="226">
        <v>168</v>
      </c>
      <c r="B169" s="226" t="str">
        <f t="shared" si="27"/>
        <v>OPCIONALTANK SIZE 180LFM-2001-3</v>
      </c>
      <c r="C169" s="226">
        <f t="shared" si="35"/>
        <v>1</v>
      </c>
      <c r="D169" s="226" t="s">
        <v>43</v>
      </c>
      <c r="E169" s="226" t="s">
        <v>81</v>
      </c>
      <c r="F169" s="226" t="s">
        <v>15</v>
      </c>
      <c r="G169" s="226">
        <f t="shared" si="36"/>
        <v>3</v>
      </c>
      <c r="H169" s="226" t="s">
        <v>16</v>
      </c>
      <c r="I169" s="227">
        <v>415142</v>
      </c>
      <c r="J169" s="226" t="s">
        <v>66</v>
      </c>
      <c r="K169" s="226" t="s">
        <v>19</v>
      </c>
      <c r="L169" s="226">
        <v>1</v>
      </c>
      <c r="M169" s="228">
        <f t="shared" si="28"/>
        <v>415142</v>
      </c>
      <c r="N169" s="229">
        <v>1</v>
      </c>
      <c r="O169" s="229"/>
    </row>
    <row r="170" spans="1:15" x14ac:dyDescent="0.2">
      <c r="A170" s="226">
        <v>169</v>
      </c>
      <c r="B170" s="226" t="str">
        <f t="shared" si="27"/>
        <v>OPCIONALTANK SIZE 180LFM-2001-4</v>
      </c>
      <c r="C170" s="226">
        <f t="shared" si="35"/>
        <v>1</v>
      </c>
      <c r="D170" s="226" t="s">
        <v>43</v>
      </c>
      <c r="E170" s="226" t="s">
        <v>81</v>
      </c>
      <c r="F170" s="226" t="s">
        <v>15</v>
      </c>
      <c r="G170" s="226">
        <f t="shared" si="36"/>
        <v>4</v>
      </c>
      <c r="H170" s="226" t="s">
        <v>16</v>
      </c>
      <c r="I170" s="227">
        <v>32338</v>
      </c>
      <c r="J170" s="226" t="s">
        <v>42</v>
      </c>
      <c r="K170" s="226" t="s">
        <v>19</v>
      </c>
      <c r="L170" s="226">
        <v>1</v>
      </c>
      <c r="M170" s="228">
        <f t="shared" si="28"/>
        <v>32338</v>
      </c>
      <c r="N170" s="229">
        <v>1</v>
      </c>
      <c r="O170" s="229"/>
    </row>
    <row r="171" spans="1:15" x14ac:dyDescent="0.2">
      <c r="A171" s="226">
        <v>170</v>
      </c>
      <c r="B171" s="226" t="str">
        <f t="shared" si="27"/>
        <v>OPCIONALTANK SIZE 180LFM-2001-5</v>
      </c>
      <c r="C171" s="226">
        <f t="shared" si="35"/>
        <v>1</v>
      </c>
      <c r="D171" s="226" t="s">
        <v>43</v>
      </c>
      <c r="E171" s="226" t="s">
        <v>81</v>
      </c>
      <c r="F171" s="226" t="s">
        <v>15</v>
      </c>
      <c r="G171" s="226">
        <f t="shared" si="36"/>
        <v>5</v>
      </c>
      <c r="H171" s="226" t="s">
        <v>16</v>
      </c>
      <c r="I171" s="227">
        <v>76498</v>
      </c>
      <c r="J171" s="226" t="s">
        <v>46</v>
      </c>
      <c r="K171" s="226" t="s">
        <v>19</v>
      </c>
      <c r="L171" s="226">
        <v>1</v>
      </c>
      <c r="M171" s="228">
        <f t="shared" si="28"/>
        <v>76498</v>
      </c>
      <c r="N171" s="229">
        <v>1</v>
      </c>
      <c r="O171" s="229"/>
    </row>
    <row r="172" spans="1:15" x14ac:dyDescent="0.2">
      <c r="A172" s="226">
        <v>171</v>
      </c>
      <c r="B172" s="226" t="str">
        <f t="shared" si="27"/>
        <v>OPCIONALTANK SIZE 180LFM-2001-6</v>
      </c>
      <c r="C172" s="226">
        <f t="shared" si="35"/>
        <v>1</v>
      </c>
      <c r="D172" s="226" t="s">
        <v>43</v>
      </c>
      <c r="E172" s="226" t="s">
        <v>81</v>
      </c>
      <c r="F172" s="226" t="s">
        <v>15</v>
      </c>
      <c r="G172" s="226">
        <f t="shared" si="36"/>
        <v>6</v>
      </c>
      <c r="H172" s="226" t="s">
        <v>16</v>
      </c>
      <c r="I172" s="227">
        <v>570278</v>
      </c>
      <c r="J172" s="226" t="s">
        <v>80</v>
      </c>
      <c r="K172" s="226" t="s">
        <v>19</v>
      </c>
      <c r="L172" s="226">
        <v>1</v>
      </c>
      <c r="M172" s="228">
        <f t="shared" si="28"/>
        <v>570278</v>
      </c>
      <c r="N172" s="229">
        <v>1</v>
      </c>
      <c r="O172" s="229"/>
    </row>
    <row r="173" spans="1:15" x14ac:dyDescent="0.2">
      <c r="A173" s="226">
        <v>172</v>
      </c>
      <c r="B173" s="226" t="str">
        <f t="shared" si="27"/>
        <v>-</v>
      </c>
      <c r="M173" s="228">
        <f t="shared" si="28"/>
        <v>0</v>
      </c>
      <c r="N173" s="229">
        <v>1</v>
      </c>
      <c r="O173" s="229"/>
    </row>
    <row r="174" spans="1:15" x14ac:dyDescent="0.2">
      <c r="A174" s="226">
        <v>173</v>
      </c>
      <c r="B174" s="226" t="str">
        <f t="shared" si="27"/>
        <v>SISTEMATANK SIZE 343LFM-2001-1</v>
      </c>
      <c r="C174" s="226">
        <f>L174</f>
        <v>1</v>
      </c>
      <c r="D174" s="226" t="s">
        <v>13</v>
      </c>
      <c r="E174" s="226" t="s">
        <v>86</v>
      </c>
      <c r="F174" s="226" t="s">
        <v>15</v>
      </c>
      <c r="G174" s="226">
        <v>1</v>
      </c>
      <c r="H174" s="226" t="s">
        <v>16</v>
      </c>
      <c r="I174" s="227" t="s">
        <v>17</v>
      </c>
      <c r="J174" s="226" t="s">
        <v>87</v>
      </c>
      <c r="K174" s="226" t="s">
        <v>19</v>
      </c>
      <c r="L174" s="226">
        <v>1</v>
      </c>
      <c r="M174" s="228" t="s">
        <v>88</v>
      </c>
      <c r="N174" s="229">
        <v>1</v>
      </c>
      <c r="O174" s="229"/>
    </row>
    <row r="175" spans="1:15" x14ac:dyDescent="0.2">
      <c r="A175" s="226">
        <v>174</v>
      </c>
      <c r="B175" s="226" t="str">
        <f t="shared" si="27"/>
        <v>SISTEMATANK SIZE 343LFM-2001-2</v>
      </c>
      <c r="C175" s="226">
        <f>C174</f>
        <v>1</v>
      </c>
      <c r="D175" s="226" t="s">
        <v>13</v>
      </c>
      <c r="E175" s="226" t="s">
        <v>86</v>
      </c>
      <c r="F175" s="226" t="s">
        <v>15</v>
      </c>
      <c r="G175" s="226">
        <f t="shared" ref="G175:G199" si="37">+G174+1</f>
        <v>2</v>
      </c>
      <c r="H175" s="226" t="s">
        <v>16</v>
      </c>
      <c r="I175" s="227">
        <v>445739</v>
      </c>
      <c r="J175" s="226" t="s">
        <v>89</v>
      </c>
      <c r="K175" s="226" t="s">
        <v>19</v>
      </c>
      <c r="L175" s="226">
        <v>1</v>
      </c>
      <c r="M175" s="228">
        <f t="shared" si="28"/>
        <v>445739</v>
      </c>
      <c r="N175" s="229">
        <v>1</v>
      </c>
      <c r="O175" s="229"/>
    </row>
    <row r="176" spans="1:15" x14ac:dyDescent="0.2">
      <c r="A176" s="226">
        <v>175</v>
      </c>
      <c r="B176" s="226" t="str">
        <f t="shared" si="27"/>
        <v>SISTEMATANK SIZE 343LFM-2001-3</v>
      </c>
      <c r="C176" s="226">
        <f t="shared" ref="C176:C186" si="38">C175</f>
        <v>1</v>
      </c>
      <c r="D176" s="226" t="s">
        <v>13</v>
      </c>
      <c r="E176" s="226" t="s">
        <v>86</v>
      </c>
      <c r="F176" s="226" t="s">
        <v>15</v>
      </c>
      <c r="G176" s="226">
        <f t="shared" si="37"/>
        <v>3</v>
      </c>
      <c r="H176" s="226" t="s">
        <v>16</v>
      </c>
      <c r="I176" s="227" t="s">
        <v>22</v>
      </c>
      <c r="J176" s="226" t="s">
        <v>23</v>
      </c>
      <c r="K176" s="226" t="s">
        <v>19</v>
      </c>
      <c r="L176" s="230">
        <f>'COT AGENTES'!$H$5</f>
        <v>2</v>
      </c>
      <c r="M176" s="228">
        <v>453646</v>
      </c>
      <c r="N176" s="229">
        <v>1</v>
      </c>
      <c r="O176" s="229"/>
    </row>
    <row r="177" spans="1:15" x14ac:dyDescent="0.2">
      <c r="A177" s="226">
        <v>176</v>
      </c>
      <c r="B177" s="226" t="str">
        <f t="shared" si="27"/>
        <v>SISTEMATANK SIZE 343LFM-2001-4</v>
      </c>
      <c r="C177" s="226">
        <f t="shared" si="38"/>
        <v>1</v>
      </c>
      <c r="D177" s="226" t="s">
        <v>13</v>
      </c>
      <c r="E177" s="226" t="s">
        <v>86</v>
      </c>
      <c r="F177" s="226" t="s">
        <v>15</v>
      </c>
      <c r="G177" s="226">
        <f t="shared" si="37"/>
        <v>4</v>
      </c>
      <c r="H177" s="226" t="s">
        <v>16</v>
      </c>
      <c r="I177" s="227">
        <v>570055</v>
      </c>
      <c r="J177" s="226" t="s">
        <v>24</v>
      </c>
      <c r="K177" s="226" t="s">
        <v>19</v>
      </c>
      <c r="L177" s="226">
        <v>1</v>
      </c>
      <c r="M177" s="228">
        <f t="shared" si="28"/>
        <v>570055</v>
      </c>
      <c r="N177" s="229">
        <v>1</v>
      </c>
      <c r="O177" s="229"/>
    </row>
    <row r="178" spans="1:15" x14ac:dyDescent="0.2">
      <c r="A178" s="226">
        <v>177</v>
      </c>
      <c r="B178" s="226" t="str">
        <f t="shared" si="27"/>
        <v>SISTEMATANK SIZE 343LFM-2001-5</v>
      </c>
      <c r="C178" s="226">
        <f t="shared" si="38"/>
        <v>1</v>
      </c>
      <c r="D178" s="226" t="s">
        <v>13</v>
      </c>
      <c r="E178" s="226" t="s">
        <v>86</v>
      </c>
      <c r="F178" s="226" t="s">
        <v>15</v>
      </c>
      <c r="G178" s="226">
        <f t="shared" si="37"/>
        <v>5</v>
      </c>
      <c r="H178" s="226" t="s">
        <v>16</v>
      </c>
      <c r="I178" s="227">
        <v>314205314</v>
      </c>
      <c r="J178" s="226" t="s">
        <v>56</v>
      </c>
      <c r="K178" s="226" t="s">
        <v>19</v>
      </c>
      <c r="L178" s="226">
        <v>1</v>
      </c>
      <c r="M178" s="228">
        <f t="shared" si="28"/>
        <v>314205314</v>
      </c>
      <c r="N178" s="229">
        <v>1</v>
      </c>
      <c r="O178" s="229"/>
    </row>
    <row r="179" spans="1:15" x14ac:dyDescent="0.2">
      <c r="A179" s="226">
        <v>178</v>
      </c>
      <c r="B179" s="226" t="str">
        <f t="shared" si="27"/>
        <v>SISTEMATANK SIZE 343LFM-2001-6</v>
      </c>
      <c r="C179" s="226">
        <f t="shared" si="38"/>
        <v>1</v>
      </c>
      <c r="D179" s="226" t="s">
        <v>13</v>
      </c>
      <c r="E179" s="226" t="s">
        <v>86</v>
      </c>
      <c r="F179" s="226" t="s">
        <v>15</v>
      </c>
      <c r="G179" s="226">
        <f t="shared" si="37"/>
        <v>6</v>
      </c>
      <c r="H179" s="226" t="s">
        <v>16</v>
      </c>
      <c r="I179" s="227">
        <v>570585</v>
      </c>
      <c r="J179" s="226" t="s">
        <v>26</v>
      </c>
      <c r="K179" s="226" t="s">
        <v>19</v>
      </c>
      <c r="L179" s="226">
        <v>1</v>
      </c>
      <c r="M179" s="228">
        <f t="shared" si="28"/>
        <v>570585</v>
      </c>
      <c r="N179" s="229">
        <v>1</v>
      </c>
      <c r="O179" s="229"/>
    </row>
    <row r="180" spans="1:15" x14ac:dyDescent="0.2">
      <c r="A180" s="226">
        <v>179</v>
      </c>
      <c r="B180" s="226" t="str">
        <f t="shared" si="27"/>
        <v>SISTEMATANK SIZE 343LFM-2001-7</v>
      </c>
      <c r="C180" s="226">
        <f t="shared" si="38"/>
        <v>1</v>
      </c>
      <c r="D180" s="226" t="s">
        <v>13</v>
      </c>
      <c r="E180" s="226" t="s">
        <v>86</v>
      </c>
      <c r="F180" s="226" t="s">
        <v>15</v>
      </c>
      <c r="G180" s="226">
        <f t="shared" si="37"/>
        <v>7</v>
      </c>
      <c r="H180" s="226" t="s">
        <v>16</v>
      </c>
      <c r="I180" s="227">
        <v>304205030</v>
      </c>
      <c r="J180" s="226" t="s">
        <v>27</v>
      </c>
      <c r="K180" s="226" t="s">
        <v>19</v>
      </c>
      <c r="L180" s="226">
        <v>1</v>
      </c>
      <c r="M180" s="228">
        <f t="shared" si="28"/>
        <v>304205030</v>
      </c>
      <c r="N180" s="229">
        <v>1</v>
      </c>
      <c r="O180" s="229"/>
    </row>
    <row r="181" spans="1:15" x14ac:dyDescent="0.2">
      <c r="A181" s="226">
        <v>180</v>
      </c>
      <c r="B181" s="226" t="str">
        <f t="shared" si="27"/>
        <v>SISTEMATANK SIZE 343LFM-2001-8</v>
      </c>
      <c r="C181" s="226">
        <f t="shared" si="38"/>
        <v>1</v>
      </c>
      <c r="D181" s="226" t="s">
        <v>13</v>
      </c>
      <c r="E181" s="226" t="s">
        <v>86</v>
      </c>
      <c r="F181" s="226" t="s">
        <v>15</v>
      </c>
      <c r="G181" s="226">
        <f t="shared" si="37"/>
        <v>8</v>
      </c>
      <c r="H181" s="226" t="s">
        <v>16</v>
      </c>
      <c r="I181" s="227" t="s">
        <v>28</v>
      </c>
      <c r="J181" s="226" t="s">
        <v>29</v>
      </c>
      <c r="K181" s="226" t="s">
        <v>19</v>
      </c>
      <c r="L181" s="226">
        <v>1</v>
      </c>
      <c r="M181" s="228" t="str">
        <f t="shared" si="28"/>
        <v>A1638150HY</v>
      </c>
      <c r="N181" s="229">
        <v>1</v>
      </c>
      <c r="O181" s="229"/>
    </row>
    <row r="182" spans="1:15" x14ac:dyDescent="0.2">
      <c r="A182" s="226">
        <v>181</v>
      </c>
      <c r="B182" s="226" t="str">
        <f t="shared" si="27"/>
        <v>SISTEMATANK SIZE 343LFM-2001-9</v>
      </c>
      <c r="C182" s="226">
        <f t="shared" si="38"/>
        <v>1</v>
      </c>
      <c r="D182" s="226" t="s">
        <v>13</v>
      </c>
      <c r="E182" s="226" t="s">
        <v>86</v>
      </c>
      <c r="F182" s="226" t="s">
        <v>15</v>
      </c>
      <c r="G182" s="226">
        <f t="shared" si="37"/>
        <v>9</v>
      </c>
      <c r="H182" s="226" t="s">
        <v>16</v>
      </c>
      <c r="I182" s="227" t="s">
        <v>90</v>
      </c>
      <c r="J182" s="226" t="s">
        <v>91</v>
      </c>
      <c r="K182" s="226" t="s">
        <v>19</v>
      </c>
      <c r="L182" s="226">
        <v>2</v>
      </c>
      <c r="M182" s="228" t="str">
        <f t="shared" si="28"/>
        <v>570336-R2</v>
      </c>
      <c r="N182" s="229">
        <v>1</v>
      </c>
      <c r="O182" s="229"/>
    </row>
    <row r="183" spans="1:15" x14ac:dyDescent="0.2">
      <c r="A183" s="226">
        <v>182</v>
      </c>
      <c r="B183" s="226" t="str">
        <f t="shared" si="27"/>
        <v>SISTEMATANK SIZE 343LFM-2001-10</v>
      </c>
      <c r="C183" s="226">
        <f t="shared" si="38"/>
        <v>1</v>
      </c>
      <c r="D183" s="226" t="s">
        <v>13</v>
      </c>
      <c r="E183" s="226" t="s">
        <v>86</v>
      </c>
      <c r="F183" s="226" t="s">
        <v>15</v>
      </c>
      <c r="G183" s="226">
        <f t="shared" si="37"/>
        <v>10</v>
      </c>
      <c r="H183" s="226" t="s">
        <v>16</v>
      </c>
      <c r="I183" s="227" t="s">
        <v>32</v>
      </c>
      <c r="J183" s="226" t="s">
        <v>33</v>
      </c>
      <c r="K183" s="226" t="s">
        <v>19</v>
      </c>
      <c r="L183" s="230">
        <f>'COT AGENTES'!$M$11</f>
        <v>1</v>
      </c>
      <c r="M183" s="228" t="s">
        <v>92</v>
      </c>
      <c r="N183" s="229">
        <v>1</v>
      </c>
      <c r="O183" s="229"/>
    </row>
    <row r="184" spans="1:15" x14ac:dyDescent="0.2">
      <c r="A184" s="226">
        <v>183</v>
      </c>
      <c r="B184" s="226" t="str">
        <f t="shared" si="27"/>
        <v>SISTEMATANK SIZE 343LFM-2001-11</v>
      </c>
      <c r="C184" s="226">
        <f t="shared" si="38"/>
        <v>1</v>
      </c>
      <c r="D184" s="226" t="s">
        <v>13</v>
      </c>
      <c r="E184" s="226" t="s">
        <v>86</v>
      </c>
      <c r="F184" s="226" t="s">
        <v>15</v>
      </c>
      <c r="G184" s="226">
        <f t="shared" si="37"/>
        <v>11</v>
      </c>
      <c r="H184" s="226" t="s">
        <v>16</v>
      </c>
      <c r="I184" s="227" t="s">
        <v>35</v>
      </c>
      <c r="J184" s="226" t="s">
        <v>36</v>
      </c>
      <c r="K184" s="226" t="s">
        <v>19</v>
      </c>
      <c r="L184" s="226">
        <v>1</v>
      </c>
      <c r="M184" s="228" t="str">
        <f t="shared" si="28"/>
        <v>442927-R2</v>
      </c>
      <c r="N184" s="229">
        <v>1</v>
      </c>
      <c r="O184" s="229"/>
    </row>
    <row r="185" spans="1:15" x14ac:dyDescent="0.2">
      <c r="A185" s="226">
        <v>184</v>
      </c>
      <c r="B185" s="226" t="str">
        <f t="shared" si="27"/>
        <v>SISTEMATANK SIZE 343LFM-2001-12</v>
      </c>
      <c r="C185" s="226">
        <f t="shared" si="38"/>
        <v>1</v>
      </c>
      <c r="D185" s="226" t="s">
        <v>13</v>
      </c>
      <c r="E185" s="226" t="s">
        <v>86</v>
      </c>
      <c r="F185" s="226" t="s">
        <v>15</v>
      </c>
      <c r="G185" s="226">
        <f t="shared" si="37"/>
        <v>12</v>
      </c>
      <c r="H185" s="226" t="s">
        <v>16</v>
      </c>
      <c r="I185" s="227" t="s">
        <v>37</v>
      </c>
      <c r="J185" s="226" t="s">
        <v>38</v>
      </c>
      <c r="K185" s="226" t="s">
        <v>19</v>
      </c>
      <c r="L185" s="226">
        <v>1</v>
      </c>
      <c r="M185" s="228" t="str">
        <f t="shared" si="28"/>
        <v>442928-R2</v>
      </c>
      <c r="N185" s="229">
        <v>1</v>
      </c>
      <c r="O185" s="229"/>
    </row>
    <row r="186" spans="1:15" x14ac:dyDescent="0.2">
      <c r="A186" s="226">
        <v>185</v>
      </c>
      <c r="B186" s="226" t="str">
        <f t="shared" si="27"/>
        <v>SISTEMATANK SIZE 343LFM-2001-13</v>
      </c>
      <c r="C186" s="226">
        <f t="shared" si="38"/>
        <v>1</v>
      </c>
      <c r="D186" s="226" t="s">
        <v>13</v>
      </c>
      <c r="E186" s="226" t="s">
        <v>86</v>
      </c>
      <c r="F186" s="226" t="s">
        <v>15</v>
      </c>
      <c r="G186" s="226">
        <f t="shared" si="37"/>
        <v>13</v>
      </c>
      <c r="H186" s="226" t="s">
        <v>16</v>
      </c>
      <c r="I186" s="227">
        <v>69471</v>
      </c>
      <c r="J186" s="226" t="s">
        <v>93</v>
      </c>
      <c r="K186" s="226" t="s">
        <v>19</v>
      </c>
      <c r="L186" s="226">
        <f>L175</f>
        <v>1</v>
      </c>
      <c r="M186" s="228">
        <f t="shared" si="28"/>
        <v>69471</v>
      </c>
      <c r="N186" s="229">
        <v>1</v>
      </c>
      <c r="O186" s="229"/>
    </row>
    <row r="187" spans="1:15" x14ac:dyDescent="0.2">
      <c r="A187" s="226">
        <v>186</v>
      </c>
      <c r="B187" s="226" t="str">
        <f t="shared" si="27"/>
        <v>SISTEMATANK SIZE 343LFM-2001-14</v>
      </c>
      <c r="C187" s="226">
        <f>C181</f>
        <v>1</v>
      </c>
      <c r="D187" s="226" t="s">
        <v>13</v>
      </c>
      <c r="E187" s="226" t="s">
        <v>86</v>
      </c>
      <c r="F187" s="226" t="s">
        <v>15</v>
      </c>
      <c r="G187" s="226">
        <f t="shared" si="37"/>
        <v>14</v>
      </c>
      <c r="M187" s="228">
        <f t="shared" si="28"/>
        <v>0</v>
      </c>
      <c r="N187" s="229">
        <v>1</v>
      </c>
      <c r="O187" s="229"/>
    </row>
    <row r="188" spans="1:15" x14ac:dyDescent="0.2">
      <c r="A188" s="226">
        <v>187</v>
      </c>
      <c r="B188" s="226" t="str">
        <f t="shared" si="27"/>
        <v>SISTEMATANK SIZE 343LFM-2001-15</v>
      </c>
      <c r="C188" s="226">
        <f>C182</f>
        <v>1</v>
      </c>
      <c r="D188" s="226" t="s">
        <v>13</v>
      </c>
      <c r="E188" s="226" t="s">
        <v>86</v>
      </c>
      <c r="F188" s="226" t="s">
        <v>15</v>
      </c>
      <c r="G188" s="226">
        <f t="shared" si="37"/>
        <v>15</v>
      </c>
      <c r="H188" s="226" t="s">
        <v>16</v>
      </c>
      <c r="I188" s="227">
        <v>437900</v>
      </c>
      <c r="J188" s="226" t="s">
        <v>40</v>
      </c>
      <c r="K188" s="226" t="s">
        <v>19</v>
      </c>
      <c r="L188" s="226">
        <v>1</v>
      </c>
      <c r="M188" s="228">
        <f t="shared" si="28"/>
        <v>437900</v>
      </c>
      <c r="N188" s="229">
        <v>1</v>
      </c>
      <c r="O188" s="229"/>
    </row>
    <row r="189" spans="1:15" x14ac:dyDescent="0.2">
      <c r="A189" s="226">
        <v>188</v>
      </c>
      <c r="B189" s="226" t="str">
        <f t="shared" si="27"/>
        <v>SISTEMATANK SIZE 343LFM-2001-16</v>
      </c>
      <c r="C189" s="226">
        <f>C188</f>
        <v>1</v>
      </c>
      <c r="D189" s="226" t="s">
        <v>13</v>
      </c>
      <c r="E189" s="226" t="s">
        <v>86</v>
      </c>
      <c r="F189" s="226" t="s">
        <v>15</v>
      </c>
      <c r="G189" s="226">
        <f t="shared" si="37"/>
        <v>16</v>
      </c>
      <c r="H189" s="226" t="s">
        <v>16</v>
      </c>
      <c r="I189" s="227">
        <v>430815</v>
      </c>
      <c r="J189" s="226" t="s">
        <v>94</v>
      </c>
      <c r="K189" s="226" t="s">
        <v>19</v>
      </c>
      <c r="L189" s="226">
        <v>1</v>
      </c>
      <c r="M189" s="228">
        <f t="shared" si="28"/>
        <v>430815</v>
      </c>
      <c r="N189" s="229">
        <v>1</v>
      </c>
      <c r="O189" s="229"/>
    </row>
    <row r="190" spans="1:15" x14ac:dyDescent="0.2">
      <c r="A190" s="226">
        <v>189</v>
      </c>
      <c r="B190" s="226" t="str">
        <f t="shared" si="27"/>
        <v>SISTEMATANK SIZE 343LFM-2001-17</v>
      </c>
      <c r="C190" s="226">
        <f t="shared" ref="C190" si="39">C189</f>
        <v>1</v>
      </c>
      <c r="D190" s="226" t="s">
        <v>13</v>
      </c>
      <c r="E190" s="226" t="s">
        <v>86</v>
      </c>
      <c r="F190" s="226" t="s">
        <v>15</v>
      </c>
      <c r="G190" s="226">
        <f t="shared" si="37"/>
        <v>17</v>
      </c>
      <c r="H190" s="226" t="s">
        <v>16</v>
      </c>
      <c r="I190" s="227">
        <v>32338</v>
      </c>
      <c r="J190" s="226" t="s">
        <v>42</v>
      </c>
      <c r="K190" s="226" t="s">
        <v>19</v>
      </c>
      <c r="L190" s="226">
        <v>1</v>
      </c>
      <c r="M190" s="228">
        <f t="shared" si="28"/>
        <v>32338</v>
      </c>
      <c r="N190" s="229">
        <v>1</v>
      </c>
      <c r="O190" s="229"/>
    </row>
    <row r="191" spans="1:15" x14ac:dyDescent="0.2">
      <c r="A191" s="226">
        <v>190</v>
      </c>
      <c r="B191" s="226" t="str">
        <f t="shared" si="27"/>
        <v>-</v>
      </c>
      <c r="M191" s="228">
        <f t="shared" si="28"/>
        <v>0</v>
      </c>
      <c r="N191" s="229">
        <v>1</v>
      </c>
      <c r="O191" s="229"/>
    </row>
    <row r="192" spans="1:15" x14ac:dyDescent="0.2">
      <c r="A192" s="226">
        <v>191</v>
      </c>
      <c r="B192" s="226" t="str">
        <f t="shared" si="27"/>
        <v>OPCIONALTANK SIZE 343LFM-2001-1</v>
      </c>
      <c r="C192" s="226">
        <f>C186</f>
        <v>1</v>
      </c>
      <c r="D192" s="226" t="s">
        <v>43</v>
      </c>
      <c r="E192" s="226" t="s">
        <v>86</v>
      </c>
      <c r="F192" s="226" t="s">
        <v>15</v>
      </c>
      <c r="G192" s="226">
        <v>1</v>
      </c>
      <c r="H192" s="226" t="s">
        <v>16</v>
      </c>
      <c r="I192" s="227">
        <v>437900</v>
      </c>
      <c r="J192" s="226" t="s">
        <v>40</v>
      </c>
      <c r="K192" s="226" t="s">
        <v>19</v>
      </c>
      <c r="L192" s="226">
        <v>1</v>
      </c>
      <c r="M192" s="228">
        <f t="shared" si="28"/>
        <v>437900</v>
      </c>
      <c r="N192" s="229">
        <v>1</v>
      </c>
      <c r="O192" s="229"/>
    </row>
    <row r="193" spans="1:15" x14ac:dyDescent="0.2">
      <c r="A193" s="226">
        <v>192</v>
      </c>
      <c r="B193" s="226" t="str">
        <f t="shared" si="27"/>
        <v>OPCIONALTANK SIZE 343LFM-2001-2</v>
      </c>
      <c r="C193" s="226">
        <f>C192</f>
        <v>1</v>
      </c>
      <c r="D193" s="226" t="s">
        <v>43</v>
      </c>
      <c r="E193" s="226" t="s">
        <v>86</v>
      </c>
      <c r="F193" s="226" t="s">
        <v>15</v>
      </c>
      <c r="G193" s="226">
        <f t="shared" si="37"/>
        <v>2</v>
      </c>
      <c r="H193" s="226" t="s">
        <v>16</v>
      </c>
      <c r="I193" s="227">
        <v>430815</v>
      </c>
      <c r="J193" s="226" t="s">
        <v>94</v>
      </c>
      <c r="K193" s="226" t="s">
        <v>19</v>
      </c>
      <c r="L193" s="226">
        <v>1</v>
      </c>
      <c r="M193" s="228">
        <f t="shared" si="28"/>
        <v>430815</v>
      </c>
      <c r="N193" s="229">
        <v>1</v>
      </c>
      <c r="O193" s="229"/>
    </row>
    <row r="194" spans="1:15" x14ac:dyDescent="0.2">
      <c r="A194" s="226">
        <v>193</v>
      </c>
      <c r="B194" s="226" t="str">
        <f t="shared" si="27"/>
        <v>OPCIONALTANK SIZE 343LFM-2001-3</v>
      </c>
      <c r="C194" s="226">
        <f t="shared" ref="C194:C195" si="40">C193</f>
        <v>1</v>
      </c>
      <c r="D194" s="226" t="s">
        <v>43</v>
      </c>
      <c r="E194" s="226" t="s">
        <v>86</v>
      </c>
      <c r="F194" s="226" t="s">
        <v>15</v>
      </c>
      <c r="G194" s="226">
        <f t="shared" si="37"/>
        <v>3</v>
      </c>
      <c r="H194" s="226" t="s">
        <v>16</v>
      </c>
      <c r="I194" s="227">
        <v>32338</v>
      </c>
      <c r="J194" s="226" t="s">
        <v>42</v>
      </c>
      <c r="K194" s="226" t="s">
        <v>19</v>
      </c>
      <c r="L194" s="226">
        <v>1</v>
      </c>
      <c r="M194" s="228">
        <f t="shared" si="28"/>
        <v>32338</v>
      </c>
      <c r="N194" s="229">
        <v>1</v>
      </c>
      <c r="O194" s="229"/>
    </row>
    <row r="195" spans="1:15" x14ac:dyDescent="0.2">
      <c r="A195" s="226">
        <v>194</v>
      </c>
      <c r="B195" s="226" t="str">
        <f t="shared" ref="B195:B261" si="41">D195&amp;E195&amp;F195&amp;C195&amp;"-"&amp;G195&amp;IF(M195&lt;&gt;"",O195,"")</f>
        <v>OPCIONALTANK SIZE 343LFM-2001-4</v>
      </c>
      <c r="C195" s="226">
        <f t="shared" si="40"/>
        <v>1</v>
      </c>
      <c r="D195" s="226" t="s">
        <v>43</v>
      </c>
      <c r="E195" s="226" t="s">
        <v>86</v>
      </c>
      <c r="F195" s="226" t="s">
        <v>15</v>
      </c>
      <c r="G195" s="226">
        <f t="shared" si="37"/>
        <v>4</v>
      </c>
      <c r="H195" s="226" t="s">
        <v>16</v>
      </c>
      <c r="I195" s="227">
        <v>76498</v>
      </c>
      <c r="J195" s="226" t="s">
        <v>46</v>
      </c>
      <c r="K195" s="226" t="s">
        <v>19</v>
      </c>
      <c r="L195" s="226">
        <v>1</v>
      </c>
      <c r="M195" s="228">
        <f t="shared" si="28"/>
        <v>76498</v>
      </c>
      <c r="N195" s="229">
        <v>1</v>
      </c>
      <c r="O195" s="229"/>
    </row>
    <row r="196" spans="1:15" x14ac:dyDescent="0.2">
      <c r="A196" s="226">
        <v>195</v>
      </c>
      <c r="B196" s="226" t="str">
        <f t="shared" si="41"/>
        <v>OPCIONALTANK SIZE 343LFM-2001-5</v>
      </c>
      <c r="C196" s="226">
        <f>C194</f>
        <v>1</v>
      </c>
      <c r="D196" s="226" t="s">
        <v>43</v>
      </c>
      <c r="E196" s="226" t="s">
        <v>86</v>
      </c>
      <c r="F196" s="226" t="s">
        <v>15</v>
      </c>
      <c r="G196" s="226">
        <f t="shared" si="37"/>
        <v>5</v>
      </c>
      <c r="H196" s="226" t="s">
        <v>16</v>
      </c>
      <c r="I196" s="227">
        <v>570278</v>
      </c>
      <c r="J196" s="226" t="s">
        <v>80</v>
      </c>
      <c r="K196" s="226" t="s">
        <v>19</v>
      </c>
      <c r="L196" s="226">
        <v>1</v>
      </c>
      <c r="M196" s="228">
        <f t="shared" ref="M196:M259" si="42">I196</f>
        <v>570278</v>
      </c>
      <c r="N196" s="229">
        <v>1</v>
      </c>
      <c r="O196" s="229"/>
    </row>
    <row r="197" spans="1:15" x14ac:dyDescent="0.2">
      <c r="A197" s="226">
        <v>196</v>
      </c>
      <c r="B197" s="226" t="str">
        <f t="shared" si="41"/>
        <v>OPCIONALTANK SIZE 343LFM-2001-6</v>
      </c>
      <c r="C197" s="226">
        <f>C194</f>
        <v>1</v>
      </c>
      <c r="D197" s="226" t="s">
        <v>43</v>
      </c>
      <c r="E197" s="226" t="s">
        <v>86</v>
      </c>
      <c r="F197" s="226" t="s">
        <v>15</v>
      </c>
      <c r="G197" s="226">
        <f t="shared" si="37"/>
        <v>6</v>
      </c>
      <c r="H197" s="226" t="s">
        <v>16</v>
      </c>
      <c r="I197" s="227">
        <v>452162</v>
      </c>
      <c r="J197" s="226" t="s">
        <v>95</v>
      </c>
      <c r="K197" s="226" t="s">
        <v>19</v>
      </c>
      <c r="L197" s="226">
        <v>1</v>
      </c>
      <c r="M197" s="228">
        <f t="shared" si="42"/>
        <v>452162</v>
      </c>
      <c r="N197" s="229">
        <v>1</v>
      </c>
      <c r="O197" s="229"/>
    </row>
    <row r="198" spans="1:15" x14ac:dyDescent="0.2">
      <c r="A198" s="226">
        <v>197</v>
      </c>
      <c r="B198" s="226" t="str">
        <f t="shared" si="41"/>
        <v>OPCIONALTANK SIZE 343LFM-2001-7</v>
      </c>
      <c r="C198" s="226">
        <f>C194</f>
        <v>1</v>
      </c>
      <c r="D198" s="226" t="s">
        <v>43</v>
      </c>
      <c r="E198" s="226" t="s">
        <v>86</v>
      </c>
      <c r="F198" s="226" t="s">
        <v>15</v>
      </c>
      <c r="G198" s="226">
        <f t="shared" si="37"/>
        <v>7</v>
      </c>
      <c r="H198" s="226" t="s">
        <v>16</v>
      </c>
      <c r="I198" s="227">
        <v>69990</v>
      </c>
      <c r="J198" s="226" t="s">
        <v>96</v>
      </c>
      <c r="K198" s="226" t="s">
        <v>19</v>
      </c>
      <c r="L198" s="226">
        <v>1</v>
      </c>
      <c r="M198" s="228">
        <f t="shared" si="42"/>
        <v>69990</v>
      </c>
      <c r="N198" s="229">
        <v>1</v>
      </c>
      <c r="O198" s="229"/>
    </row>
    <row r="199" spans="1:15" x14ac:dyDescent="0.2">
      <c r="A199" s="226">
        <v>198</v>
      </c>
      <c r="B199" s="226" t="str">
        <f t="shared" si="41"/>
        <v>OPCIONALTANK SIZE 343LFM-2001-8</v>
      </c>
      <c r="C199" s="226">
        <f>C195</f>
        <v>1</v>
      </c>
      <c r="D199" s="226" t="s">
        <v>43</v>
      </c>
      <c r="E199" s="226" t="s">
        <v>86</v>
      </c>
      <c r="F199" s="226" t="s">
        <v>15</v>
      </c>
      <c r="G199" s="226">
        <f t="shared" si="37"/>
        <v>8</v>
      </c>
      <c r="H199" s="226" t="s">
        <v>16</v>
      </c>
      <c r="I199" s="227">
        <v>69841</v>
      </c>
      <c r="J199" s="226" t="s">
        <v>97</v>
      </c>
      <c r="K199" s="226" t="s">
        <v>19</v>
      </c>
      <c r="L199" s="226">
        <v>1</v>
      </c>
      <c r="M199" s="228">
        <f t="shared" si="42"/>
        <v>69841</v>
      </c>
      <c r="N199" s="229">
        <v>1</v>
      </c>
      <c r="O199" s="229"/>
    </row>
    <row r="200" spans="1:15" x14ac:dyDescent="0.2">
      <c r="A200" s="226">
        <v>199</v>
      </c>
      <c r="B200" s="226" t="str">
        <f t="shared" si="41"/>
        <v>-</v>
      </c>
      <c r="M200" s="228">
        <f t="shared" si="42"/>
        <v>0</v>
      </c>
      <c r="N200" s="229">
        <v>1</v>
      </c>
      <c r="O200" s="229"/>
    </row>
    <row r="201" spans="1:15" x14ac:dyDescent="0.2">
      <c r="A201" s="226">
        <v>200</v>
      </c>
      <c r="B201" s="226" t="str">
        <f t="shared" si="41"/>
        <v>SISTEMATANK SIZE 8LFK-5-1-121-1</v>
      </c>
      <c r="C201" s="226">
        <f>L201</f>
        <v>1</v>
      </c>
      <c r="D201" s="226" t="s">
        <v>13</v>
      </c>
      <c r="E201" s="226" t="s">
        <v>14</v>
      </c>
      <c r="F201" s="226" t="s">
        <v>98</v>
      </c>
      <c r="G201" s="226">
        <v>1</v>
      </c>
      <c r="H201" s="226" t="s">
        <v>16</v>
      </c>
      <c r="I201" s="227" t="s">
        <v>17</v>
      </c>
      <c r="J201" s="226" t="s">
        <v>18</v>
      </c>
      <c r="K201" s="226" t="s">
        <v>19</v>
      </c>
      <c r="L201" s="226">
        <v>1</v>
      </c>
      <c r="M201" s="228" t="s">
        <v>20</v>
      </c>
      <c r="N201" s="229">
        <v>1</v>
      </c>
      <c r="O201" s="229"/>
    </row>
    <row r="202" spans="1:15" x14ac:dyDescent="0.2">
      <c r="A202" s="226">
        <v>201</v>
      </c>
      <c r="B202" s="226" t="str">
        <f t="shared" si="41"/>
        <v>SISTEMATANK SIZE 8LFK-5-1-121-2</v>
      </c>
      <c r="C202" s="226">
        <f t="shared" ref="C202:C213" si="43">C201</f>
        <v>1</v>
      </c>
      <c r="D202" s="226" t="s">
        <v>13</v>
      </c>
      <c r="E202" s="226" t="s">
        <v>14</v>
      </c>
      <c r="F202" s="226" t="s">
        <v>98</v>
      </c>
      <c r="G202" s="226">
        <f>+G201+1</f>
        <v>2</v>
      </c>
      <c r="H202" s="226" t="s">
        <v>16</v>
      </c>
      <c r="I202" s="227">
        <v>445732</v>
      </c>
      <c r="J202" s="226" t="s">
        <v>99</v>
      </c>
      <c r="K202" s="226" t="s">
        <v>19</v>
      </c>
      <c r="L202" s="226">
        <v>1</v>
      </c>
      <c r="M202" s="228">
        <f t="shared" si="42"/>
        <v>445732</v>
      </c>
      <c r="N202" s="229">
        <v>1</v>
      </c>
      <c r="O202" s="229"/>
    </row>
    <row r="203" spans="1:15" x14ac:dyDescent="0.2">
      <c r="A203" s="226">
        <v>202</v>
      </c>
      <c r="B203" s="226" t="str">
        <f t="shared" si="41"/>
        <v>SISTEMATANK SIZE 8LFK-5-1-121-3</v>
      </c>
      <c r="C203" s="226">
        <f t="shared" si="43"/>
        <v>1</v>
      </c>
      <c r="D203" s="226" t="s">
        <v>13</v>
      </c>
      <c r="E203" s="226" t="s">
        <v>14</v>
      </c>
      <c r="F203" s="226" t="s">
        <v>98</v>
      </c>
      <c r="G203" s="226">
        <f t="shared" ref="G203:G217" si="44">+G202+1</f>
        <v>3</v>
      </c>
      <c r="H203" s="226" t="s">
        <v>16</v>
      </c>
      <c r="I203" s="227" t="s">
        <v>98</v>
      </c>
      <c r="J203" s="226" t="s">
        <v>100</v>
      </c>
      <c r="K203" s="226" t="s">
        <v>19</v>
      </c>
      <c r="L203" s="230">
        <f>'COT AGENTES'!$H$5</f>
        <v>2</v>
      </c>
      <c r="M203" s="228" t="str">
        <f t="shared" si="42"/>
        <v>FK-5-1-12</v>
      </c>
      <c r="N203" s="229">
        <v>1</v>
      </c>
      <c r="O203" s="229"/>
    </row>
    <row r="204" spans="1:15" x14ac:dyDescent="0.2">
      <c r="A204" s="226">
        <v>203</v>
      </c>
      <c r="B204" s="226" t="str">
        <f t="shared" si="41"/>
        <v>SISTEMATANK SIZE 8LFK-5-1-121-4</v>
      </c>
      <c r="C204" s="226">
        <f t="shared" si="43"/>
        <v>1</v>
      </c>
      <c r="D204" s="226" t="s">
        <v>13</v>
      </c>
      <c r="E204" s="226" t="s">
        <v>14</v>
      </c>
      <c r="F204" s="226" t="s">
        <v>98</v>
      </c>
      <c r="G204" s="226">
        <f t="shared" si="44"/>
        <v>4</v>
      </c>
      <c r="H204" s="226" t="s">
        <v>16</v>
      </c>
      <c r="I204" s="227">
        <v>302207021</v>
      </c>
      <c r="J204" s="226" t="s">
        <v>101</v>
      </c>
      <c r="K204" s="226" t="s">
        <v>19</v>
      </c>
      <c r="L204" s="226">
        <v>1</v>
      </c>
      <c r="M204" s="228">
        <f t="shared" si="42"/>
        <v>302207021</v>
      </c>
      <c r="N204" s="229">
        <v>1</v>
      </c>
      <c r="O204" s="229"/>
    </row>
    <row r="205" spans="1:15" x14ac:dyDescent="0.2">
      <c r="A205" s="226">
        <v>204</v>
      </c>
      <c r="B205" s="226" t="str">
        <f t="shared" si="41"/>
        <v>SISTEMATANK SIZE 8LFK-5-1-121-5</v>
      </c>
      <c r="C205" s="226">
        <f t="shared" si="43"/>
        <v>1</v>
      </c>
      <c r="D205" s="226" t="s">
        <v>13</v>
      </c>
      <c r="E205" s="226" t="s">
        <v>14</v>
      </c>
      <c r="F205" s="226" t="s">
        <v>98</v>
      </c>
      <c r="G205" s="226">
        <f t="shared" si="44"/>
        <v>5</v>
      </c>
      <c r="H205" s="226" t="s">
        <v>16</v>
      </c>
      <c r="I205" s="227">
        <v>314207207</v>
      </c>
      <c r="J205" s="226" t="s">
        <v>102</v>
      </c>
      <c r="K205" s="226" t="s">
        <v>19</v>
      </c>
      <c r="L205" s="226">
        <v>1</v>
      </c>
      <c r="M205" s="228">
        <f t="shared" si="42"/>
        <v>314207207</v>
      </c>
      <c r="N205" s="229">
        <v>1</v>
      </c>
      <c r="O205" s="229"/>
    </row>
    <row r="206" spans="1:15" x14ac:dyDescent="0.2">
      <c r="A206" s="226">
        <v>205</v>
      </c>
      <c r="B206" s="226" t="str">
        <f t="shared" si="41"/>
        <v>SISTEMATANK SIZE 8LFK-5-1-121-6</v>
      </c>
      <c r="C206" s="226">
        <f t="shared" si="43"/>
        <v>1</v>
      </c>
      <c r="D206" s="226" t="s">
        <v>13</v>
      </c>
      <c r="E206" s="226" t="s">
        <v>14</v>
      </c>
      <c r="F206" s="226" t="s">
        <v>98</v>
      </c>
      <c r="G206" s="226">
        <f t="shared" si="44"/>
        <v>6</v>
      </c>
      <c r="H206" s="226" t="s">
        <v>16</v>
      </c>
      <c r="I206" s="227">
        <v>570585</v>
      </c>
      <c r="J206" s="226" t="s">
        <v>26</v>
      </c>
      <c r="K206" s="226" t="s">
        <v>19</v>
      </c>
      <c r="L206" s="226">
        <v>1</v>
      </c>
      <c r="M206" s="228">
        <f t="shared" si="42"/>
        <v>570585</v>
      </c>
      <c r="N206" s="229">
        <v>1</v>
      </c>
      <c r="O206" s="229"/>
    </row>
    <row r="207" spans="1:15" x14ac:dyDescent="0.2">
      <c r="A207" s="226">
        <v>206</v>
      </c>
      <c r="B207" s="226" t="str">
        <f t="shared" si="41"/>
        <v>SISTEMATANK SIZE 8LFK-5-1-121-7</v>
      </c>
      <c r="C207" s="226">
        <f t="shared" si="43"/>
        <v>1</v>
      </c>
      <c r="D207" s="226" t="s">
        <v>13</v>
      </c>
      <c r="E207" s="226" t="s">
        <v>14</v>
      </c>
      <c r="F207" s="226" t="s">
        <v>98</v>
      </c>
      <c r="G207" s="226">
        <f t="shared" si="44"/>
        <v>7</v>
      </c>
      <c r="H207" s="226" t="s">
        <v>16</v>
      </c>
      <c r="I207" s="227">
        <v>304205030</v>
      </c>
      <c r="J207" s="226" t="s">
        <v>27</v>
      </c>
      <c r="K207" s="226" t="s">
        <v>19</v>
      </c>
      <c r="L207" s="226">
        <v>1</v>
      </c>
      <c r="M207" s="228">
        <f t="shared" si="42"/>
        <v>304205030</v>
      </c>
      <c r="N207" s="229">
        <v>1</v>
      </c>
      <c r="O207" s="229"/>
    </row>
    <row r="208" spans="1:15" x14ac:dyDescent="0.2">
      <c r="A208" s="226">
        <v>207</v>
      </c>
      <c r="B208" s="226" t="str">
        <f t="shared" si="41"/>
        <v>SISTEMATANK SIZE 8LFK-5-1-121-8</v>
      </c>
      <c r="C208" s="226">
        <f t="shared" si="43"/>
        <v>1</v>
      </c>
      <c r="D208" s="226" t="s">
        <v>13</v>
      </c>
      <c r="E208" s="226" t="s">
        <v>14</v>
      </c>
      <c r="F208" s="226" t="s">
        <v>98</v>
      </c>
      <c r="G208" s="226">
        <f t="shared" si="44"/>
        <v>8</v>
      </c>
      <c r="H208" s="226" t="s">
        <v>16</v>
      </c>
      <c r="I208" s="227" t="s">
        <v>28</v>
      </c>
      <c r="J208" s="226" t="s">
        <v>29</v>
      </c>
      <c r="K208" s="226" t="s">
        <v>19</v>
      </c>
      <c r="L208" s="226">
        <v>1</v>
      </c>
      <c r="M208" s="228" t="str">
        <f t="shared" si="42"/>
        <v>A1638150HY</v>
      </c>
      <c r="N208" s="229">
        <v>1</v>
      </c>
      <c r="O208" s="229"/>
    </row>
    <row r="209" spans="1:15" x14ac:dyDescent="0.2">
      <c r="A209" s="226">
        <v>208</v>
      </c>
      <c r="B209" s="226" t="str">
        <f t="shared" si="41"/>
        <v>SISTEMATANK SIZE 8LFK-5-1-121-9</v>
      </c>
      <c r="C209" s="226">
        <f t="shared" si="43"/>
        <v>1</v>
      </c>
      <c r="D209" s="226" t="s">
        <v>13</v>
      </c>
      <c r="E209" s="226" t="s">
        <v>14</v>
      </c>
      <c r="F209" s="226" t="s">
        <v>98</v>
      </c>
      <c r="G209" s="226">
        <f t="shared" si="44"/>
        <v>9</v>
      </c>
      <c r="H209" s="226" t="s">
        <v>16</v>
      </c>
      <c r="I209" s="227" t="s">
        <v>30</v>
      </c>
      <c r="J209" s="226" t="s">
        <v>31</v>
      </c>
      <c r="K209" s="226" t="s">
        <v>19</v>
      </c>
      <c r="L209" s="226">
        <v>1</v>
      </c>
      <c r="M209" s="228" t="str">
        <f t="shared" si="42"/>
        <v>570085-R2</v>
      </c>
      <c r="N209" s="229">
        <v>1</v>
      </c>
      <c r="O209" s="229"/>
    </row>
    <row r="210" spans="1:15" x14ac:dyDescent="0.2">
      <c r="A210" s="226">
        <v>209</v>
      </c>
      <c r="B210" s="226" t="str">
        <f t="shared" si="41"/>
        <v>SISTEMATANK SIZE 8LFK-5-1-121-10</v>
      </c>
      <c r="C210" s="226">
        <f t="shared" si="43"/>
        <v>1</v>
      </c>
      <c r="D210" s="226" t="s">
        <v>13</v>
      </c>
      <c r="E210" s="226" t="s">
        <v>14</v>
      </c>
      <c r="F210" s="226" t="s">
        <v>98</v>
      </c>
      <c r="G210" s="226">
        <f t="shared" si="44"/>
        <v>10</v>
      </c>
      <c r="H210" s="226" t="s">
        <v>16</v>
      </c>
      <c r="I210" s="227" t="s">
        <v>32</v>
      </c>
      <c r="J210" s="226" t="s">
        <v>33</v>
      </c>
      <c r="K210" s="226" t="s">
        <v>19</v>
      </c>
      <c r="L210" s="230">
        <f>'COT AGENTES'!$M$11</f>
        <v>1</v>
      </c>
      <c r="M210" s="228" t="s">
        <v>34</v>
      </c>
      <c r="N210" s="229">
        <v>1</v>
      </c>
      <c r="O210" s="229"/>
    </row>
    <row r="211" spans="1:15" x14ac:dyDescent="0.2">
      <c r="A211" s="226">
        <v>210</v>
      </c>
      <c r="B211" s="226" t="str">
        <f t="shared" si="41"/>
        <v>SISTEMATANK SIZE 8LFK-5-1-121-11</v>
      </c>
      <c r="C211" s="226">
        <f t="shared" si="43"/>
        <v>1</v>
      </c>
      <c r="D211" s="226" t="s">
        <v>13</v>
      </c>
      <c r="E211" s="226" t="s">
        <v>14</v>
      </c>
      <c r="F211" s="226" t="s">
        <v>98</v>
      </c>
      <c r="G211" s="226">
        <f t="shared" si="44"/>
        <v>11</v>
      </c>
      <c r="H211" s="226" t="s">
        <v>16</v>
      </c>
      <c r="I211" s="227" t="s">
        <v>103</v>
      </c>
      <c r="J211" s="226" t="s">
        <v>104</v>
      </c>
      <c r="K211" s="226" t="s">
        <v>19</v>
      </c>
      <c r="L211" s="226">
        <v>1</v>
      </c>
      <c r="M211" s="228" t="str">
        <f t="shared" si="42"/>
        <v>314207101-R2</v>
      </c>
      <c r="N211" s="229">
        <v>1</v>
      </c>
      <c r="O211" s="229"/>
    </row>
    <row r="212" spans="1:15" x14ac:dyDescent="0.2">
      <c r="A212" s="226">
        <v>211</v>
      </c>
      <c r="B212" s="226" t="str">
        <f t="shared" si="41"/>
        <v>SISTEMATANK SIZE 8LFK-5-1-121-12</v>
      </c>
      <c r="C212" s="226">
        <f t="shared" si="43"/>
        <v>1</v>
      </c>
      <c r="D212" s="226" t="s">
        <v>13</v>
      </c>
      <c r="E212" s="226" t="s">
        <v>14</v>
      </c>
      <c r="F212" s="226" t="s">
        <v>98</v>
      </c>
      <c r="G212" s="226">
        <f t="shared" si="44"/>
        <v>12</v>
      </c>
      <c r="H212" s="226" t="s">
        <v>16</v>
      </c>
      <c r="I212" s="227" t="s">
        <v>105</v>
      </c>
      <c r="J212" s="226" t="s">
        <v>106</v>
      </c>
      <c r="K212" s="226" t="s">
        <v>19</v>
      </c>
      <c r="L212" s="226">
        <v>1</v>
      </c>
      <c r="M212" s="228" t="str">
        <f t="shared" si="42"/>
        <v>314207103-R2</v>
      </c>
      <c r="N212" s="229">
        <v>1</v>
      </c>
      <c r="O212" s="229"/>
    </row>
    <row r="213" spans="1:15" x14ac:dyDescent="0.2">
      <c r="A213" s="226">
        <v>212</v>
      </c>
      <c r="B213" s="226" t="str">
        <f t="shared" si="41"/>
        <v>SISTEMATANK SIZE 8LFK-5-1-121-13</v>
      </c>
      <c r="C213" s="226">
        <f t="shared" si="43"/>
        <v>1</v>
      </c>
      <c r="D213" s="226" t="s">
        <v>13</v>
      </c>
      <c r="E213" s="226" t="s">
        <v>14</v>
      </c>
      <c r="F213" s="226" t="s">
        <v>98</v>
      </c>
      <c r="G213" s="226">
        <f t="shared" si="44"/>
        <v>13</v>
      </c>
      <c r="H213" s="226" t="s">
        <v>16</v>
      </c>
      <c r="I213" s="227">
        <v>570557</v>
      </c>
      <c r="J213" s="226" t="s">
        <v>39</v>
      </c>
      <c r="K213" s="226" t="s">
        <v>19</v>
      </c>
      <c r="L213" s="226">
        <f>L202</f>
        <v>1</v>
      </c>
      <c r="M213" s="228">
        <f t="shared" si="42"/>
        <v>570557</v>
      </c>
      <c r="N213" s="229">
        <v>1</v>
      </c>
      <c r="O213" s="229"/>
    </row>
    <row r="214" spans="1:15" x14ac:dyDescent="0.2">
      <c r="A214" s="226">
        <v>213</v>
      </c>
      <c r="B214" s="226" t="str">
        <f t="shared" si="41"/>
        <v>SISTEMATANK SIZE 8LFK-5-1-121-14</v>
      </c>
      <c r="C214" s="226">
        <f>C207</f>
        <v>1</v>
      </c>
      <c r="D214" s="226" t="s">
        <v>13</v>
      </c>
      <c r="E214" s="226" t="s">
        <v>14</v>
      </c>
      <c r="F214" s="226" t="s">
        <v>98</v>
      </c>
      <c r="G214" s="226">
        <f t="shared" si="44"/>
        <v>14</v>
      </c>
      <c r="M214" s="228">
        <f t="shared" si="42"/>
        <v>0</v>
      </c>
      <c r="N214" s="229">
        <v>1</v>
      </c>
      <c r="O214" s="229"/>
    </row>
    <row r="215" spans="1:15" x14ac:dyDescent="0.2">
      <c r="A215" s="226">
        <v>214</v>
      </c>
      <c r="B215" s="226" t="str">
        <f t="shared" si="41"/>
        <v>SISTEMATANK SIZE 8LFK-5-1-121-15</v>
      </c>
      <c r="C215" s="226">
        <f>C214</f>
        <v>1</v>
      </c>
      <c r="D215" s="226" t="s">
        <v>13</v>
      </c>
      <c r="E215" s="226" t="s">
        <v>14</v>
      </c>
      <c r="F215" s="226" t="s">
        <v>98</v>
      </c>
      <c r="G215" s="226">
        <f t="shared" si="44"/>
        <v>15</v>
      </c>
      <c r="H215" s="226" t="s">
        <v>16</v>
      </c>
      <c r="I215" s="227">
        <v>437900</v>
      </c>
      <c r="J215" s="226" t="s">
        <v>40</v>
      </c>
      <c r="K215" s="226" t="s">
        <v>19</v>
      </c>
      <c r="L215" s="226">
        <v>1</v>
      </c>
      <c r="M215" s="228">
        <f t="shared" si="42"/>
        <v>437900</v>
      </c>
      <c r="N215" s="229">
        <v>1</v>
      </c>
      <c r="O215" s="229"/>
    </row>
    <row r="216" spans="1:15" x14ac:dyDescent="0.2">
      <c r="A216" s="226">
        <v>215</v>
      </c>
      <c r="B216" s="226" t="str">
        <f t="shared" si="41"/>
        <v>SISTEMATANK SIZE 8LFK-5-1-121-16</v>
      </c>
      <c r="C216" s="226">
        <f t="shared" ref="C216:C217" si="45">C215</f>
        <v>1</v>
      </c>
      <c r="D216" s="226" t="s">
        <v>13</v>
      </c>
      <c r="E216" s="226" t="s">
        <v>14</v>
      </c>
      <c r="F216" s="226" t="s">
        <v>98</v>
      </c>
      <c r="G216" s="226">
        <f t="shared" si="44"/>
        <v>16</v>
      </c>
      <c r="H216" s="226" t="s">
        <v>16</v>
      </c>
      <c r="I216" s="227">
        <v>73597</v>
      </c>
      <c r="J216" s="226" t="s">
        <v>41</v>
      </c>
      <c r="K216" s="226" t="s">
        <v>19</v>
      </c>
      <c r="L216" s="226">
        <v>1</v>
      </c>
      <c r="M216" s="228">
        <f t="shared" si="42"/>
        <v>73597</v>
      </c>
      <c r="N216" s="229">
        <v>1</v>
      </c>
      <c r="O216" s="229"/>
    </row>
    <row r="217" spans="1:15" x14ac:dyDescent="0.2">
      <c r="A217" s="226">
        <v>216</v>
      </c>
      <c r="B217" s="226" t="str">
        <f t="shared" si="41"/>
        <v>SISTEMATANK SIZE 8LFK-5-1-121-17</v>
      </c>
      <c r="C217" s="226">
        <f t="shared" si="45"/>
        <v>1</v>
      </c>
      <c r="D217" s="226" t="s">
        <v>13</v>
      </c>
      <c r="E217" s="226" t="s">
        <v>14</v>
      </c>
      <c r="F217" s="226" t="s">
        <v>98</v>
      </c>
      <c r="G217" s="226">
        <f t="shared" si="44"/>
        <v>17</v>
      </c>
      <c r="H217" s="226" t="s">
        <v>16</v>
      </c>
      <c r="I217" s="227">
        <v>32338</v>
      </c>
      <c r="J217" s="226" t="s">
        <v>42</v>
      </c>
      <c r="K217" s="226" t="s">
        <v>19</v>
      </c>
      <c r="L217" s="226">
        <v>1</v>
      </c>
      <c r="M217" s="228">
        <f t="shared" si="42"/>
        <v>32338</v>
      </c>
      <c r="N217" s="229">
        <v>1</v>
      </c>
      <c r="O217" s="229"/>
    </row>
    <row r="218" spans="1:15" x14ac:dyDescent="0.2">
      <c r="A218" s="226">
        <v>217</v>
      </c>
      <c r="B218" s="226" t="str">
        <f t="shared" si="41"/>
        <v>-</v>
      </c>
      <c r="M218" s="228">
        <f t="shared" si="42"/>
        <v>0</v>
      </c>
      <c r="N218" s="229">
        <v>1</v>
      </c>
      <c r="O218" s="229"/>
    </row>
    <row r="219" spans="1:15" x14ac:dyDescent="0.2">
      <c r="A219" s="226">
        <v>218</v>
      </c>
      <c r="B219" s="226" t="str">
        <f t="shared" si="41"/>
        <v>OPCIONALTANK SIZE 8LFK-5-1-121-1</v>
      </c>
      <c r="C219" s="226">
        <f>C212</f>
        <v>1</v>
      </c>
      <c r="D219" s="226" t="s">
        <v>43</v>
      </c>
      <c r="E219" s="226" t="s">
        <v>14</v>
      </c>
      <c r="F219" s="226" t="s">
        <v>98</v>
      </c>
      <c r="G219" s="226">
        <v>1</v>
      </c>
      <c r="H219" s="226" t="s">
        <v>16</v>
      </c>
      <c r="I219" s="227" t="s">
        <v>44</v>
      </c>
      <c r="J219" s="226" t="s">
        <v>45</v>
      </c>
      <c r="K219" s="226" t="s">
        <v>19</v>
      </c>
      <c r="L219" s="226">
        <f>L202</f>
        <v>1</v>
      </c>
      <c r="M219" s="228" t="str">
        <f t="shared" si="42"/>
        <v>570539-R2</v>
      </c>
      <c r="N219" s="229">
        <v>1</v>
      </c>
      <c r="O219" s="229"/>
    </row>
    <row r="220" spans="1:15" x14ac:dyDescent="0.2">
      <c r="A220" s="226">
        <v>219</v>
      </c>
      <c r="B220" s="226" t="str">
        <f t="shared" si="41"/>
        <v>OPCIONALTANK SIZE 8LFK-5-1-121-2</v>
      </c>
      <c r="C220" s="226">
        <f>C219</f>
        <v>1</v>
      </c>
      <c r="D220" s="226" t="s">
        <v>43</v>
      </c>
      <c r="E220" s="226" t="s">
        <v>14</v>
      </c>
      <c r="F220" s="226" t="s">
        <v>98</v>
      </c>
      <c r="G220" s="226">
        <f>+G219+1</f>
        <v>2</v>
      </c>
      <c r="H220" s="226" t="s">
        <v>16</v>
      </c>
      <c r="I220" s="227">
        <v>437900</v>
      </c>
      <c r="J220" s="226" t="s">
        <v>40</v>
      </c>
      <c r="K220" s="226" t="s">
        <v>19</v>
      </c>
      <c r="L220" s="226">
        <v>1</v>
      </c>
      <c r="M220" s="228">
        <f t="shared" si="42"/>
        <v>437900</v>
      </c>
      <c r="N220" s="229">
        <v>1</v>
      </c>
      <c r="O220" s="229"/>
    </row>
    <row r="221" spans="1:15" x14ac:dyDescent="0.2">
      <c r="A221" s="226">
        <v>220</v>
      </c>
      <c r="B221" s="226" t="str">
        <f t="shared" si="41"/>
        <v>OPCIONALTANK SIZE 8LFK-5-1-121-3</v>
      </c>
      <c r="C221" s="226">
        <f t="shared" ref="C221:C223" si="46">C220</f>
        <v>1</v>
      </c>
      <c r="D221" s="226" t="s">
        <v>43</v>
      </c>
      <c r="E221" s="226" t="s">
        <v>14</v>
      </c>
      <c r="F221" s="226" t="s">
        <v>98</v>
      </c>
      <c r="G221" s="226">
        <f t="shared" ref="G221:G223" si="47">+G220+1</f>
        <v>3</v>
      </c>
      <c r="H221" s="226" t="s">
        <v>16</v>
      </c>
      <c r="I221" s="227">
        <v>73597</v>
      </c>
      <c r="J221" s="226" t="s">
        <v>41</v>
      </c>
      <c r="K221" s="226" t="s">
        <v>19</v>
      </c>
      <c r="L221" s="226">
        <v>1</v>
      </c>
      <c r="M221" s="228">
        <f t="shared" si="42"/>
        <v>73597</v>
      </c>
      <c r="N221" s="229">
        <v>1</v>
      </c>
      <c r="O221" s="229"/>
    </row>
    <row r="222" spans="1:15" x14ac:dyDescent="0.2">
      <c r="A222" s="226">
        <v>221</v>
      </c>
      <c r="B222" s="226" t="str">
        <f t="shared" si="41"/>
        <v>OPCIONALTANK SIZE 8LFK-5-1-121-4</v>
      </c>
      <c r="C222" s="226">
        <f t="shared" si="46"/>
        <v>1</v>
      </c>
      <c r="D222" s="226" t="s">
        <v>43</v>
      </c>
      <c r="E222" s="226" t="s">
        <v>14</v>
      </c>
      <c r="F222" s="226" t="s">
        <v>98</v>
      </c>
      <c r="G222" s="226">
        <f t="shared" si="47"/>
        <v>4</v>
      </c>
      <c r="H222" s="226" t="s">
        <v>16</v>
      </c>
      <c r="I222" s="227">
        <v>32338</v>
      </c>
      <c r="J222" s="226" t="s">
        <v>42</v>
      </c>
      <c r="K222" s="226" t="s">
        <v>19</v>
      </c>
      <c r="L222" s="226">
        <v>1</v>
      </c>
      <c r="M222" s="228">
        <f t="shared" si="42"/>
        <v>32338</v>
      </c>
      <c r="N222" s="229">
        <v>1</v>
      </c>
      <c r="O222" s="229"/>
    </row>
    <row r="223" spans="1:15" x14ac:dyDescent="0.2">
      <c r="A223" s="226">
        <v>222</v>
      </c>
      <c r="B223" s="226" t="str">
        <f t="shared" si="41"/>
        <v>OPCIONALTANK SIZE 8LFK-5-1-121-5</v>
      </c>
      <c r="C223" s="226">
        <f t="shared" si="46"/>
        <v>1</v>
      </c>
      <c r="D223" s="226" t="s">
        <v>43</v>
      </c>
      <c r="E223" s="226" t="s">
        <v>14</v>
      </c>
      <c r="F223" s="226" t="s">
        <v>98</v>
      </c>
      <c r="G223" s="226">
        <f t="shared" si="47"/>
        <v>5</v>
      </c>
      <c r="H223" s="226" t="s">
        <v>16</v>
      </c>
      <c r="I223" s="227">
        <v>76498</v>
      </c>
      <c r="J223" s="226" t="s">
        <v>46</v>
      </c>
      <c r="K223" s="226" t="s">
        <v>19</v>
      </c>
      <c r="L223" s="226">
        <v>1</v>
      </c>
      <c r="M223" s="228">
        <f t="shared" si="42"/>
        <v>76498</v>
      </c>
      <c r="N223" s="229">
        <v>1</v>
      </c>
      <c r="O223" s="229"/>
    </row>
    <row r="224" spans="1:15" x14ac:dyDescent="0.2">
      <c r="A224" s="226">
        <v>223</v>
      </c>
      <c r="B224" s="226" t="str">
        <f t="shared" si="41"/>
        <v>-</v>
      </c>
      <c r="M224" s="228">
        <f t="shared" si="42"/>
        <v>0</v>
      </c>
      <c r="N224" s="229">
        <v>1</v>
      </c>
      <c r="O224" s="229"/>
    </row>
    <row r="225" spans="1:15" x14ac:dyDescent="0.2">
      <c r="A225" s="226">
        <v>224</v>
      </c>
      <c r="B225" s="226" t="str">
        <f t="shared" si="41"/>
        <v>SISTEMATANK SIZE 16LFK-5-1-121-1</v>
      </c>
      <c r="C225" s="226">
        <f>L225</f>
        <v>1</v>
      </c>
      <c r="D225" s="226" t="s">
        <v>13</v>
      </c>
      <c r="E225" s="226" t="s">
        <v>47</v>
      </c>
      <c r="F225" s="226" t="s">
        <v>98</v>
      </c>
      <c r="G225" s="226">
        <v>1</v>
      </c>
      <c r="H225" s="226" t="s">
        <v>16</v>
      </c>
      <c r="I225" s="227" t="s">
        <v>17</v>
      </c>
      <c r="J225" s="226" t="s">
        <v>48</v>
      </c>
      <c r="K225" s="226" t="s">
        <v>19</v>
      </c>
      <c r="L225" s="226">
        <v>1</v>
      </c>
      <c r="M225" s="228" t="s">
        <v>49</v>
      </c>
      <c r="N225" s="229">
        <v>1</v>
      </c>
      <c r="O225" s="229"/>
    </row>
    <row r="226" spans="1:15" x14ac:dyDescent="0.2">
      <c r="A226" s="226">
        <v>225</v>
      </c>
      <c r="B226" s="226" t="str">
        <f t="shared" si="41"/>
        <v>SISTEMATANK SIZE 16LFK-5-1-121-2</v>
      </c>
      <c r="C226" s="226">
        <f t="shared" ref="C226:C247" si="48">C225</f>
        <v>1</v>
      </c>
      <c r="D226" s="226" t="s">
        <v>13</v>
      </c>
      <c r="E226" s="226" t="s">
        <v>47</v>
      </c>
      <c r="F226" s="226" t="s">
        <v>98</v>
      </c>
      <c r="G226" s="226">
        <f t="shared" ref="G226:G247" si="49">+G225+1</f>
        <v>2</v>
      </c>
      <c r="H226" s="226" t="s">
        <v>16</v>
      </c>
      <c r="I226" s="227">
        <v>445733</v>
      </c>
      <c r="J226" s="226" t="s">
        <v>107</v>
      </c>
      <c r="K226" s="226" t="s">
        <v>19</v>
      </c>
      <c r="L226" s="226">
        <v>1</v>
      </c>
      <c r="M226" s="228">
        <f t="shared" si="42"/>
        <v>445733</v>
      </c>
      <c r="N226" s="229">
        <v>1</v>
      </c>
      <c r="O226" s="229"/>
    </row>
    <row r="227" spans="1:15" x14ac:dyDescent="0.2">
      <c r="A227" s="226">
        <v>226</v>
      </c>
      <c r="B227" s="226" t="str">
        <f t="shared" si="41"/>
        <v>SISTEMATANK SIZE 16LFK-5-1-121-3</v>
      </c>
      <c r="C227" s="226">
        <f t="shared" si="48"/>
        <v>1</v>
      </c>
      <c r="D227" s="226" t="s">
        <v>13</v>
      </c>
      <c r="E227" s="226" t="s">
        <v>47</v>
      </c>
      <c r="F227" s="226" t="s">
        <v>98</v>
      </c>
      <c r="G227" s="226">
        <f t="shared" si="49"/>
        <v>3</v>
      </c>
      <c r="H227" s="226" t="s">
        <v>16</v>
      </c>
      <c r="I227" s="227" t="s">
        <v>98</v>
      </c>
      <c r="J227" s="226" t="s">
        <v>100</v>
      </c>
      <c r="K227" s="226" t="s">
        <v>19</v>
      </c>
      <c r="L227" s="230">
        <f>'COT AGENTES'!$H$5</f>
        <v>2</v>
      </c>
      <c r="M227" s="228" t="str">
        <f t="shared" si="42"/>
        <v>FK-5-1-12</v>
      </c>
      <c r="N227" s="229">
        <v>1</v>
      </c>
      <c r="O227" s="229"/>
    </row>
    <row r="228" spans="1:15" x14ac:dyDescent="0.2">
      <c r="A228" s="226">
        <v>227</v>
      </c>
      <c r="B228" s="226" t="str">
        <f t="shared" si="41"/>
        <v>SISTEMATANK SIZE 16LFK-5-1-121-4</v>
      </c>
      <c r="C228" s="226">
        <f t="shared" si="48"/>
        <v>1</v>
      </c>
      <c r="D228" s="226" t="s">
        <v>13</v>
      </c>
      <c r="E228" s="226" t="s">
        <v>47</v>
      </c>
      <c r="F228" s="226" t="s">
        <v>98</v>
      </c>
      <c r="G228" s="226">
        <f t="shared" si="49"/>
        <v>4</v>
      </c>
      <c r="H228" s="226" t="s">
        <v>16</v>
      </c>
      <c r="I228" s="227">
        <v>302207021</v>
      </c>
      <c r="J228" s="226" t="s">
        <v>101</v>
      </c>
      <c r="K228" s="226" t="s">
        <v>19</v>
      </c>
      <c r="L228" s="226">
        <v>1</v>
      </c>
      <c r="M228" s="228">
        <f t="shared" si="42"/>
        <v>302207021</v>
      </c>
      <c r="N228" s="229">
        <v>1</v>
      </c>
      <c r="O228" s="229"/>
    </row>
    <row r="229" spans="1:15" x14ac:dyDescent="0.2">
      <c r="A229" s="226">
        <v>228</v>
      </c>
      <c r="B229" s="226" t="str">
        <f t="shared" si="41"/>
        <v>SISTEMATANK SIZE 16LFK-5-1-121-5</v>
      </c>
      <c r="C229" s="226">
        <f t="shared" si="48"/>
        <v>1</v>
      </c>
      <c r="D229" s="226" t="s">
        <v>13</v>
      </c>
      <c r="E229" s="226" t="s">
        <v>47</v>
      </c>
      <c r="F229" s="226" t="s">
        <v>98</v>
      </c>
      <c r="G229" s="226">
        <f t="shared" si="49"/>
        <v>5</v>
      </c>
      <c r="H229" s="226" t="s">
        <v>16</v>
      </c>
      <c r="I229" s="227">
        <v>314207207</v>
      </c>
      <c r="J229" s="226" t="s">
        <v>102</v>
      </c>
      <c r="K229" s="226" t="s">
        <v>19</v>
      </c>
      <c r="L229" s="226">
        <v>1</v>
      </c>
      <c r="M229" s="228">
        <f t="shared" si="42"/>
        <v>314207207</v>
      </c>
      <c r="N229" s="229">
        <v>1</v>
      </c>
      <c r="O229" s="229"/>
    </row>
    <row r="230" spans="1:15" x14ac:dyDescent="0.2">
      <c r="A230" s="226">
        <v>229</v>
      </c>
      <c r="B230" s="226" t="str">
        <f t="shared" si="41"/>
        <v>SISTEMATANK SIZE 16LFK-5-1-121-6</v>
      </c>
      <c r="C230" s="226">
        <f t="shared" si="48"/>
        <v>1</v>
      </c>
      <c r="D230" s="226" t="s">
        <v>13</v>
      </c>
      <c r="E230" s="226" t="s">
        <v>47</v>
      </c>
      <c r="F230" s="226" t="s">
        <v>98</v>
      </c>
      <c r="G230" s="226">
        <f t="shared" si="49"/>
        <v>6</v>
      </c>
      <c r="H230" s="226" t="s">
        <v>16</v>
      </c>
      <c r="I230" s="227">
        <v>570585</v>
      </c>
      <c r="J230" s="226" t="s">
        <v>26</v>
      </c>
      <c r="K230" s="226" t="s">
        <v>19</v>
      </c>
      <c r="L230" s="226">
        <v>1</v>
      </c>
      <c r="M230" s="228">
        <f t="shared" si="42"/>
        <v>570585</v>
      </c>
      <c r="N230" s="229">
        <v>1</v>
      </c>
      <c r="O230" s="229"/>
    </row>
    <row r="231" spans="1:15" x14ac:dyDescent="0.2">
      <c r="A231" s="226">
        <v>230</v>
      </c>
      <c r="B231" s="226" t="str">
        <f t="shared" si="41"/>
        <v>SISTEMATANK SIZE 16LFK-5-1-121-7</v>
      </c>
      <c r="C231" s="226">
        <f t="shared" si="48"/>
        <v>1</v>
      </c>
      <c r="D231" s="226" t="s">
        <v>13</v>
      </c>
      <c r="E231" s="226" t="s">
        <v>47</v>
      </c>
      <c r="F231" s="226" t="s">
        <v>98</v>
      </c>
      <c r="G231" s="226">
        <f t="shared" si="49"/>
        <v>7</v>
      </c>
      <c r="H231" s="226" t="s">
        <v>16</v>
      </c>
      <c r="I231" s="227">
        <v>304205030</v>
      </c>
      <c r="J231" s="226" t="s">
        <v>27</v>
      </c>
      <c r="K231" s="226" t="s">
        <v>19</v>
      </c>
      <c r="L231" s="226">
        <v>1</v>
      </c>
      <c r="M231" s="228">
        <f t="shared" si="42"/>
        <v>304205030</v>
      </c>
      <c r="N231" s="229">
        <v>1</v>
      </c>
      <c r="O231" s="229"/>
    </row>
    <row r="232" spans="1:15" x14ac:dyDescent="0.2">
      <c r="A232" s="226">
        <v>231</v>
      </c>
      <c r="B232" s="226" t="str">
        <f t="shared" si="41"/>
        <v>SISTEMATANK SIZE 16LFK-5-1-121-8</v>
      </c>
      <c r="C232" s="226">
        <f t="shared" si="48"/>
        <v>1</v>
      </c>
      <c r="D232" s="226" t="s">
        <v>13</v>
      </c>
      <c r="E232" s="226" t="s">
        <v>47</v>
      </c>
      <c r="F232" s="226" t="s">
        <v>98</v>
      </c>
      <c r="G232" s="226">
        <f t="shared" si="49"/>
        <v>8</v>
      </c>
      <c r="H232" s="226" t="s">
        <v>16</v>
      </c>
      <c r="I232" s="227" t="s">
        <v>28</v>
      </c>
      <c r="J232" s="226" t="s">
        <v>29</v>
      </c>
      <c r="K232" s="226" t="s">
        <v>19</v>
      </c>
      <c r="L232" s="226">
        <v>1</v>
      </c>
      <c r="M232" s="228" t="str">
        <f t="shared" si="42"/>
        <v>A1638150HY</v>
      </c>
      <c r="N232" s="229">
        <v>1</v>
      </c>
      <c r="O232" s="229"/>
    </row>
    <row r="233" spans="1:15" x14ac:dyDescent="0.2">
      <c r="A233" s="226">
        <v>232</v>
      </c>
      <c r="B233" s="226" t="str">
        <f t="shared" si="41"/>
        <v>SISTEMATANK SIZE 16LFK-5-1-121-9</v>
      </c>
      <c r="C233" s="226">
        <f t="shared" si="48"/>
        <v>1</v>
      </c>
      <c r="D233" s="226" t="s">
        <v>13</v>
      </c>
      <c r="E233" s="226" t="s">
        <v>47</v>
      </c>
      <c r="F233" s="226" t="s">
        <v>98</v>
      </c>
      <c r="G233" s="226">
        <f t="shared" si="49"/>
        <v>9</v>
      </c>
      <c r="H233" s="226" t="s">
        <v>16</v>
      </c>
      <c r="I233" s="227" t="s">
        <v>30</v>
      </c>
      <c r="J233" s="226" t="s">
        <v>31</v>
      </c>
      <c r="K233" s="226" t="s">
        <v>19</v>
      </c>
      <c r="L233" s="226">
        <v>2</v>
      </c>
      <c r="M233" s="228" t="str">
        <f t="shared" si="42"/>
        <v>570085-R2</v>
      </c>
      <c r="N233" s="229">
        <v>1</v>
      </c>
      <c r="O233" s="229"/>
    </row>
    <row r="234" spans="1:15" x14ac:dyDescent="0.2">
      <c r="A234" s="226">
        <v>233</v>
      </c>
      <c r="B234" s="226" t="str">
        <f t="shared" si="41"/>
        <v>SISTEMATANK SIZE 16LFK-5-1-121-10</v>
      </c>
      <c r="C234" s="226">
        <f t="shared" si="48"/>
        <v>1</v>
      </c>
      <c r="D234" s="226" t="s">
        <v>13</v>
      </c>
      <c r="E234" s="226" t="s">
        <v>47</v>
      </c>
      <c r="F234" s="226" t="s">
        <v>98</v>
      </c>
      <c r="G234" s="226">
        <f t="shared" si="49"/>
        <v>10</v>
      </c>
      <c r="H234" s="226" t="s">
        <v>16</v>
      </c>
      <c r="I234" s="227" t="s">
        <v>32</v>
      </c>
      <c r="J234" s="226" t="s">
        <v>33</v>
      </c>
      <c r="K234" s="226" t="s">
        <v>19</v>
      </c>
      <c r="L234" s="230">
        <f>'COT AGENTES'!$M$11</f>
        <v>1</v>
      </c>
      <c r="M234" s="228" t="s">
        <v>51</v>
      </c>
      <c r="N234" s="229">
        <v>1</v>
      </c>
      <c r="O234" s="229"/>
    </row>
    <row r="235" spans="1:15" x14ac:dyDescent="0.2">
      <c r="A235" s="226">
        <v>234</v>
      </c>
      <c r="B235" s="226" t="str">
        <f t="shared" si="41"/>
        <v>SISTEMATANK SIZE 16LFK-5-1-121-11</v>
      </c>
      <c r="C235" s="226">
        <f t="shared" si="48"/>
        <v>1</v>
      </c>
      <c r="D235" s="226" t="s">
        <v>13</v>
      </c>
      <c r="E235" s="226" t="s">
        <v>47</v>
      </c>
      <c r="F235" s="226" t="s">
        <v>98</v>
      </c>
      <c r="G235" s="226">
        <f t="shared" si="49"/>
        <v>11</v>
      </c>
      <c r="H235" s="226" t="s">
        <v>16</v>
      </c>
      <c r="I235" s="227" t="s">
        <v>103</v>
      </c>
      <c r="J235" s="226" t="s">
        <v>104</v>
      </c>
      <c r="K235" s="226" t="s">
        <v>19</v>
      </c>
      <c r="L235" s="226">
        <v>1</v>
      </c>
      <c r="M235" s="228" t="str">
        <f t="shared" si="42"/>
        <v>314207101-R2</v>
      </c>
      <c r="N235" s="229">
        <v>1</v>
      </c>
      <c r="O235" s="229"/>
    </row>
    <row r="236" spans="1:15" x14ac:dyDescent="0.2">
      <c r="A236" s="226">
        <v>235</v>
      </c>
      <c r="B236" s="226" t="str">
        <f t="shared" si="41"/>
        <v>SISTEMATANK SIZE 16LFK-5-1-121-12</v>
      </c>
      <c r="C236" s="226">
        <f t="shared" si="48"/>
        <v>1</v>
      </c>
      <c r="D236" s="226" t="s">
        <v>13</v>
      </c>
      <c r="E236" s="226" t="s">
        <v>47</v>
      </c>
      <c r="F236" s="226" t="s">
        <v>98</v>
      </c>
      <c r="G236" s="226">
        <f t="shared" si="49"/>
        <v>12</v>
      </c>
      <c r="H236" s="226" t="s">
        <v>16</v>
      </c>
      <c r="I236" s="227" t="s">
        <v>105</v>
      </c>
      <c r="J236" s="226" t="s">
        <v>106</v>
      </c>
      <c r="K236" s="226" t="s">
        <v>19</v>
      </c>
      <c r="L236" s="226">
        <v>1</v>
      </c>
      <c r="M236" s="228" t="str">
        <f t="shared" si="42"/>
        <v>314207103-R2</v>
      </c>
      <c r="N236" s="229">
        <v>1</v>
      </c>
      <c r="O236" s="229"/>
    </row>
    <row r="237" spans="1:15" x14ac:dyDescent="0.2">
      <c r="A237" s="226">
        <v>236</v>
      </c>
      <c r="B237" s="226" t="str">
        <f t="shared" si="41"/>
        <v>SISTEMATANK SIZE 16LFK-5-1-121-13</v>
      </c>
      <c r="C237" s="226">
        <f t="shared" si="48"/>
        <v>1</v>
      </c>
      <c r="D237" s="226" t="s">
        <v>13</v>
      </c>
      <c r="E237" s="226" t="s">
        <v>47</v>
      </c>
      <c r="F237" s="226" t="s">
        <v>98</v>
      </c>
      <c r="G237" s="226">
        <f t="shared" si="49"/>
        <v>13</v>
      </c>
      <c r="H237" s="226" t="s">
        <v>16</v>
      </c>
      <c r="I237" s="227">
        <v>570557</v>
      </c>
      <c r="J237" s="226" t="s">
        <v>39</v>
      </c>
      <c r="K237" s="226" t="s">
        <v>19</v>
      </c>
      <c r="L237" s="226">
        <f>L226</f>
        <v>1</v>
      </c>
      <c r="M237" s="228">
        <f t="shared" si="42"/>
        <v>570557</v>
      </c>
      <c r="N237" s="229">
        <v>1</v>
      </c>
      <c r="O237" s="229"/>
    </row>
    <row r="238" spans="1:15" x14ac:dyDescent="0.2">
      <c r="A238" s="226">
        <v>237</v>
      </c>
      <c r="B238" s="226" t="str">
        <f t="shared" si="41"/>
        <v>SISTEMATANK SIZE 16LFK-5-1-121-14</v>
      </c>
      <c r="C238" s="226">
        <f>C232</f>
        <v>1</v>
      </c>
      <c r="D238" s="226" t="s">
        <v>13</v>
      </c>
      <c r="E238" s="226" t="s">
        <v>47</v>
      </c>
      <c r="F238" s="226" t="s">
        <v>98</v>
      </c>
      <c r="G238" s="226">
        <f t="shared" si="49"/>
        <v>14</v>
      </c>
      <c r="M238" s="228">
        <f t="shared" si="42"/>
        <v>0</v>
      </c>
      <c r="N238" s="229">
        <v>1</v>
      </c>
      <c r="O238" s="229"/>
    </row>
    <row r="239" spans="1:15" x14ac:dyDescent="0.2">
      <c r="A239" s="226">
        <v>238</v>
      </c>
      <c r="B239" s="226" t="str">
        <f t="shared" si="41"/>
        <v>SISTEMATANK SIZE 16LFK-5-1-121-15</v>
      </c>
      <c r="C239" s="226">
        <f t="shared" si="48"/>
        <v>1</v>
      </c>
      <c r="D239" s="226" t="s">
        <v>13</v>
      </c>
      <c r="E239" s="226" t="s">
        <v>47</v>
      </c>
      <c r="F239" s="226" t="s">
        <v>98</v>
      </c>
      <c r="G239" s="226">
        <f t="shared" si="49"/>
        <v>15</v>
      </c>
      <c r="H239" s="226" t="s">
        <v>16</v>
      </c>
      <c r="I239" s="227">
        <v>437900</v>
      </c>
      <c r="J239" s="226" t="s">
        <v>40</v>
      </c>
      <c r="K239" s="226" t="s">
        <v>19</v>
      </c>
      <c r="L239" s="226">
        <v>1</v>
      </c>
      <c r="M239" s="228">
        <f t="shared" si="42"/>
        <v>437900</v>
      </c>
      <c r="N239" s="229">
        <v>1</v>
      </c>
      <c r="O239" s="229"/>
    </row>
    <row r="240" spans="1:15" x14ac:dyDescent="0.2">
      <c r="A240" s="226">
        <v>239</v>
      </c>
      <c r="B240" s="226" t="str">
        <f t="shared" si="41"/>
        <v>SISTEMATANK SIZE 16LFK-5-1-121-16</v>
      </c>
      <c r="C240" s="226">
        <f t="shared" si="48"/>
        <v>1</v>
      </c>
      <c r="D240" s="226" t="s">
        <v>13</v>
      </c>
      <c r="E240" s="226" t="s">
        <v>47</v>
      </c>
      <c r="F240" s="226" t="s">
        <v>98</v>
      </c>
      <c r="G240" s="226">
        <f t="shared" si="49"/>
        <v>16</v>
      </c>
      <c r="H240" s="226" t="s">
        <v>16</v>
      </c>
      <c r="I240" s="227">
        <v>73597</v>
      </c>
      <c r="J240" s="226" t="s">
        <v>41</v>
      </c>
      <c r="K240" s="226" t="s">
        <v>19</v>
      </c>
      <c r="L240" s="226">
        <v>1</v>
      </c>
      <c r="M240" s="228">
        <f t="shared" si="42"/>
        <v>73597</v>
      </c>
      <c r="N240" s="229">
        <v>1</v>
      </c>
      <c r="O240" s="229"/>
    </row>
    <row r="241" spans="1:15" x14ac:dyDescent="0.2">
      <c r="A241" s="226">
        <v>240</v>
      </c>
      <c r="B241" s="226" t="str">
        <f t="shared" si="41"/>
        <v>SISTEMATANK SIZE 16LFK-5-1-121-17</v>
      </c>
      <c r="C241" s="226">
        <f t="shared" si="48"/>
        <v>1</v>
      </c>
      <c r="D241" s="226" t="s">
        <v>13</v>
      </c>
      <c r="E241" s="226" t="s">
        <v>47</v>
      </c>
      <c r="F241" s="226" t="s">
        <v>98</v>
      </c>
      <c r="G241" s="226">
        <f t="shared" si="49"/>
        <v>17</v>
      </c>
      <c r="H241" s="226" t="s">
        <v>16</v>
      </c>
      <c r="I241" s="227">
        <v>32338</v>
      </c>
      <c r="J241" s="226" t="s">
        <v>42</v>
      </c>
      <c r="K241" s="226" t="s">
        <v>19</v>
      </c>
      <c r="L241" s="226">
        <v>1</v>
      </c>
      <c r="M241" s="228">
        <f t="shared" si="42"/>
        <v>32338</v>
      </c>
      <c r="N241" s="229">
        <v>1</v>
      </c>
      <c r="O241" s="229"/>
    </row>
    <row r="242" spans="1:15" x14ac:dyDescent="0.2">
      <c r="A242" s="226">
        <v>241</v>
      </c>
      <c r="B242" s="226" t="str">
        <f t="shared" si="41"/>
        <v>-</v>
      </c>
      <c r="M242" s="228">
        <f t="shared" si="42"/>
        <v>0</v>
      </c>
      <c r="N242" s="229">
        <v>1</v>
      </c>
      <c r="O242" s="229"/>
    </row>
    <row r="243" spans="1:15" x14ac:dyDescent="0.2">
      <c r="A243" s="226">
        <v>242</v>
      </c>
      <c r="B243" s="226" t="str">
        <f t="shared" si="41"/>
        <v>OPCIONALTANK SIZE 16LFK-5-1-121-1</v>
      </c>
      <c r="C243" s="226">
        <f>C237</f>
        <v>1</v>
      </c>
      <c r="D243" s="226" t="s">
        <v>43</v>
      </c>
      <c r="E243" s="226" t="s">
        <v>47</v>
      </c>
      <c r="F243" s="226" t="s">
        <v>98</v>
      </c>
      <c r="G243" s="226">
        <v>1</v>
      </c>
      <c r="H243" s="226" t="s">
        <v>16</v>
      </c>
      <c r="I243" s="227" t="s">
        <v>44</v>
      </c>
      <c r="J243" s="226" t="s">
        <v>45</v>
      </c>
      <c r="K243" s="226" t="s">
        <v>19</v>
      </c>
      <c r="L243" s="226">
        <f>L226</f>
        <v>1</v>
      </c>
      <c r="M243" s="228" t="str">
        <f t="shared" si="42"/>
        <v>570539-R2</v>
      </c>
      <c r="N243" s="229">
        <v>1</v>
      </c>
      <c r="O243" s="229"/>
    </row>
    <row r="244" spans="1:15" x14ac:dyDescent="0.2">
      <c r="A244" s="226">
        <v>243</v>
      </c>
      <c r="B244" s="226" t="str">
        <f t="shared" si="41"/>
        <v>OPCIONALTANK SIZE 16LFK-5-1-121-2</v>
      </c>
      <c r="C244" s="226">
        <f t="shared" si="48"/>
        <v>1</v>
      </c>
      <c r="D244" s="226" t="s">
        <v>43</v>
      </c>
      <c r="E244" s="226" t="s">
        <v>47</v>
      </c>
      <c r="F244" s="226" t="s">
        <v>98</v>
      </c>
      <c r="G244" s="226">
        <f t="shared" si="49"/>
        <v>2</v>
      </c>
      <c r="H244" s="226" t="s">
        <v>16</v>
      </c>
      <c r="I244" s="227">
        <v>437900</v>
      </c>
      <c r="J244" s="226" t="s">
        <v>40</v>
      </c>
      <c r="K244" s="226" t="s">
        <v>19</v>
      </c>
      <c r="L244" s="226">
        <v>1</v>
      </c>
      <c r="M244" s="228">
        <f t="shared" si="42"/>
        <v>437900</v>
      </c>
      <c r="N244" s="229">
        <v>1</v>
      </c>
      <c r="O244" s="229"/>
    </row>
    <row r="245" spans="1:15" x14ac:dyDescent="0.2">
      <c r="A245" s="226">
        <v>244</v>
      </c>
      <c r="B245" s="226" t="str">
        <f t="shared" si="41"/>
        <v>OPCIONALTANK SIZE 16LFK-5-1-121-3</v>
      </c>
      <c r="C245" s="226">
        <f t="shared" si="48"/>
        <v>1</v>
      </c>
      <c r="D245" s="226" t="s">
        <v>43</v>
      </c>
      <c r="E245" s="226" t="s">
        <v>47</v>
      </c>
      <c r="F245" s="226" t="s">
        <v>98</v>
      </c>
      <c r="G245" s="226">
        <f t="shared" si="49"/>
        <v>3</v>
      </c>
      <c r="H245" s="226" t="s">
        <v>16</v>
      </c>
      <c r="I245" s="227">
        <v>73597</v>
      </c>
      <c r="J245" s="226" t="s">
        <v>41</v>
      </c>
      <c r="K245" s="226" t="s">
        <v>19</v>
      </c>
      <c r="L245" s="226">
        <v>1</v>
      </c>
      <c r="M245" s="228">
        <f t="shared" si="42"/>
        <v>73597</v>
      </c>
      <c r="N245" s="229">
        <v>1</v>
      </c>
      <c r="O245" s="229"/>
    </row>
    <row r="246" spans="1:15" x14ac:dyDescent="0.2">
      <c r="A246" s="226">
        <v>245</v>
      </c>
      <c r="B246" s="226" t="str">
        <f t="shared" si="41"/>
        <v>OPCIONALTANK SIZE 16LFK-5-1-121-4</v>
      </c>
      <c r="C246" s="226">
        <f t="shared" si="48"/>
        <v>1</v>
      </c>
      <c r="D246" s="226" t="s">
        <v>43</v>
      </c>
      <c r="E246" s="226" t="s">
        <v>47</v>
      </c>
      <c r="F246" s="226" t="s">
        <v>98</v>
      </c>
      <c r="G246" s="226">
        <f t="shared" si="49"/>
        <v>4</v>
      </c>
      <c r="H246" s="226" t="s">
        <v>16</v>
      </c>
      <c r="I246" s="227">
        <v>32338</v>
      </c>
      <c r="J246" s="226" t="s">
        <v>42</v>
      </c>
      <c r="K246" s="226" t="s">
        <v>19</v>
      </c>
      <c r="L246" s="226">
        <v>1</v>
      </c>
      <c r="M246" s="228">
        <f t="shared" si="42"/>
        <v>32338</v>
      </c>
      <c r="N246" s="229">
        <v>1</v>
      </c>
      <c r="O246" s="229"/>
    </row>
    <row r="247" spans="1:15" x14ac:dyDescent="0.2">
      <c r="A247" s="226">
        <v>246</v>
      </c>
      <c r="B247" s="226" t="str">
        <f t="shared" si="41"/>
        <v>OPCIONALTANK SIZE 16LFK-5-1-121-5</v>
      </c>
      <c r="C247" s="226">
        <f t="shared" si="48"/>
        <v>1</v>
      </c>
      <c r="D247" s="226" t="s">
        <v>43</v>
      </c>
      <c r="E247" s="226" t="s">
        <v>47</v>
      </c>
      <c r="F247" s="226" t="s">
        <v>98</v>
      </c>
      <c r="G247" s="226">
        <f t="shared" si="49"/>
        <v>5</v>
      </c>
      <c r="H247" s="226" t="s">
        <v>16</v>
      </c>
      <c r="I247" s="227">
        <v>76498</v>
      </c>
      <c r="J247" s="226" t="s">
        <v>46</v>
      </c>
      <c r="K247" s="226" t="s">
        <v>19</v>
      </c>
      <c r="L247" s="226">
        <v>1</v>
      </c>
      <c r="M247" s="228">
        <f t="shared" si="42"/>
        <v>76498</v>
      </c>
      <c r="N247" s="229">
        <v>1</v>
      </c>
      <c r="O247" s="229"/>
    </row>
    <row r="248" spans="1:15" x14ac:dyDescent="0.2">
      <c r="A248" s="226">
        <v>247</v>
      </c>
      <c r="B248" s="226" t="str">
        <f t="shared" si="41"/>
        <v>-</v>
      </c>
      <c r="M248" s="228">
        <f t="shared" si="42"/>
        <v>0</v>
      </c>
      <c r="N248" s="229">
        <v>1</v>
      </c>
      <c r="O248" s="229"/>
    </row>
    <row r="249" spans="1:15" x14ac:dyDescent="0.2">
      <c r="A249" s="226">
        <v>248</v>
      </c>
      <c r="B249" s="226" t="str">
        <f t="shared" si="41"/>
        <v>SISTEMATANK SIZE 32LFK-5-1-121-1</v>
      </c>
      <c r="C249" s="226">
        <f>L249</f>
        <v>1</v>
      </c>
      <c r="D249" s="226" t="s">
        <v>13</v>
      </c>
      <c r="E249" s="226" t="s">
        <v>52</v>
      </c>
      <c r="F249" s="226" t="s">
        <v>98</v>
      </c>
      <c r="G249" s="226">
        <v>1</v>
      </c>
      <c r="H249" s="226" t="s">
        <v>16</v>
      </c>
      <c r="I249" s="227" t="s">
        <v>17</v>
      </c>
      <c r="J249" s="226" t="s">
        <v>53</v>
      </c>
      <c r="K249" s="226" t="s">
        <v>19</v>
      </c>
      <c r="L249" s="226">
        <v>1</v>
      </c>
      <c r="M249" s="228" t="s">
        <v>54</v>
      </c>
      <c r="N249" s="229">
        <v>1</v>
      </c>
      <c r="O249" s="229"/>
    </row>
    <row r="250" spans="1:15" x14ac:dyDescent="0.2">
      <c r="A250" s="226">
        <v>249</v>
      </c>
      <c r="B250" s="226" t="str">
        <f t="shared" si="41"/>
        <v>SISTEMATANK SIZE 32LFK-5-1-121-2</v>
      </c>
      <c r="C250" s="226">
        <f t="shared" ref="C250:C271" si="50">C249</f>
        <v>1</v>
      </c>
      <c r="D250" s="226" t="s">
        <v>13</v>
      </c>
      <c r="E250" s="226" t="s">
        <v>52</v>
      </c>
      <c r="F250" s="226" t="s">
        <v>98</v>
      </c>
      <c r="G250" s="226">
        <f t="shared" ref="G250:G271" si="51">+G249+1</f>
        <v>2</v>
      </c>
      <c r="H250" s="226" t="s">
        <v>16</v>
      </c>
      <c r="I250" s="227">
        <v>445734</v>
      </c>
      <c r="J250" s="226" t="s">
        <v>108</v>
      </c>
      <c r="K250" s="226" t="s">
        <v>19</v>
      </c>
      <c r="L250" s="226">
        <v>1</v>
      </c>
      <c r="M250" s="228">
        <f t="shared" si="42"/>
        <v>445734</v>
      </c>
      <c r="N250" s="229">
        <v>1</v>
      </c>
      <c r="O250" s="229"/>
    </row>
    <row r="251" spans="1:15" x14ac:dyDescent="0.2">
      <c r="A251" s="226">
        <v>250</v>
      </c>
      <c r="B251" s="226" t="str">
        <f t="shared" si="41"/>
        <v>SISTEMATANK SIZE 32LFK-5-1-121-3</v>
      </c>
      <c r="C251" s="226">
        <f t="shared" si="50"/>
        <v>1</v>
      </c>
      <c r="D251" s="226" t="s">
        <v>13</v>
      </c>
      <c r="E251" s="226" t="s">
        <v>52</v>
      </c>
      <c r="F251" s="226" t="s">
        <v>98</v>
      </c>
      <c r="G251" s="226">
        <f t="shared" si="51"/>
        <v>3</v>
      </c>
      <c r="H251" s="226" t="s">
        <v>16</v>
      </c>
      <c r="I251" s="227" t="s">
        <v>98</v>
      </c>
      <c r="J251" s="226" t="s">
        <v>100</v>
      </c>
      <c r="K251" s="226" t="s">
        <v>19</v>
      </c>
      <c r="L251" s="230">
        <f>'COT AGENTES'!$H$5</f>
        <v>2</v>
      </c>
      <c r="M251" s="228" t="str">
        <f t="shared" si="42"/>
        <v>FK-5-1-12</v>
      </c>
      <c r="N251" s="229">
        <v>1</v>
      </c>
      <c r="O251" s="229"/>
    </row>
    <row r="252" spans="1:15" x14ac:dyDescent="0.2">
      <c r="A252" s="226">
        <v>251</v>
      </c>
      <c r="B252" s="226" t="str">
        <f t="shared" si="41"/>
        <v>SISTEMATANK SIZE 32LFK-5-1-121-4</v>
      </c>
      <c r="C252" s="226">
        <f t="shared" si="50"/>
        <v>1</v>
      </c>
      <c r="D252" s="226" t="s">
        <v>13</v>
      </c>
      <c r="E252" s="226" t="s">
        <v>52</v>
      </c>
      <c r="F252" s="226" t="s">
        <v>98</v>
      </c>
      <c r="G252" s="226">
        <f t="shared" si="51"/>
        <v>4</v>
      </c>
      <c r="H252" s="226" t="s">
        <v>16</v>
      </c>
      <c r="I252" s="227">
        <v>302207021</v>
      </c>
      <c r="J252" s="226" t="s">
        <v>101</v>
      </c>
      <c r="K252" s="226" t="s">
        <v>19</v>
      </c>
      <c r="L252" s="226">
        <v>1</v>
      </c>
      <c r="M252" s="228">
        <f t="shared" si="42"/>
        <v>302207021</v>
      </c>
      <c r="N252" s="229">
        <v>1</v>
      </c>
      <c r="O252" s="229"/>
    </row>
    <row r="253" spans="1:15" x14ac:dyDescent="0.2">
      <c r="A253" s="226">
        <v>252</v>
      </c>
      <c r="B253" s="226" t="str">
        <f t="shared" si="41"/>
        <v>SISTEMATANK SIZE 32LFK-5-1-121-5</v>
      </c>
      <c r="C253" s="226">
        <f t="shared" si="50"/>
        <v>1</v>
      </c>
      <c r="D253" s="226" t="s">
        <v>13</v>
      </c>
      <c r="E253" s="226" t="s">
        <v>52</v>
      </c>
      <c r="F253" s="226" t="s">
        <v>98</v>
      </c>
      <c r="G253" s="226">
        <f t="shared" si="51"/>
        <v>5</v>
      </c>
      <c r="H253" s="226" t="s">
        <v>16</v>
      </c>
      <c r="I253" s="227">
        <v>314207329</v>
      </c>
      <c r="J253" s="226" t="s">
        <v>109</v>
      </c>
      <c r="K253" s="226" t="s">
        <v>19</v>
      </c>
      <c r="L253" s="226">
        <v>1</v>
      </c>
      <c r="M253" s="228">
        <f t="shared" si="42"/>
        <v>314207329</v>
      </c>
      <c r="N253" s="229">
        <v>1</v>
      </c>
      <c r="O253" s="229"/>
    </row>
    <row r="254" spans="1:15" x14ac:dyDescent="0.2">
      <c r="A254" s="226">
        <v>253</v>
      </c>
      <c r="B254" s="226" t="str">
        <f t="shared" si="41"/>
        <v>SISTEMATANK SIZE 32LFK-5-1-121-6</v>
      </c>
      <c r="C254" s="226">
        <f t="shared" si="50"/>
        <v>1</v>
      </c>
      <c r="D254" s="226" t="s">
        <v>13</v>
      </c>
      <c r="E254" s="226" t="s">
        <v>52</v>
      </c>
      <c r="F254" s="226" t="s">
        <v>98</v>
      </c>
      <c r="G254" s="226">
        <f t="shared" si="51"/>
        <v>6</v>
      </c>
      <c r="H254" s="226" t="s">
        <v>16</v>
      </c>
      <c r="I254" s="227">
        <v>570585</v>
      </c>
      <c r="J254" s="226" t="s">
        <v>26</v>
      </c>
      <c r="K254" s="226" t="s">
        <v>19</v>
      </c>
      <c r="L254" s="226">
        <v>1</v>
      </c>
      <c r="M254" s="228">
        <f t="shared" si="42"/>
        <v>570585</v>
      </c>
      <c r="N254" s="229">
        <v>1</v>
      </c>
      <c r="O254" s="229"/>
    </row>
    <row r="255" spans="1:15" x14ac:dyDescent="0.2">
      <c r="A255" s="226">
        <v>254</v>
      </c>
      <c r="B255" s="226" t="str">
        <f t="shared" si="41"/>
        <v>SISTEMATANK SIZE 32LFK-5-1-121-7</v>
      </c>
      <c r="C255" s="226">
        <f t="shared" si="50"/>
        <v>1</v>
      </c>
      <c r="D255" s="226" t="s">
        <v>13</v>
      </c>
      <c r="E255" s="226" t="s">
        <v>52</v>
      </c>
      <c r="F255" s="226" t="s">
        <v>98</v>
      </c>
      <c r="G255" s="226">
        <f t="shared" si="51"/>
        <v>7</v>
      </c>
      <c r="H255" s="226" t="s">
        <v>16</v>
      </c>
      <c r="I255" s="227">
        <v>304205030</v>
      </c>
      <c r="J255" s="226" t="s">
        <v>27</v>
      </c>
      <c r="K255" s="226" t="s">
        <v>19</v>
      </c>
      <c r="L255" s="226">
        <v>1</v>
      </c>
      <c r="M255" s="228">
        <f t="shared" si="42"/>
        <v>304205030</v>
      </c>
      <c r="N255" s="229">
        <v>1</v>
      </c>
      <c r="O255" s="229"/>
    </row>
    <row r="256" spans="1:15" x14ac:dyDescent="0.2">
      <c r="A256" s="226">
        <v>255</v>
      </c>
      <c r="B256" s="226" t="str">
        <f t="shared" si="41"/>
        <v>SISTEMATANK SIZE 32LFK-5-1-121-8</v>
      </c>
      <c r="C256" s="226">
        <f t="shared" si="50"/>
        <v>1</v>
      </c>
      <c r="D256" s="226" t="s">
        <v>13</v>
      </c>
      <c r="E256" s="226" t="s">
        <v>52</v>
      </c>
      <c r="F256" s="226" t="s">
        <v>98</v>
      </c>
      <c r="G256" s="226">
        <f t="shared" si="51"/>
        <v>8</v>
      </c>
      <c r="H256" s="226" t="s">
        <v>16</v>
      </c>
      <c r="I256" s="227" t="s">
        <v>28</v>
      </c>
      <c r="J256" s="226" t="s">
        <v>29</v>
      </c>
      <c r="K256" s="226" t="s">
        <v>19</v>
      </c>
      <c r="L256" s="226">
        <v>1</v>
      </c>
      <c r="M256" s="228" t="str">
        <f t="shared" si="42"/>
        <v>A1638150HY</v>
      </c>
      <c r="N256" s="229">
        <v>1</v>
      </c>
      <c r="O256" s="229"/>
    </row>
    <row r="257" spans="1:15" x14ac:dyDescent="0.2">
      <c r="A257" s="226">
        <v>256</v>
      </c>
      <c r="B257" s="226" t="str">
        <f t="shared" si="41"/>
        <v>SISTEMATANK SIZE 32LFK-5-1-121-9</v>
      </c>
      <c r="C257" s="226">
        <f t="shared" si="50"/>
        <v>1</v>
      </c>
      <c r="D257" s="226" t="s">
        <v>13</v>
      </c>
      <c r="E257" s="226" t="s">
        <v>52</v>
      </c>
      <c r="F257" s="226" t="s">
        <v>98</v>
      </c>
      <c r="G257" s="226">
        <f t="shared" si="51"/>
        <v>9</v>
      </c>
      <c r="H257" s="226" t="s">
        <v>16</v>
      </c>
      <c r="I257" s="227" t="s">
        <v>30</v>
      </c>
      <c r="J257" s="226" t="s">
        <v>31</v>
      </c>
      <c r="K257" s="226" t="s">
        <v>19</v>
      </c>
      <c r="L257" s="226">
        <v>2</v>
      </c>
      <c r="M257" s="228" t="str">
        <f t="shared" si="42"/>
        <v>570085-R2</v>
      </c>
      <c r="N257" s="229">
        <v>1</v>
      </c>
      <c r="O257" s="229"/>
    </row>
    <row r="258" spans="1:15" x14ac:dyDescent="0.2">
      <c r="A258" s="226">
        <v>257</v>
      </c>
      <c r="B258" s="226" t="str">
        <f t="shared" si="41"/>
        <v>SISTEMATANK SIZE 32LFK-5-1-121-10</v>
      </c>
      <c r="C258" s="226">
        <f t="shared" si="50"/>
        <v>1</v>
      </c>
      <c r="D258" s="226" t="s">
        <v>13</v>
      </c>
      <c r="E258" s="226" t="s">
        <v>52</v>
      </c>
      <c r="F258" s="226" t="s">
        <v>98</v>
      </c>
      <c r="G258" s="226">
        <f t="shared" si="51"/>
        <v>10</v>
      </c>
      <c r="H258" s="226" t="s">
        <v>16</v>
      </c>
      <c r="I258" s="227" t="s">
        <v>32</v>
      </c>
      <c r="J258" s="226" t="s">
        <v>33</v>
      </c>
      <c r="K258" s="226" t="s">
        <v>19</v>
      </c>
      <c r="L258" s="230">
        <f>'COT AGENTES'!$M$11</f>
        <v>1</v>
      </c>
      <c r="M258" s="228" t="s">
        <v>57</v>
      </c>
      <c r="N258" s="229">
        <v>1</v>
      </c>
      <c r="O258" s="229"/>
    </row>
    <row r="259" spans="1:15" x14ac:dyDescent="0.2">
      <c r="A259" s="226">
        <v>258</v>
      </c>
      <c r="B259" s="226" t="str">
        <f t="shared" si="41"/>
        <v>SISTEMATANK SIZE 32LFK-5-1-121-11</v>
      </c>
      <c r="C259" s="226">
        <f t="shared" si="50"/>
        <v>1</v>
      </c>
      <c r="D259" s="226" t="s">
        <v>13</v>
      </c>
      <c r="E259" s="226" t="s">
        <v>52</v>
      </c>
      <c r="F259" s="226" t="s">
        <v>98</v>
      </c>
      <c r="G259" s="226">
        <f t="shared" si="51"/>
        <v>11</v>
      </c>
      <c r="H259" s="226" t="s">
        <v>16</v>
      </c>
      <c r="I259" s="227" t="s">
        <v>103</v>
      </c>
      <c r="J259" s="226" t="s">
        <v>104</v>
      </c>
      <c r="K259" s="226" t="s">
        <v>19</v>
      </c>
      <c r="L259" s="226">
        <v>1</v>
      </c>
      <c r="M259" s="228" t="str">
        <f t="shared" si="42"/>
        <v>314207101-R2</v>
      </c>
      <c r="N259" s="229">
        <v>1</v>
      </c>
      <c r="O259" s="229"/>
    </row>
    <row r="260" spans="1:15" x14ac:dyDescent="0.2">
      <c r="A260" s="226">
        <v>259</v>
      </c>
      <c r="B260" s="226" t="str">
        <f t="shared" si="41"/>
        <v>SISTEMATANK SIZE 32LFK-5-1-121-12</v>
      </c>
      <c r="C260" s="226">
        <f t="shared" si="50"/>
        <v>1</v>
      </c>
      <c r="D260" s="226" t="s">
        <v>13</v>
      </c>
      <c r="E260" s="226" t="s">
        <v>52</v>
      </c>
      <c r="F260" s="226" t="s">
        <v>98</v>
      </c>
      <c r="G260" s="226">
        <f t="shared" si="51"/>
        <v>12</v>
      </c>
      <c r="H260" s="226" t="s">
        <v>16</v>
      </c>
      <c r="I260" s="227" t="s">
        <v>105</v>
      </c>
      <c r="J260" s="226" t="s">
        <v>106</v>
      </c>
      <c r="K260" s="226" t="s">
        <v>19</v>
      </c>
      <c r="L260" s="226">
        <v>1</v>
      </c>
      <c r="M260" s="228" t="str">
        <f t="shared" ref="M260:M323" si="52">I260</f>
        <v>314207103-R2</v>
      </c>
      <c r="N260" s="229">
        <v>1</v>
      </c>
      <c r="O260" s="229"/>
    </row>
    <row r="261" spans="1:15" x14ac:dyDescent="0.2">
      <c r="A261" s="226">
        <v>260</v>
      </c>
      <c r="B261" s="226" t="str">
        <f t="shared" si="41"/>
        <v>SISTEMATANK SIZE 32LFK-5-1-121-13</v>
      </c>
      <c r="C261" s="226">
        <f t="shared" si="50"/>
        <v>1</v>
      </c>
      <c r="D261" s="226" t="s">
        <v>13</v>
      </c>
      <c r="E261" s="226" t="s">
        <v>52</v>
      </c>
      <c r="F261" s="226" t="s">
        <v>98</v>
      </c>
      <c r="G261" s="226">
        <f t="shared" si="51"/>
        <v>13</v>
      </c>
      <c r="H261" s="226" t="s">
        <v>16</v>
      </c>
      <c r="I261" s="227">
        <v>570557</v>
      </c>
      <c r="J261" s="226" t="s">
        <v>39</v>
      </c>
      <c r="K261" s="226" t="s">
        <v>19</v>
      </c>
      <c r="L261" s="226">
        <f>L250</f>
        <v>1</v>
      </c>
      <c r="M261" s="228">
        <f t="shared" si="52"/>
        <v>570557</v>
      </c>
      <c r="N261" s="229">
        <v>1</v>
      </c>
      <c r="O261" s="229"/>
    </row>
    <row r="262" spans="1:15" x14ac:dyDescent="0.2">
      <c r="A262" s="226">
        <v>261</v>
      </c>
      <c r="B262" s="226" t="str">
        <f t="shared" ref="B262:B325" si="53">D262&amp;E262&amp;F262&amp;C262&amp;"-"&amp;G262&amp;IF(M262&lt;&gt;"",O262,"")</f>
        <v>SISTEMATANK SIZE 32LFK-5-1-121-14</v>
      </c>
      <c r="C262" s="226">
        <f>C255</f>
        <v>1</v>
      </c>
      <c r="D262" s="226" t="s">
        <v>13</v>
      </c>
      <c r="E262" s="226" t="s">
        <v>52</v>
      </c>
      <c r="F262" s="226" t="s">
        <v>98</v>
      </c>
      <c r="G262" s="226">
        <f t="shared" si="51"/>
        <v>14</v>
      </c>
      <c r="M262" s="228">
        <f t="shared" si="52"/>
        <v>0</v>
      </c>
      <c r="N262" s="229">
        <v>1</v>
      </c>
      <c r="O262" s="229"/>
    </row>
    <row r="263" spans="1:15" x14ac:dyDescent="0.2">
      <c r="A263" s="226">
        <v>262</v>
      </c>
      <c r="B263" s="226" t="str">
        <f t="shared" si="53"/>
        <v>SISTEMATANK SIZE 32LFK-5-1-121-15</v>
      </c>
      <c r="C263" s="226">
        <f t="shared" si="50"/>
        <v>1</v>
      </c>
      <c r="D263" s="226" t="s">
        <v>13</v>
      </c>
      <c r="E263" s="226" t="s">
        <v>52</v>
      </c>
      <c r="F263" s="226" t="s">
        <v>98</v>
      </c>
      <c r="G263" s="226">
        <f t="shared" si="51"/>
        <v>15</v>
      </c>
      <c r="H263" s="226" t="s">
        <v>16</v>
      </c>
      <c r="I263" s="227">
        <v>437900</v>
      </c>
      <c r="J263" s="226" t="s">
        <v>40</v>
      </c>
      <c r="K263" s="226" t="s">
        <v>19</v>
      </c>
      <c r="L263" s="226">
        <v>1</v>
      </c>
      <c r="M263" s="228">
        <f t="shared" si="52"/>
        <v>437900</v>
      </c>
      <c r="N263" s="229">
        <v>1</v>
      </c>
      <c r="O263" s="229"/>
    </row>
    <row r="264" spans="1:15" x14ac:dyDescent="0.2">
      <c r="A264" s="226">
        <v>263</v>
      </c>
      <c r="B264" s="226" t="str">
        <f t="shared" si="53"/>
        <v>SISTEMATANK SIZE 32LFK-5-1-121-16</v>
      </c>
      <c r="C264" s="226">
        <f t="shared" si="50"/>
        <v>1</v>
      </c>
      <c r="D264" s="226" t="s">
        <v>13</v>
      </c>
      <c r="E264" s="226" t="s">
        <v>52</v>
      </c>
      <c r="F264" s="226" t="s">
        <v>98</v>
      </c>
      <c r="G264" s="226">
        <f t="shared" si="51"/>
        <v>16</v>
      </c>
      <c r="H264" s="226" t="s">
        <v>16</v>
      </c>
      <c r="I264" s="227">
        <v>73597</v>
      </c>
      <c r="J264" s="226" t="s">
        <v>41</v>
      </c>
      <c r="K264" s="226" t="s">
        <v>19</v>
      </c>
      <c r="L264" s="226">
        <v>1</v>
      </c>
      <c r="M264" s="228">
        <f t="shared" si="52"/>
        <v>73597</v>
      </c>
      <c r="N264" s="229">
        <v>1</v>
      </c>
      <c r="O264" s="229"/>
    </row>
    <row r="265" spans="1:15" x14ac:dyDescent="0.2">
      <c r="A265" s="226">
        <v>264</v>
      </c>
      <c r="B265" s="226" t="str">
        <f t="shared" si="53"/>
        <v>SISTEMATANK SIZE 32LFK-5-1-121-17</v>
      </c>
      <c r="C265" s="226">
        <f t="shared" si="50"/>
        <v>1</v>
      </c>
      <c r="D265" s="226" t="s">
        <v>13</v>
      </c>
      <c r="E265" s="226" t="s">
        <v>52</v>
      </c>
      <c r="F265" s="226" t="s">
        <v>98</v>
      </c>
      <c r="G265" s="226">
        <f t="shared" si="51"/>
        <v>17</v>
      </c>
      <c r="H265" s="226" t="s">
        <v>16</v>
      </c>
      <c r="I265" s="227">
        <v>32338</v>
      </c>
      <c r="J265" s="226" t="s">
        <v>42</v>
      </c>
      <c r="K265" s="226" t="s">
        <v>19</v>
      </c>
      <c r="L265" s="226">
        <v>1</v>
      </c>
      <c r="M265" s="228">
        <f t="shared" si="52"/>
        <v>32338</v>
      </c>
      <c r="N265" s="229">
        <v>1</v>
      </c>
      <c r="O265" s="229"/>
    </row>
    <row r="266" spans="1:15" x14ac:dyDescent="0.2">
      <c r="A266" s="226">
        <v>265</v>
      </c>
      <c r="B266" s="226" t="str">
        <f t="shared" si="53"/>
        <v>-</v>
      </c>
      <c r="M266" s="228">
        <f t="shared" si="52"/>
        <v>0</v>
      </c>
      <c r="N266" s="229">
        <v>1</v>
      </c>
      <c r="O266" s="229"/>
    </row>
    <row r="267" spans="1:15" x14ac:dyDescent="0.2">
      <c r="A267" s="226">
        <v>266</v>
      </c>
      <c r="B267" s="226" t="str">
        <f t="shared" si="53"/>
        <v>OPCIONALTANK SIZE 32LFK-5-1-121-1</v>
      </c>
      <c r="C267" s="226">
        <f>C260</f>
        <v>1</v>
      </c>
      <c r="D267" s="226" t="s">
        <v>43</v>
      </c>
      <c r="E267" s="226" t="s">
        <v>52</v>
      </c>
      <c r="F267" s="226" t="s">
        <v>98</v>
      </c>
      <c r="G267" s="226">
        <v>1</v>
      </c>
      <c r="H267" s="226" t="s">
        <v>16</v>
      </c>
      <c r="I267" s="227" t="s">
        <v>44</v>
      </c>
      <c r="J267" s="226" t="s">
        <v>45</v>
      </c>
      <c r="K267" s="226" t="s">
        <v>19</v>
      </c>
      <c r="L267" s="226">
        <f>L250</f>
        <v>1</v>
      </c>
      <c r="M267" s="228" t="str">
        <f t="shared" si="52"/>
        <v>570539-R2</v>
      </c>
      <c r="N267" s="229">
        <v>1</v>
      </c>
      <c r="O267" s="229"/>
    </row>
    <row r="268" spans="1:15" x14ac:dyDescent="0.2">
      <c r="A268" s="226">
        <v>267</v>
      </c>
      <c r="B268" s="226" t="str">
        <f t="shared" si="53"/>
        <v>OPCIONALTANK SIZE 32LFK-5-1-121-2</v>
      </c>
      <c r="C268" s="226">
        <f t="shared" si="50"/>
        <v>1</v>
      </c>
      <c r="D268" s="226" t="s">
        <v>43</v>
      </c>
      <c r="E268" s="226" t="s">
        <v>52</v>
      </c>
      <c r="F268" s="226" t="s">
        <v>98</v>
      </c>
      <c r="G268" s="226">
        <f t="shared" si="51"/>
        <v>2</v>
      </c>
      <c r="H268" s="226" t="s">
        <v>16</v>
      </c>
      <c r="I268" s="227">
        <v>437900</v>
      </c>
      <c r="J268" s="226" t="s">
        <v>40</v>
      </c>
      <c r="K268" s="226" t="s">
        <v>19</v>
      </c>
      <c r="L268" s="226">
        <v>1</v>
      </c>
      <c r="M268" s="228">
        <f t="shared" si="52"/>
        <v>437900</v>
      </c>
      <c r="N268" s="229">
        <v>1</v>
      </c>
      <c r="O268" s="229"/>
    </row>
    <row r="269" spans="1:15" x14ac:dyDescent="0.2">
      <c r="A269" s="226">
        <v>268</v>
      </c>
      <c r="B269" s="226" t="str">
        <f t="shared" si="53"/>
        <v>OPCIONALTANK SIZE 32LFK-5-1-121-3</v>
      </c>
      <c r="C269" s="226">
        <f t="shared" si="50"/>
        <v>1</v>
      </c>
      <c r="D269" s="226" t="s">
        <v>43</v>
      </c>
      <c r="E269" s="226" t="s">
        <v>52</v>
      </c>
      <c r="F269" s="226" t="s">
        <v>98</v>
      </c>
      <c r="G269" s="226">
        <f t="shared" si="51"/>
        <v>3</v>
      </c>
      <c r="H269" s="226" t="s">
        <v>16</v>
      </c>
      <c r="I269" s="227">
        <v>73597</v>
      </c>
      <c r="J269" s="226" t="s">
        <v>41</v>
      </c>
      <c r="K269" s="226" t="s">
        <v>19</v>
      </c>
      <c r="L269" s="226">
        <v>1</v>
      </c>
      <c r="M269" s="228">
        <f t="shared" si="52"/>
        <v>73597</v>
      </c>
      <c r="N269" s="229">
        <v>1</v>
      </c>
      <c r="O269" s="229"/>
    </row>
    <row r="270" spans="1:15" x14ac:dyDescent="0.2">
      <c r="A270" s="226">
        <v>269</v>
      </c>
      <c r="B270" s="226" t="str">
        <f t="shared" si="53"/>
        <v>OPCIONALTANK SIZE 32LFK-5-1-121-4</v>
      </c>
      <c r="C270" s="226">
        <f t="shared" si="50"/>
        <v>1</v>
      </c>
      <c r="D270" s="226" t="s">
        <v>43</v>
      </c>
      <c r="E270" s="226" t="s">
        <v>52</v>
      </c>
      <c r="F270" s="226" t="s">
        <v>98</v>
      </c>
      <c r="G270" s="226">
        <f t="shared" si="51"/>
        <v>4</v>
      </c>
      <c r="H270" s="226" t="s">
        <v>16</v>
      </c>
      <c r="I270" s="227">
        <v>32338</v>
      </c>
      <c r="J270" s="226" t="s">
        <v>42</v>
      </c>
      <c r="K270" s="226" t="s">
        <v>19</v>
      </c>
      <c r="L270" s="226">
        <v>1</v>
      </c>
      <c r="M270" s="228">
        <f t="shared" si="52"/>
        <v>32338</v>
      </c>
      <c r="N270" s="229">
        <v>1</v>
      </c>
      <c r="O270" s="229"/>
    </row>
    <row r="271" spans="1:15" x14ac:dyDescent="0.2">
      <c r="A271" s="226">
        <v>270</v>
      </c>
      <c r="B271" s="226" t="str">
        <f t="shared" si="53"/>
        <v>OPCIONALTANK SIZE 32LFK-5-1-121-5</v>
      </c>
      <c r="C271" s="226">
        <f t="shared" si="50"/>
        <v>1</v>
      </c>
      <c r="D271" s="226" t="s">
        <v>43</v>
      </c>
      <c r="E271" s="226" t="s">
        <v>52</v>
      </c>
      <c r="F271" s="226" t="s">
        <v>98</v>
      </c>
      <c r="G271" s="226">
        <f t="shared" si="51"/>
        <v>5</v>
      </c>
      <c r="H271" s="226" t="s">
        <v>16</v>
      </c>
      <c r="I271" s="227">
        <v>76498</v>
      </c>
      <c r="J271" s="226" t="s">
        <v>46</v>
      </c>
      <c r="K271" s="226" t="s">
        <v>19</v>
      </c>
      <c r="L271" s="226">
        <v>1</v>
      </c>
      <c r="M271" s="228">
        <f t="shared" si="52"/>
        <v>76498</v>
      </c>
      <c r="N271" s="229">
        <v>1</v>
      </c>
      <c r="O271" s="229"/>
    </row>
    <row r="272" spans="1:15" x14ac:dyDescent="0.2">
      <c r="A272" s="226">
        <v>271</v>
      </c>
      <c r="B272" s="226" t="str">
        <f t="shared" si="53"/>
        <v>-</v>
      </c>
      <c r="M272" s="228">
        <f t="shared" si="52"/>
        <v>0</v>
      </c>
      <c r="N272" s="229">
        <v>1</v>
      </c>
      <c r="O272" s="229"/>
    </row>
    <row r="273" spans="1:15" x14ac:dyDescent="0.2">
      <c r="A273" s="226">
        <v>272</v>
      </c>
      <c r="B273" s="226" t="str">
        <f t="shared" si="53"/>
        <v>SISTEMATANK SIZE 52LFK-5-1-121-1</v>
      </c>
      <c r="C273" s="226">
        <f>L273</f>
        <v>1</v>
      </c>
      <c r="D273" s="226" t="s">
        <v>13</v>
      </c>
      <c r="E273" s="226" t="s">
        <v>58</v>
      </c>
      <c r="F273" s="226" t="s">
        <v>98</v>
      </c>
      <c r="G273" s="226">
        <v>1</v>
      </c>
      <c r="H273" s="226" t="s">
        <v>16</v>
      </c>
      <c r="I273" s="227" t="s">
        <v>17</v>
      </c>
      <c r="J273" s="226" t="s">
        <v>59</v>
      </c>
      <c r="K273" s="226" t="s">
        <v>19</v>
      </c>
      <c r="L273" s="226">
        <v>1</v>
      </c>
      <c r="M273" s="228" t="s">
        <v>60</v>
      </c>
      <c r="N273" s="229">
        <v>1</v>
      </c>
      <c r="O273" s="229"/>
    </row>
    <row r="274" spans="1:15" x14ac:dyDescent="0.2">
      <c r="A274" s="226">
        <v>273</v>
      </c>
      <c r="B274" s="226" t="str">
        <f t="shared" si="53"/>
        <v>SISTEMATANK SIZE 52LFK-5-1-121-2</v>
      </c>
      <c r="C274" s="226">
        <f t="shared" ref="C274:C295" si="54">C273</f>
        <v>1</v>
      </c>
      <c r="D274" s="226" t="s">
        <v>13</v>
      </c>
      <c r="E274" s="226" t="s">
        <v>58</v>
      </c>
      <c r="F274" s="226" t="s">
        <v>98</v>
      </c>
      <c r="G274" s="226">
        <f t="shared" ref="G274:G295" si="55">+G273+1</f>
        <v>2</v>
      </c>
      <c r="H274" s="226" t="s">
        <v>16</v>
      </c>
      <c r="I274" s="227">
        <v>445735</v>
      </c>
      <c r="J274" s="226" t="s">
        <v>110</v>
      </c>
      <c r="K274" s="226" t="s">
        <v>19</v>
      </c>
      <c r="L274" s="226">
        <v>1</v>
      </c>
      <c r="M274" s="228">
        <f t="shared" si="52"/>
        <v>445735</v>
      </c>
      <c r="N274" s="229">
        <v>1</v>
      </c>
      <c r="O274" s="229"/>
    </row>
    <row r="275" spans="1:15" x14ac:dyDescent="0.2">
      <c r="A275" s="226">
        <v>274</v>
      </c>
      <c r="B275" s="226" t="str">
        <f t="shared" si="53"/>
        <v>SISTEMATANK SIZE 52LFK-5-1-121-3</v>
      </c>
      <c r="C275" s="226">
        <f t="shared" si="54"/>
        <v>1</v>
      </c>
      <c r="D275" s="226" t="s">
        <v>13</v>
      </c>
      <c r="E275" s="226" t="s">
        <v>58</v>
      </c>
      <c r="F275" s="226" t="s">
        <v>98</v>
      </c>
      <c r="G275" s="226">
        <f t="shared" si="55"/>
        <v>3</v>
      </c>
      <c r="H275" s="226" t="s">
        <v>16</v>
      </c>
      <c r="I275" s="227" t="s">
        <v>98</v>
      </c>
      <c r="J275" s="226" t="s">
        <v>100</v>
      </c>
      <c r="K275" s="226" t="s">
        <v>19</v>
      </c>
      <c r="L275" s="230">
        <f>'COT AGENTES'!$H$5</f>
        <v>2</v>
      </c>
      <c r="M275" s="228" t="str">
        <f t="shared" si="52"/>
        <v>FK-5-1-12</v>
      </c>
      <c r="N275" s="229">
        <v>1</v>
      </c>
      <c r="O275" s="229"/>
    </row>
    <row r="276" spans="1:15" x14ac:dyDescent="0.2">
      <c r="A276" s="226">
        <v>275</v>
      </c>
      <c r="B276" s="226" t="str">
        <f t="shared" si="53"/>
        <v>SISTEMATANK SIZE 52LFK-5-1-121-4</v>
      </c>
      <c r="C276" s="226">
        <f t="shared" si="54"/>
        <v>1</v>
      </c>
      <c r="D276" s="226" t="s">
        <v>13</v>
      </c>
      <c r="E276" s="226" t="s">
        <v>58</v>
      </c>
      <c r="F276" s="226" t="s">
        <v>98</v>
      </c>
      <c r="G276" s="226">
        <f t="shared" si="55"/>
        <v>4</v>
      </c>
      <c r="H276" s="226" t="s">
        <v>16</v>
      </c>
      <c r="I276" s="227">
        <v>302207021</v>
      </c>
      <c r="J276" s="226" t="s">
        <v>101</v>
      </c>
      <c r="K276" s="226" t="s">
        <v>19</v>
      </c>
      <c r="L276" s="226">
        <v>1</v>
      </c>
      <c r="M276" s="228">
        <f t="shared" si="52"/>
        <v>302207021</v>
      </c>
      <c r="N276" s="229">
        <v>1</v>
      </c>
      <c r="O276" s="229"/>
    </row>
    <row r="277" spans="1:15" x14ac:dyDescent="0.2">
      <c r="A277" s="226">
        <v>276</v>
      </c>
      <c r="B277" s="226" t="str">
        <f t="shared" si="53"/>
        <v>SISTEMATANK SIZE 52LFK-5-1-121-5</v>
      </c>
      <c r="C277" s="226">
        <f t="shared" si="54"/>
        <v>1</v>
      </c>
      <c r="D277" s="226" t="s">
        <v>13</v>
      </c>
      <c r="E277" s="226" t="s">
        <v>58</v>
      </c>
      <c r="F277" s="226" t="s">
        <v>98</v>
      </c>
      <c r="G277" s="226">
        <f t="shared" si="55"/>
        <v>5</v>
      </c>
      <c r="H277" s="226" t="s">
        <v>16</v>
      </c>
      <c r="I277" s="227">
        <v>314207207</v>
      </c>
      <c r="J277" s="226" t="s">
        <v>102</v>
      </c>
      <c r="K277" s="226" t="s">
        <v>19</v>
      </c>
      <c r="L277" s="226">
        <v>1</v>
      </c>
      <c r="M277" s="228">
        <f t="shared" si="52"/>
        <v>314207207</v>
      </c>
      <c r="N277" s="229">
        <v>1</v>
      </c>
      <c r="O277" s="229"/>
    </row>
    <row r="278" spans="1:15" x14ac:dyDescent="0.2">
      <c r="A278" s="226">
        <v>277</v>
      </c>
      <c r="B278" s="226" t="str">
        <f t="shared" si="53"/>
        <v>SISTEMATANK SIZE 52LFK-5-1-121-6</v>
      </c>
      <c r="C278" s="226">
        <f t="shared" si="54"/>
        <v>1</v>
      </c>
      <c r="D278" s="226" t="s">
        <v>13</v>
      </c>
      <c r="E278" s="226" t="s">
        <v>58</v>
      </c>
      <c r="F278" s="226" t="s">
        <v>98</v>
      </c>
      <c r="G278" s="226">
        <f t="shared" si="55"/>
        <v>6</v>
      </c>
      <c r="H278" s="226" t="s">
        <v>16</v>
      </c>
      <c r="I278" s="227">
        <v>570585</v>
      </c>
      <c r="J278" s="226" t="s">
        <v>26</v>
      </c>
      <c r="K278" s="226" t="s">
        <v>19</v>
      </c>
      <c r="L278" s="226">
        <v>1</v>
      </c>
      <c r="M278" s="228">
        <f t="shared" si="52"/>
        <v>570585</v>
      </c>
      <c r="N278" s="229">
        <v>1</v>
      </c>
      <c r="O278" s="229"/>
    </row>
    <row r="279" spans="1:15" x14ac:dyDescent="0.2">
      <c r="A279" s="226">
        <v>278</v>
      </c>
      <c r="B279" s="226" t="str">
        <f t="shared" si="53"/>
        <v>SISTEMATANK SIZE 52LFK-5-1-121-7</v>
      </c>
      <c r="C279" s="226">
        <f t="shared" si="54"/>
        <v>1</v>
      </c>
      <c r="D279" s="226" t="s">
        <v>13</v>
      </c>
      <c r="E279" s="226" t="s">
        <v>58</v>
      </c>
      <c r="F279" s="226" t="s">
        <v>98</v>
      </c>
      <c r="G279" s="226">
        <f t="shared" si="55"/>
        <v>7</v>
      </c>
      <c r="H279" s="226" t="s">
        <v>16</v>
      </c>
      <c r="I279" s="227">
        <v>304205030</v>
      </c>
      <c r="J279" s="226" t="s">
        <v>27</v>
      </c>
      <c r="K279" s="226" t="s">
        <v>19</v>
      </c>
      <c r="L279" s="226">
        <v>1</v>
      </c>
      <c r="M279" s="228">
        <f t="shared" si="52"/>
        <v>304205030</v>
      </c>
      <c r="N279" s="229">
        <v>1</v>
      </c>
      <c r="O279" s="229"/>
    </row>
    <row r="280" spans="1:15" x14ac:dyDescent="0.2">
      <c r="A280" s="226">
        <v>279</v>
      </c>
      <c r="B280" s="226" t="str">
        <f t="shared" si="53"/>
        <v>SISTEMATANK SIZE 52LFK-5-1-121-8</v>
      </c>
      <c r="C280" s="226">
        <f t="shared" si="54"/>
        <v>1</v>
      </c>
      <c r="D280" s="226" t="s">
        <v>13</v>
      </c>
      <c r="E280" s="226" t="s">
        <v>58</v>
      </c>
      <c r="F280" s="226" t="s">
        <v>98</v>
      </c>
      <c r="G280" s="226">
        <f t="shared" si="55"/>
        <v>8</v>
      </c>
      <c r="H280" s="226" t="s">
        <v>16</v>
      </c>
      <c r="I280" s="227" t="s">
        <v>28</v>
      </c>
      <c r="J280" s="226" t="s">
        <v>29</v>
      </c>
      <c r="K280" s="226" t="s">
        <v>19</v>
      </c>
      <c r="L280" s="226">
        <v>1</v>
      </c>
      <c r="M280" s="228" t="str">
        <f t="shared" si="52"/>
        <v>A1638150HY</v>
      </c>
      <c r="N280" s="229">
        <v>1</v>
      </c>
      <c r="O280" s="229"/>
    </row>
    <row r="281" spans="1:15" x14ac:dyDescent="0.2">
      <c r="A281" s="226">
        <v>280</v>
      </c>
      <c r="B281" s="226" t="str">
        <f t="shared" si="53"/>
        <v>SISTEMATANK SIZE 52LFK-5-1-121-9</v>
      </c>
      <c r="C281" s="226">
        <f t="shared" si="54"/>
        <v>1</v>
      </c>
      <c r="D281" s="226" t="s">
        <v>13</v>
      </c>
      <c r="E281" s="226" t="s">
        <v>58</v>
      </c>
      <c r="F281" s="226" t="s">
        <v>98</v>
      </c>
      <c r="G281" s="226">
        <f t="shared" si="55"/>
        <v>9</v>
      </c>
      <c r="H281" s="226" t="s">
        <v>16</v>
      </c>
      <c r="I281" s="227" t="s">
        <v>62</v>
      </c>
      <c r="J281" s="226" t="s">
        <v>63</v>
      </c>
      <c r="K281" s="226" t="s">
        <v>19</v>
      </c>
      <c r="L281" s="226">
        <v>2</v>
      </c>
      <c r="M281" s="228" t="str">
        <f t="shared" si="52"/>
        <v>570092-R2</v>
      </c>
      <c r="N281" s="229">
        <v>1</v>
      </c>
      <c r="O281" s="229"/>
    </row>
    <row r="282" spans="1:15" x14ac:dyDescent="0.2">
      <c r="A282" s="226">
        <v>281</v>
      </c>
      <c r="B282" s="226" t="str">
        <f t="shared" si="53"/>
        <v>SISTEMATANK SIZE 52LFK-5-1-121-10</v>
      </c>
      <c r="C282" s="226">
        <f t="shared" si="54"/>
        <v>1</v>
      </c>
      <c r="D282" s="226" t="s">
        <v>13</v>
      </c>
      <c r="E282" s="226" t="s">
        <v>58</v>
      </c>
      <c r="F282" s="226" t="s">
        <v>98</v>
      </c>
      <c r="G282" s="226">
        <f t="shared" si="55"/>
        <v>10</v>
      </c>
      <c r="H282" s="226" t="s">
        <v>16</v>
      </c>
      <c r="I282" s="227" t="s">
        <v>32</v>
      </c>
      <c r="J282" s="226" t="s">
        <v>33</v>
      </c>
      <c r="K282" s="226" t="s">
        <v>19</v>
      </c>
      <c r="L282" s="230">
        <f>'COT AGENTES'!$M$11</f>
        <v>1</v>
      </c>
      <c r="M282" s="228" t="s">
        <v>64</v>
      </c>
      <c r="N282" s="229">
        <v>1</v>
      </c>
      <c r="O282" s="229"/>
    </row>
    <row r="283" spans="1:15" x14ac:dyDescent="0.2">
      <c r="A283" s="226">
        <v>282</v>
      </c>
      <c r="B283" s="226" t="str">
        <f t="shared" si="53"/>
        <v>SISTEMATANK SIZE 52LFK-5-1-121-11</v>
      </c>
      <c r="C283" s="226">
        <f t="shared" si="54"/>
        <v>1</v>
      </c>
      <c r="D283" s="226" t="s">
        <v>13</v>
      </c>
      <c r="E283" s="226" t="s">
        <v>58</v>
      </c>
      <c r="F283" s="226" t="s">
        <v>98</v>
      </c>
      <c r="G283" s="226">
        <f t="shared" si="55"/>
        <v>11</v>
      </c>
      <c r="H283" s="226" t="s">
        <v>16</v>
      </c>
      <c r="I283" s="227" t="s">
        <v>103</v>
      </c>
      <c r="J283" s="226" t="s">
        <v>104</v>
      </c>
      <c r="K283" s="226" t="s">
        <v>19</v>
      </c>
      <c r="L283" s="226">
        <v>1</v>
      </c>
      <c r="M283" s="228" t="str">
        <f t="shared" si="52"/>
        <v>314207101-R2</v>
      </c>
      <c r="N283" s="229">
        <v>1</v>
      </c>
      <c r="O283" s="229"/>
    </row>
    <row r="284" spans="1:15" x14ac:dyDescent="0.2">
      <c r="A284" s="226">
        <v>283</v>
      </c>
      <c r="B284" s="226" t="str">
        <f t="shared" si="53"/>
        <v>SISTEMATANK SIZE 52LFK-5-1-121-12</v>
      </c>
      <c r="C284" s="226">
        <f t="shared" si="54"/>
        <v>1</v>
      </c>
      <c r="D284" s="226" t="s">
        <v>13</v>
      </c>
      <c r="E284" s="226" t="s">
        <v>58</v>
      </c>
      <c r="F284" s="226" t="s">
        <v>98</v>
      </c>
      <c r="G284" s="226">
        <f t="shared" si="55"/>
        <v>12</v>
      </c>
      <c r="H284" s="226" t="s">
        <v>16</v>
      </c>
      <c r="I284" s="227" t="s">
        <v>105</v>
      </c>
      <c r="J284" s="226" t="s">
        <v>106</v>
      </c>
      <c r="K284" s="226" t="s">
        <v>19</v>
      </c>
      <c r="L284" s="226">
        <v>1</v>
      </c>
      <c r="M284" s="228" t="str">
        <f t="shared" si="52"/>
        <v>314207103-R2</v>
      </c>
      <c r="N284" s="229">
        <v>1</v>
      </c>
      <c r="O284" s="229"/>
    </row>
    <row r="285" spans="1:15" x14ac:dyDescent="0.2">
      <c r="A285" s="226">
        <v>284</v>
      </c>
      <c r="B285" s="226" t="str">
        <f t="shared" si="53"/>
        <v>SISTEMATANK SIZE 52LFK-5-1-121-13</v>
      </c>
      <c r="C285" s="226">
        <f t="shared" si="54"/>
        <v>1</v>
      </c>
      <c r="D285" s="226" t="s">
        <v>13</v>
      </c>
      <c r="E285" s="226" t="s">
        <v>58</v>
      </c>
      <c r="F285" s="226" t="s">
        <v>98</v>
      </c>
      <c r="G285" s="226">
        <f t="shared" si="55"/>
        <v>13</v>
      </c>
      <c r="H285" s="226" t="s">
        <v>16</v>
      </c>
      <c r="I285" s="227">
        <v>570558</v>
      </c>
      <c r="J285" s="226" t="s">
        <v>65</v>
      </c>
      <c r="K285" s="226" t="s">
        <v>19</v>
      </c>
      <c r="L285" s="226">
        <f>L274</f>
        <v>1</v>
      </c>
      <c r="M285" s="228">
        <f t="shared" si="52"/>
        <v>570558</v>
      </c>
      <c r="N285" s="229">
        <v>1</v>
      </c>
      <c r="O285" s="229"/>
    </row>
    <row r="286" spans="1:15" x14ac:dyDescent="0.2">
      <c r="A286" s="226">
        <v>285</v>
      </c>
      <c r="B286" s="226" t="str">
        <f t="shared" si="53"/>
        <v>SISTEMATANK SIZE 52LFK-5-1-121-14</v>
      </c>
      <c r="C286" s="226">
        <f>C279</f>
        <v>1</v>
      </c>
      <c r="D286" s="226" t="s">
        <v>13</v>
      </c>
      <c r="E286" s="226" t="s">
        <v>58</v>
      </c>
      <c r="F286" s="226" t="s">
        <v>98</v>
      </c>
      <c r="G286" s="226">
        <f t="shared" si="55"/>
        <v>14</v>
      </c>
      <c r="M286" s="228">
        <f t="shared" si="52"/>
        <v>0</v>
      </c>
      <c r="N286" s="229">
        <v>1</v>
      </c>
      <c r="O286" s="229"/>
    </row>
    <row r="287" spans="1:15" x14ac:dyDescent="0.2">
      <c r="A287" s="226">
        <v>286</v>
      </c>
      <c r="B287" s="226" t="str">
        <f t="shared" si="53"/>
        <v>SISTEMATANK SIZE 52LFK-5-1-121-15</v>
      </c>
      <c r="C287" s="226">
        <f t="shared" si="54"/>
        <v>1</v>
      </c>
      <c r="D287" s="226" t="s">
        <v>13</v>
      </c>
      <c r="E287" s="226" t="s">
        <v>58</v>
      </c>
      <c r="F287" s="226" t="s">
        <v>98</v>
      </c>
      <c r="G287" s="226">
        <f t="shared" si="55"/>
        <v>15</v>
      </c>
      <c r="H287" s="226" t="s">
        <v>16</v>
      </c>
      <c r="I287" s="227">
        <v>437900</v>
      </c>
      <c r="J287" s="226" t="s">
        <v>40</v>
      </c>
      <c r="K287" s="226" t="s">
        <v>19</v>
      </c>
      <c r="L287" s="226">
        <v>1</v>
      </c>
      <c r="M287" s="228">
        <f t="shared" si="52"/>
        <v>437900</v>
      </c>
      <c r="N287" s="229">
        <v>1</v>
      </c>
      <c r="O287" s="229"/>
    </row>
    <row r="288" spans="1:15" x14ac:dyDescent="0.2">
      <c r="A288" s="226">
        <v>287</v>
      </c>
      <c r="B288" s="226" t="str">
        <f t="shared" si="53"/>
        <v>SISTEMATANK SIZE 52LFK-5-1-121-16</v>
      </c>
      <c r="C288" s="226">
        <f t="shared" si="54"/>
        <v>1</v>
      </c>
      <c r="D288" s="226" t="s">
        <v>13</v>
      </c>
      <c r="E288" s="226" t="s">
        <v>58</v>
      </c>
      <c r="F288" s="226" t="s">
        <v>98</v>
      </c>
      <c r="G288" s="226">
        <f t="shared" si="55"/>
        <v>16</v>
      </c>
      <c r="H288" s="226" t="s">
        <v>16</v>
      </c>
      <c r="I288" s="227">
        <v>415142</v>
      </c>
      <c r="J288" s="226" t="s">
        <v>66</v>
      </c>
      <c r="K288" s="226" t="s">
        <v>19</v>
      </c>
      <c r="L288" s="226">
        <v>1</v>
      </c>
      <c r="M288" s="228">
        <f t="shared" si="52"/>
        <v>415142</v>
      </c>
      <c r="N288" s="229">
        <v>1</v>
      </c>
      <c r="O288" s="229"/>
    </row>
    <row r="289" spans="1:15" x14ac:dyDescent="0.2">
      <c r="A289" s="226">
        <v>288</v>
      </c>
      <c r="B289" s="226" t="str">
        <f t="shared" si="53"/>
        <v>SISTEMATANK SIZE 52LFK-5-1-121-17</v>
      </c>
      <c r="C289" s="226">
        <f t="shared" si="54"/>
        <v>1</v>
      </c>
      <c r="D289" s="226" t="s">
        <v>13</v>
      </c>
      <c r="E289" s="226" t="s">
        <v>58</v>
      </c>
      <c r="F289" s="226" t="s">
        <v>98</v>
      </c>
      <c r="G289" s="226">
        <f t="shared" si="55"/>
        <v>17</v>
      </c>
      <c r="H289" s="226" t="s">
        <v>16</v>
      </c>
      <c r="I289" s="227">
        <v>32338</v>
      </c>
      <c r="J289" s="226" t="s">
        <v>42</v>
      </c>
      <c r="K289" s="226" t="s">
        <v>19</v>
      </c>
      <c r="L289" s="226">
        <v>1</v>
      </c>
      <c r="M289" s="228">
        <f t="shared" si="52"/>
        <v>32338</v>
      </c>
      <c r="N289" s="229">
        <v>1</v>
      </c>
      <c r="O289" s="229"/>
    </row>
    <row r="290" spans="1:15" x14ac:dyDescent="0.2">
      <c r="A290" s="226">
        <v>289</v>
      </c>
      <c r="B290" s="226" t="str">
        <f t="shared" si="53"/>
        <v>-</v>
      </c>
      <c r="M290" s="228">
        <f t="shared" si="52"/>
        <v>0</v>
      </c>
      <c r="N290" s="229">
        <v>1</v>
      </c>
      <c r="O290" s="229"/>
    </row>
    <row r="291" spans="1:15" x14ac:dyDescent="0.2">
      <c r="A291" s="226">
        <v>290</v>
      </c>
      <c r="B291" s="226" t="str">
        <f t="shared" si="53"/>
        <v>OPCIONALTANK SIZE 52LFK-5-1-121-1</v>
      </c>
      <c r="C291" s="226">
        <f>C284</f>
        <v>1</v>
      </c>
      <c r="D291" s="226" t="s">
        <v>43</v>
      </c>
      <c r="E291" s="226" t="s">
        <v>58</v>
      </c>
      <c r="F291" s="226" t="s">
        <v>98</v>
      </c>
      <c r="G291" s="226">
        <v>1</v>
      </c>
      <c r="H291" s="226" t="s">
        <v>16</v>
      </c>
      <c r="I291" s="227" t="s">
        <v>67</v>
      </c>
      <c r="J291" s="226" t="s">
        <v>68</v>
      </c>
      <c r="K291" s="226" t="s">
        <v>19</v>
      </c>
      <c r="L291" s="226">
        <f>L274</f>
        <v>1</v>
      </c>
      <c r="M291" s="228" t="str">
        <f t="shared" si="52"/>
        <v>570538-R2</v>
      </c>
      <c r="N291" s="229">
        <v>1</v>
      </c>
      <c r="O291" s="229"/>
    </row>
    <row r="292" spans="1:15" x14ac:dyDescent="0.2">
      <c r="A292" s="226">
        <v>291</v>
      </c>
      <c r="B292" s="226" t="str">
        <f t="shared" si="53"/>
        <v>OPCIONALTANK SIZE 52LFK-5-1-121-2</v>
      </c>
      <c r="C292" s="226">
        <f t="shared" si="54"/>
        <v>1</v>
      </c>
      <c r="D292" s="226" t="s">
        <v>43</v>
      </c>
      <c r="E292" s="226" t="s">
        <v>58</v>
      </c>
      <c r="F292" s="226" t="s">
        <v>98</v>
      </c>
      <c r="G292" s="226">
        <f t="shared" si="55"/>
        <v>2</v>
      </c>
      <c r="H292" s="226" t="s">
        <v>16</v>
      </c>
      <c r="I292" s="227">
        <v>437900</v>
      </c>
      <c r="J292" s="226" t="s">
        <v>40</v>
      </c>
      <c r="K292" s="226" t="s">
        <v>19</v>
      </c>
      <c r="L292" s="226">
        <v>1</v>
      </c>
      <c r="M292" s="228">
        <f t="shared" si="52"/>
        <v>437900</v>
      </c>
      <c r="N292" s="229">
        <v>1</v>
      </c>
      <c r="O292" s="229"/>
    </row>
    <row r="293" spans="1:15" x14ac:dyDescent="0.2">
      <c r="A293" s="226">
        <v>292</v>
      </c>
      <c r="B293" s="226" t="str">
        <f t="shared" si="53"/>
        <v>OPCIONALTANK SIZE 52LFK-5-1-121-3</v>
      </c>
      <c r="C293" s="226">
        <f t="shared" si="54"/>
        <v>1</v>
      </c>
      <c r="D293" s="226" t="s">
        <v>43</v>
      </c>
      <c r="E293" s="226" t="s">
        <v>58</v>
      </c>
      <c r="F293" s="226" t="s">
        <v>98</v>
      </c>
      <c r="G293" s="226">
        <f t="shared" si="55"/>
        <v>3</v>
      </c>
      <c r="H293" s="226" t="s">
        <v>16</v>
      </c>
      <c r="I293" s="227">
        <v>415142</v>
      </c>
      <c r="J293" s="226" t="s">
        <v>66</v>
      </c>
      <c r="K293" s="226" t="s">
        <v>19</v>
      </c>
      <c r="L293" s="226">
        <v>1</v>
      </c>
      <c r="M293" s="228">
        <f t="shared" si="52"/>
        <v>415142</v>
      </c>
      <c r="N293" s="229">
        <v>1</v>
      </c>
      <c r="O293" s="229"/>
    </row>
    <row r="294" spans="1:15" x14ac:dyDescent="0.2">
      <c r="A294" s="226">
        <v>293</v>
      </c>
      <c r="B294" s="226" t="str">
        <f t="shared" si="53"/>
        <v>OPCIONALTANK SIZE 52LFK-5-1-121-4</v>
      </c>
      <c r="C294" s="226">
        <f t="shared" si="54"/>
        <v>1</v>
      </c>
      <c r="D294" s="226" t="s">
        <v>43</v>
      </c>
      <c r="E294" s="226" t="s">
        <v>58</v>
      </c>
      <c r="F294" s="226" t="s">
        <v>98</v>
      </c>
      <c r="G294" s="226">
        <f t="shared" si="55"/>
        <v>4</v>
      </c>
      <c r="H294" s="226" t="s">
        <v>16</v>
      </c>
      <c r="I294" s="227">
        <v>32338</v>
      </c>
      <c r="J294" s="226" t="s">
        <v>42</v>
      </c>
      <c r="K294" s="226" t="s">
        <v>19</v>
      </c>
      <c r="L294" s="226">
        <v>1</v>
      </c>
      <c r="M294" s="228">
        <f t="shared" si="52"/>
        <v>32338</v>
      </c>
      <c r="N294" s="229">
        <v>1</v>
      </c>
      <c r="O294" s="229"/>
    </row>
    <row r="295" spans="1:15" x14ac:dyDescent="0.2">
      <c r="A295" s="226">
        <v>294</v>
      </c>
      <c r="B295" s="226" t="str">
        <f t="shared" si="53"/>
        <v>OPCIONALTANK SIZE 52LFK-5-1-121-5</v>
      </c>
      <c r="C295" s="226">
        <f t="shared" si="54"/>
        <v>1</v>
      </c>
      <c r="D295" s="226" t="s">
        <v>43</v>
      </c>
      <c r="E295" s="226" t="s">
        <v>58</v>
      </c>
      <c r="F295" s="226" t="s">
        <v>98</v>
      </c>
      <c r="G295" s="226">
        <f t="shared" si="55"/>
        <v>5</v>
      </c>
      <c r="H295" s="226" t="s">
        <v>16</v>
      </c>
      <c r="I295" s="227">
        <v>76498</v>
      </c>
      <c r="J295" s="226" t="s">
        <v>46</v>
      </c>
      <c r="K295" s="226" t="s">
        <v>19</v>
      </c>
      <c r="L295" s="226">
        <v>1</v>
      </c>
      <c r="M295" s="228">
        <f t="shared" si="52"/>
        <v>76498</v>
      </c>
      <c r="N295" s="229">
        <v>1</v>
      </c>
      <c r="O295" s="229"/>
    </row>
    <row r="296" spans="1:15" x14ac:dyDescent="0.2">
      <c r="A296" s="226">
        <v>295</v>
      </c>
      <c r="B296" s="226" t="str">
        <f t="shared" si="53"/>
        <v>-</v>
      </c>
      <c r="M296" s="228">
        <f t="shared" si="52"/>
        <v>0</v>
      </c>
      <c r="N296" s="229">
        <v>1</v>
      </c>
      <c r="O296" s="229"/>
    </row>
    <row r="297" spans="1:15" x14ac:dyDescent="0.2">
      <c r="A297" s="226">
        <v>296</v>
      </c>
      <c r="B297" s="226" t="str">
        <f t="shared" si="53"/>
        <v>SISTEMATANK SIZE 106LFK-5-1-121-1</v>
      </c>
      <c r="C297" s="226">
        <f>L297</f>
        <v>1</v>
      </c>
      <c r="D297" s="226" t="s">
        <v>13</v>
      </c>
      <c r="E297" s="226" t="s">
        <v>69</v>
      </c>
      <c r="F297" s="226" t="s">
        <v>98</v>
      </c>
      <c r="G297" s="226">
        <v>1</v>
      </c>
      <c r="H297" s="226" t="s">
        <v>16</v>
      </c>
      <c r="I297" s="227" t="s">
        <v>17</v>
      </c>
      <c r="J297" s="226" t="s">
        <v>70</v>
      </c>
      <c r="K297" s="226" t="s">
        <v>19</v>
      </c>
      <c r="L297" s="226">
        <v>1</v>
      </c>
      <c r="M297" s="228" t="s">
        <v>71</v>
      </c>
      <c r="N297" s="229">
        <v>1</v>
      </c>
      <c r="O297" s="229"/>
    </row>
    <row r="298" spans="1:15" x14ac:dyDescent="0.2">
      <c r="A298" s="226">
        <v>297</v>
      </c>
      <c r="B298" s="226" t="str">
        <f t="shared" si="53"/>
        <v>SISTEMATANK SIZE 106LFK-5-1-121-2</v>
      </c>
      <c r="C298" s="226">
        <f t="shared" ref="C298:C320" si="56">C297</f>
        <v>1</v>
      </c>
      <c r="D298" s="226" t="s">
        <v>13</v>
      </c>
      <c r="E298" s="226" t="s">
        <v>69</v>
      </c>
      <c r="F298" s="226" t="s">
        <v>98</v>
      </c>
      <c r="G298" s="226">
        <f t="shared" ref="G298:G320" si="57">+G297+1</f>
        <v>2</v>
      </c>
      <c r="H298" s="226" t="s">
        <v>16</v>
      </c>
      <c r="I298" s="227">
        <v>445736</v>
      </c>
      <c r="J298" s="226" t="s">
        <v>111</v>
      </c>
      <c r="K298" s="226" t="s">
        <v>19</v>
      </c>
      <c r="L298" s="226">
        <v>1</v>
      </c>
      <c r="M298" s="228">
        <f t="shared" si="52"/>
        <v>445736</v>
      </c>
      <c r="N298" s="229">
        <v>1</v>
      </c>
      <c r="O298" s="229"/>
    </row>
    <row r="299" spans="1:15" x14ac:dyDescent="0.2">
      <c r="A299" s="226">
        <v>298</v>
      </c>
      <c r="B299" s="226" t="str">
        <f t="shared" si="53"/>
        <v>SISTEMATANK SIZE 106LFK-5-1-121-3</v>
      </c>
      <c r="C299" s="226">
        <f t="shared" si="56"/>
        <v>1</v>
      </c>
      <c r="D299" s="226" t="s">
        <v>13</v>
      </c>
      <c r="E299" s="226" t="s">
        <v>69</v>
      </c>
      <c r="F299" s="226" t="s">
        <v>98</v>
      </c>
      <c r="G299" s="226">
        <f t="shared" si="57"/>
        <v>3</v>
      </c>
      <c r="H299" s="226" t="s">
        <v>16</v>
      </c>
      <c r="I299" s="227" t="s">
        <v>98</v>
      </c>
      <c r="J299" s="226" t="s">
        <v>100</v>
      </c>
      <c r="K299" s="226" t="s">
        <v>19</v>
      </c>
      <c r="L299" s="230">
        <f>'COT AGENTES'!$H$5</f>
        <v>2</v>
      </c>
      <c r="M299" s="228" t="str">
        <f t="shared" si="52"/>
        <v>FK-5-1-12</v>
      </c>
      <c r="N299" s="229">
        <v>1</v>
      </c>
      <c r="O299" s="229"/>
    </row>
    <row r="300" spans="1:15" x14ac:dyDescent="0.2">
      <c r="A300" s="226">
        <v>299</v>
      </c>
      <c r="B300" s="226" t="str">
        <f t="shared" si="53"/>
        <v>SISTEMATANK SIZE 106LFK-5-1-121-4</v>
      </c>
      <c r="C300" s="226">
        <f t="shared" si="56"/>
        <v>1</v>
      </c>
      <c r="D300" s="226" t="s">
        <v>13</v>
      </c>
      <c r="E300" s="226" t="s">
        <v>69</v>
      </c>
      <c r="F300" s="226" t="s">
        <v>98</v>
      </c>
      <c r="G300" s="226">
        <f t="shared" si="57"/>
        <v>4</v>
      </c>
      <c r="H300" s="226" t="s">
        <v>16</v>
      </c>
      <c r="I300" s="227">
        <v>302207021</v>
      </c>
      <c r="J300" s="226" t="s">
        <v>101</v>
      </c>
      <c r="K300" s="226" t="s">
        <v>19</v>
      </c>
      <c r="L300" s="226">
        <v>1</v>
      </c>
      <c r="M300" s="228">
        <f t="shared" si="52"/>
        <v>302207021</v>
      </c>
      <c r="N300" s="229">
        <v>1</v>
      </c>
      <c r="O300" s="229"/>
    </row>
    <row r="301" spans="1:15" x14ac:dyDescent="0.2">
      <c r="A301" s="226">
        <v>300</v>
      </c>
      <c r="B301" s="226" t="str">
        <f t="shared" si="53"/>
        <v>SISTEMATANK SIZE 106LFK-5-1-121-5</v>
      </c>
      <c r="C301" s="226">
        <f t="shared" si="56"/>
        <v>1</v>
      </c>
      <c r="D301" s="226" t="s">
        <v>13</v>
      </c>
      <c r="E301" s="226" t="s">
        <v>69</v>
      </c>
      <c r="F301" s="226" t="s">
        <v>98</v>
      </c>
      <c r="G301" s="226">
        <f t="shared" si="57"/>
        <v>5</v>
      </c>
      <c r="H301" s="226" t="s">
        <v>16</v>
      </c>
      <c r="I301" s="227">
        <v>314207329</v>
      </c>
      <c r="J301" s="226" t="s">
        <v>109</v>
      </c>
      <c r="K301" s="226" t="s">
        <v>19</v>
      </c>
      <c r="L301" s="226">
        <v>1</v>
      </c>
      <c r="M301" s="228">
        <f t="shared" si="52"/>
        <v>314207329</v>
      </c>
      <c r="N301" s="229">
        <v>1</v>
      </c>
      <c r="O301" s="229"/>
    </row>
    <row r="302" spans="1:15" x14ac:dyDescent="0.2">
      <c r="A302" s="226">
        <v>301</v>
      </c>
      <c r="B302" s="226" t="str">
        <f t="shared" si="53"/>
        <v>SISTEMATANK SIZE 106LFK-5-1-121-6</v>
      </c>
      <c r="C302" s="226">
        <f t="shared" si="56"/>
        <v>1</v>
      </c>
      <c r="D302" s="226" t="s">
        <v>13</v>
      </c>
      <c r="E302" s="226" t="s">
        <v>69</v>
      </c>
      <c r="F302" s="226" t="s">
        <v>98</v>
      </c>
      <c r="G302" s="226">
        <f t="shared" si="57"/>
        <v>6</v>
      </c>
      <c r="H302" s="226" t="s">
        <v>16</v>
      </c>
      <c r="I302" s="227">
        <v>570585</v>
      </c>
      <c r="J302" s="226" t="s">
        <v>26</v>
      </c>
      <c r="K302" s="226" t="s">
        <v>19</v>
      </c>
      <c r="L302" s="226">
        <v>1</v>
      </c>
      <c r="M302" s="228">
        <f t="shared" si="52"/>
        <v>570585</v>
      </c>
      <c r="N302" s="229">
        <v>1</v>
      </c>
      <c r="O302" s="229"/>
    </row>
    <row r="303" spans="1:15" x14ac:dyDescent="0.2">
      <c r="A303" s="226">
        <v>302</v>
      </c>
      <c r="B303" s="226" t="str">
        <f t="shared" si="53"/>
        <v>SISTEMATANK SIZE 106LFK-5-1-121-7</v>
      </c>
      <c r="C303" s="226">
        <f t="shared" si="56"/>
        <v>1</v>
      </c>
      <c r="D303" s="226" t="s">
        <v>13</v>
      </c>
      <c r="E303" s="226" t="s">
        <v>69</v>
      </c>
      <c r="F303" s="226" t="s">
        <v>98</v>
      </c>
      <c r="G303" s="226">
        <f t="shared" si="57"/>
        <v>7</v>
      </c>
      <c r="H303" s="226" t="s">
        <v>16</v>
      </c>
      <c r="I303" s="227">
        <v>304205030</v>
      </c>
      <c r="J303" s="226" t="s">
        <v>27</v>
      </c>
      <c r="K303" s="226" t="s">
        <v>19</v>
      </c>
      <c r="L303" s="226">
        <v>1</v>
      </c>
      <c r="M303" s="228">
        <f t="shared" si="52"/>
        <v>304205030</v>
      </c>
      <c r="N303" s="229">
        <v>1</v>
      </c>
      <c r="O303" s="229"/>
    </row>
    <row r="304" spans="1:15" x14ac:dyDescent="0.2">
      <c r="A304" s="226">
        <v>303</v>
      </c>
      <c r="B304" s="226" t="str">
        <f t="shared" si="53"/>
        <v>SISTEMATANK SIZE 106LFK-5-1-121-8</v>
      </c>
      <c r="C304" s="226">
        <f t="shared" si="56"/>
        <v>1</v>
      </c>
      <c r="D304" s="226" t="s">
        <v>13</v>
      </c>
      <c r="E304" s="226" t="s">
        <v>69</v>
      </c>
      <c r="F304" s="226" t="s">
        <v>98</v>
      </c>
      <c r="G304" s="226">
        <f t="shared" si="57"/>
        <v>8</v>
      </c>
      <c r="H304" s="226" t="s">
        <v>16</v>
      </c>
      <c r="I304" s="227" t="s">
        <v>28</v>
      </c>
      <c r="J304" s="226" t="s">
        <v>29</v>
      </c>
      <c r="K304" s="226" t="s">
        <v>19</v>
      </c>
      <c r="L304" s="226">
        <v>1</v>
      </c>
      <c r="M304" s="228" t="str">
        <f t="shared" si="52"/>
        <v>A1638150HY</v>
      </c>
      <c r="N304" s="229">
        <v>1</v>
      </c>
      <c r="O304" s="229"/>
    </row>
    <row r="305" spans="1:15" x14ac:dyDescent="0.2">
      <c r="A305" s="226">
        <v>304</v>
      </c>
      <c r="B305" s="226" t="str">
        <f t="shared" si="53"/>
        <v>SISTEMATANK SIZE 106LFK-5-1-121-9</v>
      </c>
      <c r="C305" s="226">
        <f t="shared" si="56"/>
        <v>1</v>
      </c>
      <c r="D305" s="226" t="s">
        <v>13</v>
      </c>
      <c r="E305" s="226" t="s">
        <v>69</v>
      </c>
      <c r="F305" s="226" t="s">
        <v>98</v>
      </c>
      <c r="G305" s="226">
        <f t="shared" si="57"/>
        <v>9</v>
      </c>
      <c r="H305" s="226" t="s">
        <v>16</v>
      </c>
      <c r="I305" s="227" t="s">
        <v>62</v>
      </c>
      <c r="J305" s="226" t="s">
        <v>63</v>
      </c>
      <c r="K305" s="226" t="s">
        <v>19</v>
      </c>
      <c r="L305" s="226">
        <v>2</v>
      </c>
      <c r="M305" s="228" t="str">
        <f t="shared" si="52"/>
        <v>570092-R2</v>
      </c>
      <c r="N305" s="229">
        <v>1</v>
      </c>
      <c r="O305" s="229"/>
    </row>
    <row r="306" spans="1:15" x14ac:dyDescent="0.2">
      <c r="A306" s="226">
        <v>305</v>
      </c>
      <c r="B306" s="226" t="str">
        <f t="shared" si="53"/>
        <v>SISTEMATANK SIZE 106LFK-5-1-121-10</v>
      </c>
      <c r="C306" s="226">
        <f t="shared" si="56"/>
        <v>1</v>
      </c>
      <c r="D306" s="226" t="s">
        <v>13</v>
      </c>
      <c r="E306" s="226" t="s">
        <v>69</v>
      </c>
      <c r="F306" s="226" t="s">
        <v>98</v>
      </c>
      <c r="G306" s="226">
        <f t="shared" si="57"/>
        <v>10</v>
      </c>
      <c r="H306" s="226" t="s">
        <v>16</v>
      </c>
      <c r="I306" s="227" t="s">
        <v>32</v>
      </c>
      <c r="J306" s="226" t="s">
        <v>33</v>
      </c>
      <c r="K306" s="226" t="s">
        <v>19</v>
      </c>
      <c r="L306" s="230">
        <f>'COT AGENTES'!$M$11</f>
        <v>1</v>
      </c>
      <c r="M306" s="228" t="s">
        <v>73</v>
      </c>
      <c r="N306" s="229">
        <v>1</v>
      </c>
      <c r="O306" s="229"/>
    </row>
    <row r="307" spans="1:15" x14ac:dyDescent="0.2">
      <c r="A307" s="226">
        <v>306</v>
      </c>
      <c r="B307" s="226" t="str">
        <f t="shared" si="53"/>
        <v>SISTEMATANK SIZE 106LFK-5-1-121-11</v>
      </c>
      <c r="C307" s="226">
        <f t="shared" si="56"/>
        <v>1</v>
      </c>
      <c r="D307" s="226" t="s">
        <v>13</v>
      </c>
      <c r="E307" s="226" t="s">
        <v>69</v>
      </c>
      <c r="F307" s="226" t="s">
        <v>98</v>
      </c>
      <c r="G307" s="226">
        <f t="shared" si="57"/>
        <v>11</v>
      </c>
      <c r="H307" s="226" t="s">
        <v>16</v>
      </c>
      <c r="I307" s="227" t="s">
        <v>103</v>
      </c>
      <c r="J307" s="226" t="s">
        <v>104</v>
      </c>
      <c r="K307" s="226" t="s">
        <v>19</v>
      </c>
      <c r="L307" s="226">
        <v>1</v>
      </c>
      <c r="M307" s="228" t="str">
        <f t="shared" si="52"/>
        <v>314207101-R2</v>
      </c>
      <c r="N307" s="229">
        <v>1</v>
      </c>
      <c r="O307" s="229"/>
    </row>
    <row r="308" spans="1:15" x14ac:dyDescent="0.2">
      <c r="A308" s="226">
        <v>307</v>
      </c>
      <c r="B308" s="226" t="str">
        <f t="shared" si="53"/>
        <v>SISTEMATANK SIZE 106LFK-5-1-121-12</v>
      </c>
      <c r="C308" s="226">
        <f t="shared" si="56"/>
        <v>1</v>
      </c>
      <c r="D308" s="226" t="s">
        <v>13</v>
      </c>
      <c r="E308" s="226" t="s">
        <v>69</v>
      </c>
      <c r="F308" s="226" t="s">
        <v>98</v>
      </c>
      <c r="G308" s="226">
        <f t="shared" si="57"/>
        <v>12</v>
      </c>
      <c r="H308" s="226" t="s">
        <v>16</v>
      </c>
      <c r="I308" s="227" t="s">
        <v>105</v>
      </c>
      <c r="J308" s="226" t="s">
        <v>106</v>
      </c>
      <c r="K308" s="226" t="s">
        <v>19</v>
      </c>
      <c r="L308" s="226">
        <v>1</v>
      </c>
      <c r="M308" s="228" t="str">
        <f t="shared" si="52"/>
        <v>314207103-R2</v>
      </c>
      <c r="N308" s="229">
        <v>1</v>
      </c>
      <c r="O308" s="229"/>
    </row>
    <row r="309" spans="1:15" x14ac:dyDescent="0.2">
      <c r="A309" s="226">
        <v>308</v>
      </c>
      <c r="B309" s="226" t="str">
        <f t="shared" si="53"/>
        <v>SISTEMATANK SIZE 106LFK-5-1-121-13</v>
      </c>
      <c r="C309" s="226">
        <f t="shared" si="56"/>
        <v>1</v>
      </c>
      <c r="D309" s="226" t="s">
        <v>13</v>
      </c>
      <c r="E309" s="226" t="s">
        <v>69</v>
      </c>
      <c r="F309" s="226" t="s">
        <v>98</v>
      </c>
      <c r="G309" s="226">
        <f t="shared" si="57"/>
        <v>13</v>
      </c>
      <c r="H309" s="226" t="s">
        <v>16</v>
      </c>
      <c r="I309" s="227">
        <v>570558</v>
      </c>
      <c r="J309" s="226" t="s">
        <v>65</v>
      </c>
      <c r="K309" s="226" t="s">
        <v>19</v>
      </c>
      <c r="L309" s="226">
        <f>L298</f>
        <v>1</v>
      </c>
      <c r="M309" s="228">
        <f t="shared" si="52"/>
        <v>570558</v>
      </c>
      <c r="N309" s="229">
        <v>1</v>
      </c>
      <c r="O309" s="229"/>
    </row>
    <row r="310" spans="1:15" x14ac:dyDescent="0.2">
      <c r="A310" s="226">
        <v>309</v>
      </c>
      <c r="B310" s="226" t="str">
        <f t="shared" si="53"/>
        <v>SISTEMATANK SIZE 106LFK-5-1-121-14</v>
      </c>
      <c r="C310" s="226">
        <f>C303</f>
        <v>1</v>
      </c>
      <c r="D310" s="226" t="s">
        <v>13</v>
      </c>
      <c r="E310" s="226" t="s">
        <v>69</v>
      </c>
      <c r="F310" s="226" t="s">
        <v>98</v>
      </c>
      <c r="G310" s="226">
        <f t="shared" si="57"/>
        <v>14</v>
      </c>
      <c r="M310" s="228">
        <f t="shared" si="52"/>
        <v>0</v>
      </c>
      <c r="N310" s="229">
        <v>1</v>
      </c>
      <c r="O310" s="229"/>
    </row>
    <row r="311" spans="1:15" x14ac:dyDescent="0.2">
      <c r="A311" s="226">
        <v>310</v>
      </c>
      <c r="B311" s="226" t="str">
        <f t="shared" si="53"/>
        <v>SISTEMATANK SIZE 106LFK-5-1-121-15</v>
      </c>
      <c r="C311" s="226">
        <f t="shared" si="56"/>
        <v>1</v>
      </c>
      <c r="D311" s="226" t="s">
        <v>13</v>
      </c>
      <c r="E311" s="226" t="s">
        <v>69</v>
      </c>
      <c r="F311" s="226" t="s">
        <v>98</v>
      </c>
      <c r="G311" s="226">
        <f t="shared" si="57"/>
        <v>15</v>
      </c>
      <c r="H311" s="226" t="s">
        <v>16</v>
      </c>
      <c r="I311" s="227">
        <v>437900</v>
      </c>
      <c r="J311" s="226" t="s">
        <v>40</v>
      </c>
      <c r="K311" s="226" t="s">
        <v>19</v>
      </c>
      <c r="L311" s="226">
        <v>1</v>
      </c>
      <c r="M311" s="228">
        <f t="shared" si="52"/>
        <v>437900</v>
      </c>
      <c r="N311" s="229">
        <v>1</v>
      </c>
      <c r="O311" s="229"/>
    </row>
    <row r="312" spans="1:15" x14ac:dyDescent="0.2">
      <c r="A312" s="226">
        <v>311</v>
      </c>
      <c r="B312" s="226" t="str">
        <f t="shared" si="53"/>
        <v>SISTEMATANK SIZE 106LFK-5-1-121-16</v>
      </c>
      <c r="C312" s="226">
        <f t="shared" si="56"/>
        <v>1</v>
      </c>
      <c r="D312" s="226" t="s">
        <v>13</v>
      </c>
      <c r="E312" s="226" t="s">
        <v>69</v>
      </c>
      <c r="F312" s="226" t="s">
        <v>98</v>
      </c>
      <c r="G312" s="226">
        <f t="shared" si="57"/>
        <v>16</v>
      </c>
      <c r="H312" s="226" t="s">
        <v>16</v>
      </c>
      <c r="I312" s="227">
        <v>415142</v>
      </c>
      <c r="J312" s="226" t="s">
        <v>66</v>
      </c>
      <c r="K312" s="226" t="s">
        <v>19</v>
      </c>
      <c r="L312" s="226">
        <v>1</v>
      </c>
      <c r="M312" s="228">
        <f t="shared" si="52"/>
        <v>415142</v>
      </c>
      <c r="N312" s="229">
        <v>1</v>
      </c>
      <c r="O312" s="229"/>
    </row>
    <row r="313" spans="1:15" x14ac:dyDescent="0.2">
      <c r="A313" s="226">
        <v>312</v>
      </c>
      <c r="B313" s="226" t="str">
        <f t="shared" si="53"/>
        <v>SISTEMATANK SIZE 106LFK-5-1-121-17</v>
      </c>
      <c r="C313" s="226">
        <f t="shared" si="56"/>
        <v>1</v>
      </c>
      <c r="D313" s="226" t="s">
        <v>13</v>
      </c>
      <c r="E313" s="226" t="s">
        <v>69</v>
      </c>
      <c r="F313" s="226" t="s">
        <v>98</v>
      </c>
      <c r="G313" s="226">
        <f t="shared" si="57"/>
        <v>17</v>
      </c>
      <c r="H313" s="226" t="s">
        <v>16</v>
      </c>
      <c r="I313" s="227">
        <v>32338</v>
      </c>
      <c r="J313" s="226" t="s">
        <v>42</v>
      </c>
      <c r="K313" s="226" t="s">
        <v>19</v>
      </c>
      <c r="L313" s="226">
        <v>1</v>
      </c>
      <c r="M313" s="228">
        <f t="shared" si="52"/>
        <v>32338</v>
      </c>
      <c r="N313" s="229">
        <v>1</v>
      </c>
      <c r="O313" s="229"/>
    </row>
    <row r="314" spans="1:15" x14ac:dyDescent="0.2">
      <c r="A314" s="226">
        <v>313</v>
      </c>
      <c r="B314" s="226" t="str">
        <f t="shared" si="53"/>
        <v>-</v>
      </c>
      <c r="M314" s="228">
        <f t="shared" si="52"/>
        <v>0</v>
      </c>
      <c r="N314" s="229">
        <v>1</v>
      </c>
      <c r="O314" s="229"/>
    </row>
    <row r="315" spans="1:15" x14ac:dyDescent="0.2">
      <c r="A315" s="226">
        <v>314</v>
      </c>
      <c r="B315" s="226" t="str">
        <f t="shared" si="53"/>
        <v>OPCIONALTANK SIZE 106LFK-5-1-121-1</v>
      </c>
      <c r="C315" s="226">
        <f>C308</f>
        <v>1</v>
      </c>
      <c r="D315" s="226" t="s">
        <v>43</v>
      </c>
      <c r="E315" s="226" t="s">
        <v>69</v>
      </c>
      <c r="F315" s="226" t="s">
        <v>98</v>
      </c>
      <c r="G315" s="226">
        <v>1</v>
      </c>
      <c r="H315" s="226" t="s">
        <v>16</v>
      </c>
      <c r="I315" s="227" t="s">
        <v>67</v>
      </c>
      <c r="J315" s="226" t="s">
        <v>68</v>
      </c>
      <c r="K315" s="226" t="s">
        <v>19</v>
      </c>
      <c r="L315" s="226">
        <f>L298</f>
        <v>1</v>
      </c>
      <c r="M315" s="228" t="str">
        <f t="shared" si="52"/>
        <v>570538-R2</v>
      </c>
      <c r="N315" s="229">
        <v>1</v>
      </c>
      <c r="O315" s="229"/>
    </row>
    <row r="316" spans="1:15" x14ac:dyDescent="0.2">
      <c r="A316" s="226">
        <v>315</v>
      </c>
      <c r="B316" s="226" t="str">
        <f t="shared" si="53"/>
        <v>OPCIONALTANK SIZE 106LFK-5-1-121-2</v>
      </c>
      <c r="C316" s="226">
        <f t="shared" si="56"/>
        <v>1</v>
      </c>
      <c r="D316" s="226" t="s">
        <v>43</v>
      </c>
      <c r="E316" s="226" t="s">
        <v>69</v>
      </c>
      <c r="F316" s="226" t="s">
        <v>98</v>
      </c>
      <c r="G316" s="226">
        <f t="shared" si="57"/>
        <v>2</v>
      </c>
      <c r="H316" s="226" t="s">
        <v>16</v>
      </c>
      <c r="I316" s="227">
        <v>437900</v>
      </c>
      <c r="J316" s="226" t="s">
        <v>40</v>
      </c>
      <c r="K316" s="226" t="s">
        <v>19</v>
      </c>
      <c r="L316" s="226">
        <v>1</v>
      </c>
      <c r="M316" s="228">
        <f t="shared" si="52"/>
        <v>437900</v>
      </c>
      <c r="N316" s="229">
        <v>1</v>
      </c>
      <c r="O316" s="229"/>
    </row>
    <row r="317" spans="1:15" x14ac:dyDescent="0.2">
      <c r="A317" s="226">
        <v>316</v>
      </c>
      <c r="B317" s="226" t="str">
        <f t="shared" si="53"/>
        <v>OPCIONALTANK SIZE 106LFK-5-1-121-3</v>
      </c>
      <c r="C317" s="226">
        <f t="shared" si="56"/>
        <v>1</v>
      </c>
      <c r="D317" s="226" t="s">
        <v>43</v>
      </c>
      <c r="E317" s="226" t="s">
        <v>69</v>
      </c>
      <c r="F317" s="226" t="s">
        <v>98</v>
      </c>
      <c r="G317" s="226">
        <f t="shared" si="57"/>
        <v>3</v>
      </c>
      <c r="H317" s="226" t="s">
        <v>16</v>
      </c>
      <c r="I317" s="227">
        <v>415142</v>
      </c>
      <c r="J317" s="226" t="s">
        <v>66</v>
      </c>
      <c r="K317" s="226" t="s">
        <v>19</v>
      </c>
      <c r="L317" s="226">
        <v>1</v>
      </c>
      <c r="M317" s="228">
        <f t="shared" si="52"/>
        <v>415142</v>
      </c>
      <c r="N317" s="229">
        <v>1</v>
      </c>
      <c r="O317" s="229"/>
    </row>
    <row r="318" spans="1:15" x14ac:dyDescent="0.2">
      <c r="A318" s="226">
        <v>317</v>
      </c>
      <c r="B318" s="226" t="str">
        <f t="shared" si="53"/>
        <v>OPCIONALTANK SIZE 106LFK-5-1-121-4</v>
      </c>
      <c r="C318" s="226">
        <f t="shared" si="56"/>
        <v>1</v>
      </c>
      <c r="D318" s="226" t="s">
        <v>43</v>
      </c>
      <c r="E318" s="226" t="s">
        <v>69</v>
      </c>
      <c r="F318" s="226" t="s">
        <v>98</v>
      </c>
      <c r="G318" s="226">
        <f t="shared" si="57"/>
        <v>4</v>
      </c>
      <c r="H318" s="226" t="s">
        <v>16</v>
      </c>
      <c r="I318" s="227">
        <v>32338</v>
      </c>
      <c r="J318" s="226" t="s">
        <v>42</v>
      </c>
      <c r="K318" s="226" t="s">
        <v>19</v>
      </c>
      <c r="L318" s="226">
        <v>1</v>
      </c>
      <c r="M318" s="228">
        <f t="shared" si="52"/>
        <v>32338</v>
      </c>
      <c r="N318" s="229">
        <v>1</v>
      </c>
      <c r="O318" s="229"/>
    </row>
    <row r="319" spans="1:15" x14ac:dyDescent="0.2">
      <c r="A319" s="226">
        <v>318</v>
      </c>
      <c r="B319" s="226" t="str">
        <f t="shared" si="53"/>
        <v>OPCIONALTANK SIZE 106LFK-5-1-121-5</v>
      </c>
      <c r="C319" s="226">
        <f t="shared" si="56"/>
        <v>1</v>
      </c>
      <c r="D319" s="226" t="s">
        <v>43</v>
      </c>
      <c r="E319" s="226" t="s">
        <v>69</v>
      </c>
      <c r="F319" s="226" t="s">
        <v>98</v>
      </c>
      <c r="G319" s="226">
        <f t="shared" si="57"/>
        <v>5</v>
      </c>
      <c r="H319" s="226" t="s">
        <v>16</v>
      </c>
      <c r="I319" s="227">
        <v>76498</v>
      </c>
      <c r="J319" s="226" t="s">
        <v>46</v>
      </c>
      <c r="K319" s="226" t="s">
        <v>19</v>
      </c>
      <c r="L319" s="226">
        <v>1</v>
      </c>
      <c r="M319" s="228">
        <f t="shared" si="52"/>
        <v>76498</v>
      </c>
      <c r="N319" s="229">
        <v>1</v>
      </c>
      <c r="O319" s="229"/>
    </row>
    <row r="320" spans="1:15" x14ac:dyDescent="0.2">
      <c r="A320" s="226">
        <v>319</v>
      </c>
      <c r="B320" s="226" t="str">
        <f t="shared" si="53"/>
        <v>OPCIONALTANK SIZE 106LFK-5-1-121-6</v>
      </c>
      <c r="C320" s="226">
        <f t="shared" si="56"/>
        <v>1</v>
      </c>
      <c r="D320" s="226" t="s">
        <v>43</v>
      </c>
      <c r="E320" s="226" t="s">
        <v>69</v>
      </c>
      <c r="F320" s="226" t="s">
        <v>98</v>
      </c>
      <c r="G320" s="226">
        <f t="shared" si="57"/>
        <v>6</v>
      </c>
      <c r="H320" s="226" t="s">
        <v>16</v>
      </c>
      <c r="I320" s="227">
        <v>570277</v>
      </c>
      <c r="J320" s="226" t="s">
        <v>74</v>
      </c>
      <c r="K320" s="226" t="s">
        <v>19</v>
      </c>
      <c r="L320" s="226">
        <v>1</v>
      </c>
      <c r="M320" s="228">
        <f t="shared" si="52"/>
        <v>570277</v>
      </c>
      <c r="N320" s="229">
        <v>1</v>
      </c>
      <c r="O320" s="229"/>
    </row>
    <row r="321" spans="1:15" x14ac:dyDescent="0.2">
      <c r="A321" s="226">
        <v>320</v>
      </c>
      <c r="B321" s="226" t="str">
        <f t="shared" si="53"/>
        <v>-</v>
      </c>
      <c r="M321" s="228">
        <f t="shared" si="52"/>
        <v>0</v>
      </c>
      <c r="N321" s="229">
        <v>1</v>
      </c>
      <c r="O321" s="229"/>
    </row>
    <row r="322" spans="1:15" x14ac:dyDescent="0.2">
      <c r="A322" s="226">
        <v>321</v>
      </c>
      <c r="B322" s="226" t="str">
        <f t="shared" si="53"/>
        <v>SISTEMATANK SIZE 147LFK-5-1-121-1</v>
      </c>
      <c r="C322" s="226">
        <f>L322</f>
        <v>1</v>
      </c>
      <c r="D322" s="226" t="s">
        <v>13</v>
      </c>
      <c r="E322" s="226" t="s">
        <v>75</v>
      </c>
      <c r="F322" s="226" t="s">
        <v>98</v>
      </c>
      <c r="G322" s="226">
        <v>1</v>
      </c>
      <c r="H322" s="226" t="s">
        <v>16</v>
      </c>
      <c r="I322" s="227" t="s">
        <v>17</v>
      </c>
      <c r="J322" s="226" t="s">
        <v>76</v>
      </c>
      <c r="K322" s="226" t="s">
        <v>19</v>
      </c>
      <c r="L322" s="226">
        <v>1</v>
      </c>
      <c r="M322" s="228" t="s">
        <v>77</v>
      </c>
      <c r="N322" s="229">
        <v>1</v>
      </c>
      <c r="O322" s="229"/>
    </row>
    <row r="323" spans="1:15" x14ac:dyDescent="0.2">
      <c r="A323" s="226">
        <v>322</v>
      </c>
      <c r="B323" s="226" t="str">
        <f t="shared" si="53"/>
        <v>SISTEMATANK SIZE 147LFK-5-1-121-2</v>
      </c>
      <c r="C323" s="226">
        <f t="shared" ref="C323:C345" si="58">C322</f>
        <v>1</v>
      </c>
      <c r="D323" s="226" t="s">
        <v>13</v>
      </c>
      <c r="E323" s="226" t="s">
        <v>75</v>
      </c>
      <c r="F323" s="226" t="s">
        <v>98</v>
      </c>
      <c r="G323" s="226">
        <f t="shared" ref="G323:G345" si="59">+G322+1</f>
        <v>2</v>
      </c>
      <c r="H323" s="226" t="s">
        <v>16</v>
      </c>
      <c r="I323" s="227">
        <v>445737</v>
      </c>
      <c r="J323" s="226" t="s">
        <v>112</v>
      </c>
      <c r="K323" s="226" t="s">
        <v>19</v>
      </c>
      <c r="L323" s="226">
        <v>1</v>
      </c>
      <c r="M323" s="228">
        <f t="shared" si="52"/>
        <v>445737</v>
      </c>
      <c r="N323" s="229">
        <v>1</v>
      </c>
      <c r="O323" s="229"/>
    </row>
    <row r="324" spans="1:15" x14ac:dyDescent="0.2">
      <c r="A324" s="226">
        <v>323</v>
      </c>
      <c r="B324" s="226" t="str">
        <f t="shared" si="53"/>
        <v>SISTEMATANK SIZE 147LFK-5-1-121-3</v>
      </c>
      <c r="C324" s="226">
        <f t="shared" si="58"/>
        <v>1</v>
      </c>
      <c r="D324" s="226" t="s">
        <v>13</v>
      </c>
      <c r="E324" s="226" t="s">
        <v>75</v>
      </c>
      <c r="F324" s="226" t="s">
        <v>98</v>
      </c>
      <c r="G324" s="226">
        <f t="shared" si="59"/>
        <v>3</v>
      </c>
      <c r="H324" s="226" t="s">
        <v>16</v>
      </c>
      <c r="I324" s="227" t="s">
        <v>98</v>
      </c>
      <c r="J324" s="226" t="s">
        <v>100</v>
      </c>
      <c r="K324" s="226" t="s">
        <v>19</v>
      </c>
      <c r="L324" s="230">
        <f>'COT AGENTES'!$H$5</f>
        <v>2</v>
      </c>
      <c r="M324" s="228" t="str">
        <f t="shared" ref="M324:M387" si="60">I324</f>
        <v>FK-5-1-12</v>
      </c>
      <c r="N324" s="229">
        <v>1</v>
      </c>
      <c r="O324" s="229"/>
    </row>
    <row r="325" spans="1:15" x14ac:dyDescent="0.2">
      <c r="A325" s="226">
        <v>324</v>
      </c>
      <c r="B325" s="226" t="str">
        <f t="shared" si="53"/>
        <v>SISTEMATANK SIZE 147LFK-5-1-121-4</v>
      </c>
      <c r="C325" s="226">
        <f t="shared" si="58"/>
        <v>1</v>
      </c>
      <c r="D325" s="226" t="s">
        <v>13</v>
      </c>
      <c r="E325" s="226" t="s">
        <v>75</v>
      </c>
      <c r="F325" s="226" t="s">
        <v>98</v>
      </c>
      <c r="G325" s="226">
        <f t="shared" si="59"/>
        <v>4</v>
      </c>
      <c r="H325" s="226" t="s">
        <v>16</v>
      </c>
      <c r="I325" s="227">
        <v>302207021</v>
      </c>
      <c r="J325" s="226" t="s">
        <v>101</v>
      </c>
      <c r="K325" s="226" t="s">
        <v>19</v>
      </c>
      <c r="L325" s="226">
        <v>1</v>
      </c>
      <c r="M325" s="228">
        <f t="shared" si="60"/>
        <v>302207021</v>
      </c>
      <c r="N325" s="229">
        <v>1</v>
      </c>
      <c r="O325" s="229"/>
    </row>
    <row r="326" spans="1:15" x14ac:dyDescent="0.2">
      <c r="A326" s="226">
        <v>325</v>
      </c>
      <c r="B326" s="226" t="str">
        <f t="shared" ref="B326:B389" si="61">D326&amp;E326&amp;F326&amp;C326&amp;"-"&amp;G326&amp;IF(M326&lt;&gt;"",O326,"")</f>
        <v>SISTEMATANK SIZE 147LFK-5-1-121-5</v>
      </c>
      <c r="C326" s="226">
        <f t="shared" si="58"/>
        <v>1</v>
      </c>
      <c r="D326" s="226" t="s">
        <v>13</v>
      </c>
      <c r="E326" s="226" t="s">
        <v>75</v>
      </c>
      <c r="F326" s="226" t="s">
        <v>98</v>
      </c>
      <c r="G326" s="226">
        <f t="shared" si="59"/>
        <v>5</v>
      </c>
      <c r="H326" s="226" t="s">
        <v>16</v>
      </c>
      <c r="I326" s="227">
        <v>314207329</v>
      </c>
      <c r="J326" s="226" t="s">
        <v>109</v>
      </c>
      <c r="K326" s="226" t="s">
        <v>19</v>
      </c>
      <c r="L326" s="226">
        <v>1</v>
      </c>
      <c r="M326" s="228">
        <f t="shared" si="60"/>
        <v>314207329</v>
      </c>
      <c r="N326" s="229">
        <v>1</v>
      </c>
      <c r="O326" s="229"/>
    </row>
    <row r="327" spans="1:15" x14ac:dyDescent="0.2">
      <c r="A327" s="226">
        <v>326</v>
      </c>
      <c r="B327" s="226" t="str">
        <f t="shared" si="61"/>
        <v>SISTEMATANK SIZE 147LFK-5-1-121-6</v>
      </c>
      <c r="C327" s="226">
        <f t="shared" si="58"/>
        <v>1</v>
      </c>
      <c r="D327" s="226" t="s">
        <v>13</v>
      </c>
      <c r="E327" s="226" t="s">
        <v>75</v>
      </c>
      <c r="F327" s="226" t="s">
        <v>98</v>
      </c>
      <c r="G327" s="226">
        <f t="shared" si="59"/>
        <v>6</v>
      </c>
      <c r="H327" s="226" t="s">
        <v>16</v>
      </c>
      <c r="I327" s="227">
        <v>570585</v>
      </c>
      <c r="J327" s="226" t="s">
        <v>26</v>
      </c>
      <c r="K327" s="226" t="s">
        <v>19</v>
      </c>
      <c r="L327" s="226">
        <v>1</v>
      </c>
      <c r="M327" s="228">
        <f t="shared" si="60"/>
        <v>570585</v>
      </c>
      <c r="N327" s="229">
        <v>1</v>
      </c>
      <c r="O327" s="229"/>
    </row>
    <row r="328" spans="1:15" x14ac:dyDescent="0.2">
      <c r="A328" s="226">
        <v>327</v>
      </c>
      <c r="B328" s="226" t="str">
        <f t="shared" si="61"/>
        <v>SISTEMATANK SIZE 147LFK-5-1-121-7</v>
      </c>
      <c r="C328" s="226">
        <f t="shared" si="58"/>
        <v>1</v>
      </c>
      <c r="D328" s="226" t="s">
        <v>13</v>
      </c>
      <c r="E328" s="226" t="s">
        <v>75</v>
      </c>
      <c r="F328" s="226" t="s">
        <v>98</v>
      </c>
      <c r="G328" s="226">
        <f t="shared" si="59"/>
        <v>7</v>
      </c>
      <c r="H328" s="226" t="s">
        <v>16</v>
      </c>
      <c r="I328" s="227">
        <v>304205030</v>
      </c>
      <c r="J328" s="226" t="s">
        <v>27</v>
      </c>
      <c r="K328" s="226" t="s">
        <v>19</v>
      </c>
      <c r="L328" s="226">
        <v>1</v>
      </c>
      <c r="M328" s="228">
        <f t="shared" si="60"/>
        <v>304205030</v>
      </c>
      <c r="N328" s="229">
        <v>1</v>
      </c>
      <c r="O328" s="229"/>
    </row>
    <row r="329" spans="1:15" x14ac:dyDescent="0.2">
      <c r="A329" s="226">
        <v>328</v>
      </c>
      <c r="B329" s="226" t="str">
        <f t="shared" si="61"/>
        <v>SISTEMATANK SIZE 147LFK-5-1-121-8</v>
      </c>
      <c r="C329" s="226">
        <f t="shared" si="58"/>
        <v>1</v>
      </c>
      <c r="D329" s="226" t="s">
        <v>13</v>
      </c>
      <c r="E329" s="226" t="s">
        <v>75</v>
      </c>
      <c r="F329" s="226" t="s">
        <v>98</v>
      </c>
      <c r="G329" s="226">
        <f t="shared" si="59"/>
        <v>8</v>
      </c>
      <c r="H329" s="226" t="s">
        <v>16</v>
      </c>
      <c r="I329" s="227" t="s">
        <v>28</v>
      </c>
      <c r="J329" s="226" t="s">
        <v>29</v>
      </c>
      <c r="K329" s="226" t="s">
        <v>19</v>
      </c>
      <c r="L329" s="226">
        <v>1</v>
      </c>
      <c r="M329" s="228" t="str">
        <f t="shared" si="60"/>
        <v>A1638150HY</v>
      </c>
      <c r="N329" s="229">
        <v>1</v>
      </c>
      <c r="O329" s="229"/>
    </row>
    <row r="330" spans="1:15" x14ac:dyDescent="0.2">
      <c r="A330" s="226">
        <v>329</v>
      </c>
      <c r="B330" s="226" t="str">
        <f t="shared" si="61"/>
        <v>SISTEMATANK SIZE 147LFK-5-1-121-9</v>
      </c>
      <c r="C330" s="226">
        <f t="shared" si="58"/>
        <v>1</v>
      </c>
      <c r="D330" s="226" t="s">
        <v>13</v>
      </c>
      <c r="E330" s="226" t="s">
        <v>75</v>
      </c>
      <c r="F330" s="226" t="s">
        <v>98</v>
      </c>
      <c r="G330" s="226">
        <f t="shared" si="59"/>
        <v>9</v>
      </c>
      <c r="H330" s="226" t="s">
        <v>16</v>
      </c>
      <c r="I330" s="227" t="s">
        <v>62</v>
      </c>
      <c r="J330" s="226" t="s">
        <v>63</v>
      </c>
      <c r="K330" s="226" t="s">
        <v>19</v>
      </c>
      <c r="L330" s="226">
        <v>2</v>
      </c>
      <c r="M330" s="228" t="str">
        <f t="shared" si="60"/>
        <v>570092-R2</v>
      </c>
      <c r="N330" s="229">
        <v>1</v>
      </c>
      <c r="O330" s="229"/>
    </row>
    <row r="331" spans="1:15" x14ac:dyDescent="0.2">
      <c r="A331" s="226">
        <v>330</v>
      </c>
      <c r="B331" s="226" t="str">
        <f t="shared" si="61"/>
        <v>SISTEMATANK SIZE 147LFK-5-1-121-10</v>
      </c>
      <c r="C331" s="226">
        <f t="shared" si="58"/>
        <v>1</v>
      </c>
      <c r="D331" s="226" t="s">
        <v>13</v>
      </c>
      <c r="E331" s="226" t="s">
        <v>75</v>
      </c>
      <c r="F331" s="226" t="s">
        <v>98</v>
      </c>
      <c r="G331" s="226">
        <f t="shared" si="59"/>
        <v>10</v>
      </c>
      <c r="H331" s="226" t="s">
        <v>16</v>
      </c>
      <c r="I331" s="227" t="s">
        <v>32</v>
      </c>
      <c r="J331" s="226" t="s">
        <v>33</v>
      </c>
      <c r="K331" s="226" t="s">
        <v>19</v>
      </c>
      <c r="L331" s="230">
        <f>'COT AGENTES'!$M$11</f>
        <v>1</v>
      </c>
      <c r="M331" s="228" t="s">
        <v>79</v>
      </c>
      <c r="N331" s="229">
        <v>1</v>
      </c>
      <c r="O331" s="229"/>
    </row>
    <row r="332" spans="1:15" x14ac:dyDescent="0.2">
      <c r="A332" s="226">
        <v>331</v>
      </c>
      <c r="B332" s="226" t="str">
        <f t="shared" si="61"/>
        <v>SISTEMATANK SIZE 147LFK-5-1-121-11</v>
      </c>
      <c r="C332" s="226">
        <f t="shared" si="58"/>
        <v>1</v>
      </c>
      <c r="D332" s="226" t="s">
        <v>13</v>
      </c>
      <c r="E332" s="226" t="s">
        <v>75</v>
      </c>
      <c r="F332" s="226" t="s">
        <v>98</v>
      </c>
      <c r="G332" s="226">
        <f t="shared" si="59"/>
        <v>11</v>
      </c>
      <c r="H332" s="226" t="s">
        <v>16</v>
      </c>
      <c r="I332" s="227" t="s">
        <v>103</v>
      </c>
      <c r="J332" s="226" t="s">
        <v>104</v>
      </c>
      <c r="K332" s="226" t="s">
        <v>19</v>
      </c>
      <c r="L332" s="226">
        <v>1</v>
      </c>
      <c r="M332" s="228" t="str">
        <f t="shared" si="60"/>
        <v>314207101-R2</v>
      </c>
      <c r="N332" s="229">
        <v>1</v>
      </c>
      <c r="O332" s="229"/>
    </row>
    <row r="333" spans="1:15" x14ac:dyDescent="0.2">
      <c r="A333" s="226">
        <v>332</v>
      </c>
      <c r="B333" s="226" t="str">
        <f t="shared" si="61"/>
        <v>SISTEMATANK SIZE 147LFK-5-1-121-12</v>
      </c>
      <c r="C333" s="226">
        <f t="shared" si="58"/>
        <v>1</v>
      </c>
      <c r="D333" s="226" t="s">
        <v>13</v>
      </c>
      <c r="E333" s="226" t="s">
        <v>75</v>
      </c>
      <c r="F333" s="226" t="s">
        <v>98</v>
      </c>
      <c r="G333" s="226">
        <f t="shared" si="59"/>
        <v>12</v>
      </c>
      <c r="H333" s="226" t="s">
        <v>16</v>
      </c>
      <c r="I333" s="227" t="s">
        <v>105</v>
      </c>
      <c r="J333" s="226" t="s">
        <v>106</v>
      </c>
      <c r="K333" s="226" t="s">
        <v>19</v>
      </c>
      <c r="L333" s="226">
        <v>1</v>
      </c>
      <c r="M333" s="228" t="str">
        <f t="shared" si="60"/>
        <v>314207103-R2</v>
      </c>
      <c r="N333" s="229">
        <v>1</v>
      </c>
      <c r="O333" s="229"/>
    </row>
    <row r="334" spans="1:15" x14ac:dyDescent="0.2">
      <c r="A334" s="226">
        <v>333</v>
      </c>
      <c r="B334" s="226" t="str">
        <f t="shared" si="61"/>
        <v>SISTEMATANK SIZE 147LFK-5-1-121-13</v>
      </c>
      <c r="C334" s="226">
        <f t="shared" si="58"/>
        <v>1</v>
      </c>
      <c r="D334" s="226" t="s">
        <v>13</v>
      </c>
      <c r="E334" s="226" t="s">
        <v>75</v>
      </c>
      <c r="F334" s="226" t="s">
        <v>98</v>
      </c>
      <c r="G334" s="226">
        <f t="shared" si="59"/>
        <v>13</v>
      </c>
      <c r="H334" s="226" t="s">
        <v>16</v>
      </c>
      <c r="I334" s="227">
        <v>570558</v>
      </c>
      <c r="J334" s="226" t="s">
        <v>65</v>
      </c>
      <c r="K334" s="226" t="s">
        <v>19</v>
      </c>
      <c r="L334" s="226">
        <f>L323</f>
        <v>1</v>
      </c>
      <c r="M334" s="228">
        <f t="shared" si="60"/>
        <v>570558</v>
      </c>
      <c r="N334" s="229">
        <v>1</v>
      </c>
      <c r="O334" s="229"/>
    </row>
    <row r="335" spans="1:15" x14ac:dyDescent="0.2">
      <c r="A335" s="226">
        <v>334</v>
      </c>
      <c r="B335" s="226" t="str">
        <f t="shared" si="61"/>
        <v>SISTEMATANK SIZE 147LFK-5-1-121-14</v>
      </c>
      <c r="C335" s="226">
        <f>C329</f>
        <v>1</v>
      </c>
      <c r="D335" s="226" t="s">
        <v>13</v>
      </c>
      <c r="E335" s="226" t="s">
        <v>75</v>
      </c>
      <c r="F335" s="226" t="s">
        <v>98</v>
      </c>
      <c r="G335" s="226">
        <f t="shared" si="59"/>
        <v>14</v>
      </c>
      <c r="M335" s="228">
        <f t="shared" si="60"/>
        <v>0</v>
      </c>
      <c r="N335" s="229">
        <v>1</v>
      </c>
      <c r="O335" s="229"/>
    </row>
    <row r="336" spans="1:15" x14ac:dyDescent="0.2">
      <c r="A336" s="226">
        <v>335</v>
      </c>
      <c r="B336" s="226" t="str">
        <f t="shared" si="61"/>
        <v>SISTEMATANK SIZE 147LFK-5-1-121-15</v>
      </c>
      <c r="C336" s="226">
        <f t="shared" si="58"/>
        <v>1</v>
      </c>
      <c r="D336" s="226" t="s">
        <v>13</v>
      </c>
      <c r="E336" s="226" t="s">
        <v>75</v>
      </c>
      <c r="F336" s="226" t="s">
        <v>98</v>
      </c>
      <c r="G336" s="226">
        <f t="shared" si="59"/>
        <v>15</v>
      </c>
      <c r="H336" s="226" t="s">
        <v>16</v>
      </c>
      <c r="I336" s="227">
        <v>437900</v>
      </c>
      <c r="J336" s="226" t="s">
        <v>40</v>
      </c>
      <c r="K336" s="226" t="s">
        <v>19</v>
      </c>
      <c r="L336" s="226">
        <v>1</v>
      </c>
      <c r="M336" s="228">
        <f t="shared" si="60"/>
        <v>437900</v>
      </c>
      <c r="N336" s="229">
        <v>1</v>
      </c>
      <c r="O336" s="229"/>
    </row>
    <row r="337" spans="1:15" x14ac:dyDescent="0.2">
      <c r="A337" s="226">
        <v>336</v>
      </c>
      <c r="B337" s="226" t="str">
        <f t="shared" si="61"/>
        <v>SISTEMATANK SIZE 147LFK-5-1-121-16</v>
      </c>
      <c r="C337" s="226">
        <f t="shared" si="58"/>
        <v>1</v>
      </c>
      <c r="D337" s="226" t="s">
        <v>13</v>
      </c>
      <c r="E337" s="226" t="s">
        <v>75</v>
      </c>
      <c r="F337" s="226" t="s">
        <v>98</v>
      </c>
      <c r="G337" s="226">
        <f t="shared" si="59"/>
        <v>16</v>
      </c>
      <c r="H337" s="226" t="s">
        <v>16</v>
      </c>
      <c r="I337" s="227">
        <v>415142</v>
      </c>
      <c r="J337" s="226" t="s">
        <v>66</v>
      </c>
      <c r="K337" s="226" t="s">
        <v>19</v>
      </c>
      <c r="L337" s="226">
        <v>1</v>
      </c>
      <c r="M337" s="228">
        <f t="shared" si="60"/>
        <v>415142</v>
      </c>
      <c r="N337" s="229">
        <v>1</v>
      </c>
      <c r="O337" s="229"/>
    </row>
    <row r="338" spans="1:15" x14ac:dyDescent="0.2">
      <c r="A338" s="226">
        <v>337</v>
      </c>
      <c r="B338" s="226" t="str">
        <f t="shared" si="61"/>
        <v>SISTEMATANK SIZE 147LFK-5-1-121-17</v>
      </c>
      <c r="C338" s="226">
        <f t="shared" si="58"/>
        <v>1</v>
      </c>
      <c r="D338" s="226" t="s">
        <v>13</v>
      </c>
      <c r="E338" s="226" t="s">
        <v>75</v>
      </c>
      <c r="F338" s="226" t="s">
        <v>98</v>
      </c>
      <c r="G338" s="226">
        <f t="shared" si="59"/>
        <v>17</v>
      </c>
      <c r="H338" s="226" t="s">
        <v>16</v>
      </c>
      <c r="I338" s="227">
        <v>32338</v>
      </c>
      <c r="J338" s="226" t="s">
        <v>42</v>
      </c>
      <c r="K338" s="226" t="s">
        <v>19</v>
      </c>
      <c r="L338" s="226">
        <v>1</v>
      </c>
      <c r="M338" s="228">
        <f t="shared" si="60"/>
        <v>32338</v>
      </c>
      <c r="N338" s="229">
        <v>1</v>
      </c>
      <c r="O338" s="229"/>
    </row>
    <row r="339" spans="1:15" x14ac:dyDescent="0.2">
      <c r="A339" s="226">
        <v>338</v>
      </c>
      <c r="B339" s="226" t="str">
        <f t="shared" si="61"/>
        <v>-</v>
      </c>
      <c r="M339" s="228">
        <f t="shared" si="60"/>
        <v>0</v>
      </c>
      <c r="N339" s="229">
        <v>1</v>
      </c>
      <c r="O339" s="229"/>
    </row>
    <row r="340" spans="1:15" x14ac:dyDescent="0.2">
      <c r="A340" s="226">
        <v>339</v>
      </c>
      <c r="B340" s="226" t="str">
        <f t="shared" si="61"/>
        <v>OPCIONALTANK SIZE 147LFK-5-1-121-1</v>
      </c>
      <c r="C340" s="226">
        <f>C334</f>
        <v>1</v>
      </c>
      <c r="D340" s="226" t="s">
        <v>43</v>
      </c>
      <c r="E340" s="226" t="s">
        <v>75</v>
      </c>
      <c r="F340" s="226" t="s">
        <v>98</v>
      </c>
      <c r="G340" s="226">
        <v>1</v>
      </c>
      <c r="H340" s="226" t="s">
        <v>16</v>
      </c>
      <c r="I340" s="227" t="s">
        <v>67</v>
      </c>
      <c r="J340" s="226" t="s">
        <v>68</v>
      </c>
      <c r="K340" s="226" t="s">
        <v>19</v>
      </c>
      <c r="L340" s="226">
        <f>L323</f>
        <v>1</v>
      </c>
      <c r="M340" s="228" t="str">
        <f t="shared" si="60"/>
        <v>570538-R2</v>
      </c>
      <c r="N340" s="229">
        <v>1</v>
      </c>
      <c r="O340" s="229"/>
    </row>
    <row r="341" spans="1:15" x14ac:dyDescent="0.2">
      <c r="A341" s="226">
        <v>340</v>
      </c>
      <c r="B341" s="226" t="str">
        <f t="shared" si="61"/>
        <v>OPCIONALTANK SIZE 147LFK-5-1-121-2</v>
      </c>
      <c r="C341" s="226">
        <f t="shared" si="58"/>
        <v>1</v>
      </c>
      <c r="D341" s="226" t="s">
        <v>43</v>
      </c>
      <c r="E341" s="226" t="s">
        <v>75</v>
      </c>
      <c r="F341" s="226" t="s">
        <v>98</v>
      </c>
      <c r="G341" s="226">
        <f t="shared" si="59"/>
        <v>2</v>
      </c>
      <c r="H341" s="226" t="s">
        <v>16</v>
      </c>
      <c r="I341" s="227">
        <v>437900</v>
      </c>
      <c r="J341" s="226" t="s">
        <v>40</v>
      </c>
      <c r="K341" s="226" t="s">
        <v>19</v>
      </c>
      <c r="L341" s="226">
        <v>1</v>
      </c>
      <c r="M341" s="228">
        <f t="shared" si="60"/>
        <v>437900</v>
      </c>
      <c r="N341" s="229">
        <v>1</v>
      </c>
      <c r="O341" s="229"/>
    </row>
    <row r="342" spans="1:15" x14ac:dyDescent="0.2">
      <c r="A342" s="226">
        <v>341</v>
      </c>
      <c r="B342" s="226" t="str">
        <f t="shared" si="61"/>
        <v>OPCIONALTANK SIZE 147LFK-5-1-121-3</v>
      </c>
      <c r="C342" s="226">
        <f t="shared" si="58"/>
        <v>1</v>
      </c>
      <c r="D342" s="226" t="s">
        <v>43</v>
      </c>
      <c r="E342" s="226" t="s">
        <v>75</v>
      </c>
      <c r="F342" s="226" t="s">
        <v>98</v>
      </c>
      <c r="G342" s="226">
        <f t="shared" si="59"/>
        <v>3</v>
      </c>
      <c r="H342" s="226" t="s">
        <v>16</v>
      </c>
      <c r="I342" s="227">
        <v>415142</v>
      </c>
      <c r="J342" s="226" t="s">
        <v>66</v>
      </c>
      <c r="K342" s="226" t="s">
        <v>19</v>
      </c>
      <c r="L342" s="226">
        <v>1</v>
      </c>
      <c r="M342" s="228">
        <f t="shared" si="60"/>
        <v>415142</v>
      </c>
      <c r="N342" s="229">
        <v>1</v>
      </c>
      <c r="O342" s="229"/>
    </row>
    <row r="343" spans="1:15" x14ac:dyDescent="0.2">
      <c r="A343" s="226">
        <v>342</v>
      </c>
      <c r="B343" s="226" t="str">
        <f t="shared" si="61"/>
        <v>OPCIONALTANK SIZE 147LFK-5-1-121-4</v>
      </c>
      <c r="C343" s="226">
        <f t="shared" si="58"/>
        <v>1</v>
      </c>
      <c r="D343" s="226" t="s">
        <v>43</v>
      </c>
      <c r="E343" s="226" t="s">
        <v>75</v>
      </c>
      <c r="F343" s="226" t="s">
        <v>98</v>
      </c>
      <c r="G343" s="226">
        <f t="shared" si="59"/>
        <v>4</v>
      </c>
      <c r="H343" s="226" t="s">
        <v>16</v>
      </c>
      <c r="I343" s="227">
        <v>32338</v>
      </c>
      <c r="J343" s="226" t="s">
        <v>42</v>
      </c>
      <c r="K343" s="226" t="s">
        <v>19</v>
      </c>
      <c r="L343" s="226">
        <v>1</v>
      </c>
      <c r="M343" s="228">
        <f t="shared" si="60"/>
        <v>32338</v>
      </c>
      <c r="N343" s="229">
        <v>1</v>
      </c>
      <c r="O343" s="229"/>
    </row>
    <row r="344" spans="1:15" x14ac:dyDescent="0.2">
      <c r="A344" s="226">
        <v>343</v>
      </c>
      <c r="B344" s="226" t="str">
        <f t="shared" si="61"/>
        <v>OPCIONALTANK SIZE 147LFK-5-1-121-5</v>
      </c>
      <c r="C344" s="226">
        <f t="shared" si="58"/>
        <v>1</v>
      </c>
      <c r="D344" s="226" t="s">
        <v>43</v>
      </c>
      <c r="E344" s="226" t="s">
        <v>75</v>
      </c>
      <c r="F344" s="226" t="s">
        <v>98</v>
      </c>
      <c r="G344" s="226">
        <f t="shared" si="59"/>
        <v>5</v>
      </c>
      <c r="H344" s="226" t="s">
        <v>16</v>
      </c>
      <c r="I344" s="227">
        <v>76498</v>
      </c>
      <c r="J344" s="226" t="s">
        <v>46</v>
      </c>
      <c r="K344" s="226" t="s">
        <v>19</v>
      </c>
      <c r="L344" s="226">
        <v>1</v>
      </c>
      <c r="M344" s="228">
        <f t="shared" si="60"/>
        <v>76498</v>
      </c>
      <c r="N344" s="229">
        <v>1</v>
      </c>
      <c r="O344" s="229"/>
    </row>
    <row r="345" spans="1:15" x14ac:dyDescent="0.2">
      <c r="A345" s="226">
        <v>344</v>
      </c>
      <c r="B345" s="226" t="str">
        <f t="shared" si="61"/>
        <v>OPCIONALTANK SIZE 147LFK-5-1-121-6</v>
      </c>
      <c r="C345" s="226">
        <f t="shared" si="58"/>
        <v>1</v>
      </c>
      <c r="D345" s="226" t="s">
        <v>43</v>
      </c>
      <c r="E345" s="226" t="s">
        <v>75</v>
      </c>
      <c r="F345" s="226" t="s">
        <v>98</v>
      </c>
      <c r="G345" s="226">
        <f t="shared" si="59"/>
        <v>6</v>
      </c>
      <c r="H345" s="226" t="s">
        <v>16</v>
      </c>
      <c r="I345" s="227">
        <v>570278</v>
      </c>
      <c r="J345" s="226" t="s">
        <v>80</v>
      </c>
      <c r="K345" s="226" t="s">
        <v>19</v>
      </c>
      <c r="L345" s="226">
        <v>1</v>
      </c>
      <c r="M345" s="228">
        <f t="shared" si="60"/>
        <v>570278</v>
      </c>
      <c r="N345" s="229">
        <v>1</v>
      </c>
      <c r="O345" s="229"/>
    </row>
    <row r="346" spans="1:15" x14ac:dyDescent="0.2">
      <c r="A346" s="226">
        <v>345</v>
      </c>
      <c r="B346" s="226" t="str">
        <f t="shared" si="61"/>
        <v>-</v>
      </c>
      <c r="M346" s="228">
        <f t="shared" si="60"/>
        <v>0</v>
      </c>
      <c r="N346" s="229">
        <v>1</v>
      </c>
      <c r="O346" s="229"/>
    </row>
    <row r="347" spans="1:15" x14ac:dyDescent="0.2">
      <c r="A347" s="226">
        <v>346</v>
      </c>
      <c r="B347" s="226" t="str">
        <f t="shared" si="61"/>
        <v>SISTEMATANK SIZE 180LFK-5-1-121-1</v>
      </c>
      <c r="C347" s="226">
        <f>L347</f>
        <v>1</v>
      </c>
      <c r="D347" s="226" t="s">
        <v>13</v>
      </c>
      <c r="E347" s="226" t="s">
        <v>81</v>
      </c>
      <c r="F347" s="226" t="s">
        <v>98</v>
      </c>
      <c r="G347" s="226">
        <v>1</v>
      </c>
      <c r="H347" s="226" t="s">
        <v>16</v>
      </c>
      <c r="I347" s="227" t="s">
        <v>17</v>
      </c>
      <c r="J347" s="226" t="s">
        <v>82</v>
      </c>
      <c r="K347" s="226" t="s">
        <v>19</v>
      </c>
      <c r="L347" s="226">
        <v>1</v>
      </c>
      <c r="M347" s="228" t="s">
        <v>83</v>
      </c>
      <c r="N347" s="229">
        <v>1</v>
      </c>
      <c r="O347" s="229"/>
    </row>
    <row r="348" spans="1:15" x14ac:dyDescent="0.2">
      <c r="A348" s="226">
        <v>347</v>
      </c>
      <c r="B348" s="226" t="str">
        <f t="shared" si="61"/>
        <v>SISTEMATANK SIZE 180LFK-5-1-121-2</v>
      </c>
      <c r="C348" s="226">
        <f t="shared" ref="C348:C370" si="62">C347</f>
        <v>1</v>
      </c>
      <c r="D348" s="226" t="s">
        <v>13</v>
      </c>
      <c r="E348" s="226" t="s">
        <v>81</v>
      </c>
      <c r="F348" s="226" t="s">
        <v>98</v>
      </c>
      <c r="G348" s="226">
        <f t="shared" ref="G348:G370" si="63">+G347+1</f>
        <v>2</v>
      </c>
      <c r="H348" s="226" t="s">
        <v>16</v>
      </c>
      <c r="I348" s="227">
        <v>445738</v>
      </c>
      <c r="J348" s="226" t="s">
        <v>113</v>
      </c>
      <c r="K348" s="226" t="s">
        <v>19</v>
      </c>
      <c r="L348" s="226">
        <v>1</v>
      </c>
      <c r="M348" s="228">
        <f t="shared" si="60"/>
        <v>445738</v>
      </c>
      <c r="N348" s="229">
        <v>1</v>
      </c>
      <c r="O348" s="229"/>
    </row>
    <row r="349" spans="1:15" x14ac:dyDescent="0.2">
      <c r="A349" s="226">
        <v>348</v>
      </c>
      <c r="B349" s="226" t="str">
        <f t="shared" si="61"/>
        <v>SISTEMATANK SIZE 180LFK-5-1-121-3</v>
      </c>
      <c r="C349" s="226">
        <f t="shared" si="62"/>
        <v>1</v>
      </c>
      <c r="D349" s="226" t="s">
        <v>13</v>
      </c>
      <c r="E349" s="226" t="s">
        <v>81</v>
      </c>
      <c r="F349" s="226" t="s">
        <v>98</v>
      </c>
      <c r="G349" s="226">
        <f t="shared" si="63"/>
        <v>3</v>
      </c>
      <c r="H349" s="226" t="s">
        <v>16</v>
      </c>
      <c r="I349" s="227" t="s">
        <v>98</v>
      </c>
      <c r="J349" s="226" t="s">
        <v>100</v>
      </c>
      <c r="K349" s="226" t="s">
        <v>19</v>
      </c>
      <c r="L349" s="230">
        <f>'COT AGENTES'!$H$5</f>
        <v>2</v>
      </c>
      <c r="M349" s="228" t="str">
        <f t="shared" si="60"/>
        <v>FK-5-1-12</v>
      </c>
      <c r="N349" s="229">
        <v>1</v>
      </c>
      <c r="O349" s="229"/>
    </row>
    <row r="350" spans="1:15" x14ac:dyDescent="0.2">
      <c r="A350" s="226">
        <v>349</v>
      </c>
      <c r="B350" s="226" t="str">
        <f t="shared" si="61"/>
        <v>SISTEMATANK SIZE 180LFK-5-1-121-4</v>
      </c>
      <c r="C350" s="226">
        <f t="shared" si="62"/>
        <v>1</v>
      </c>
      <c r="D350" s="226" t="s">
        <v>13</v>
      </c>
      <c r="E350" s="226" t="s">
        <v>81</v>
      </c>
      <c r="F350" s="226" t="s">
        <v>98</v>
      </c>
      <c r="G350" s="226">
        <f t="shared" si="63"/>
        <v>4</v>
      </c>
      <c r="H350" s="226" t="s">
        <v>16</v>
      </c>
      <c r="I350" s="227">
        <v>302207021</v>
      </c>
      <c r="J350" s="226" t="s">
        <v>101</v>
      </c>
      <c r="K350" s="226" t="s">
        <v>19</v>
      </c>
      <c r="L350" s="226">
        <v>1</v>
      </c>
      <c r="M350" s="228">
        <f t="shared" si="60"/>
        <v>302207021</v>
      </c>
      <c r="N350" s="229">
        <v>1</v>
      </c>
      <c r="O350" s="229"/>
    </row>
    <row r="351" spans="1:15" x14ac:dyDescent="0.2">
      <c r="A351" s="226">
        <v>350</v>
      </c>
      <c r="B351" s="226" t="str">
        <f t="shared" si="61"/>
        <v>SISTEMATANK SIZE 180LFK-5-1-121-5</v>
      </c>
      <c r="C351" s="226">
        <f t="shared" si="62"/>
        <v>1</v>
      </c>
      <c r="D351" s="226" t="s">
        <v>13</v>
      </c>
      <c r="E351" s="226" t="s">
        <v>81</v>
      </c>
      <c r="F351" s="226" t="s">
        <v>98</v>
      </c>
      <c r="G351" s="226">
        <f t="shared" si="63"/>
        <v>5</v>
      </c>
      <c r="H351" s="226" t="s">
        <v>16</v>
      </c>
      <c r="I351" s="227">
        <v>314207329</v>
      </c>
      <c r="J351" s="226" t="s">
        <v>109</v>
      </c>
      <c r="K351" s="226" t="s">
        <v>19</v>
      </c>
      <c r="L351" s="226">
        <v>1</v>
      </c>
      <c r="M351" s="228">
        <f t="shared" si="60"/>
        <v>314207329</v>
      </c>
      <c r="N351" s="229">
        <v>1</v>
      </c>
      <c r="O351" s="229"/>
    </row>
    <row r="352" spans="1:15" x14ac:dyDescent="0.2">
      <c r="A352" s="226">
        <v>351</v>
      </c>
      <c r="B352" s="226" t="str">
        <f t="shared" si="61"/>
        <v>SISTEMATANK SIZE 180LFK-5-1-121-6</v>
      </c>
      <c r="C352" s="226">
        <f t="shared" si="62"/>
        <v>1</v>
      </c>
      <c r="D352" s="226" t="s">
        <v>13</v>
      </c>
      <c r="E352" s="226" t="s">
        <v>81</v>
      </c>
      <c r="F352" s="226" t="s">
        <v>98</v>
      </c>
      <c r="G352" s="226">
        <f t="shared" si="63"/>
        <v>6</v>
      </c>
      <c r="H352" s="226" t="s">
        <v>16</v>
      </c>
      <c r="I352" s="227">
        <v>570585</v>
      </c>
      <c r="J352" s="226" t="s">
        <v>26</v>
      </c>
      <c r="K352" s="226" t="s">
        <v>19</v>
      </c>
      <c r="L352" s="226">
        <v>1</v>
      </c>
      <c r="M352" s="228">
        <f t="shared" si="60"/>
        <v>570585</v>
      </c>
      <c r="N352" s="229">
        <v>1</v>
      </c>
      <c r="O352" s="229"/>
    </row>
    <row r="353" spans="1:15" x14ac:dyDescent="0.2">
      <c r="A353" s="226">
        <v>352</v>
      </c>
      <c r="B353" s="226" t="str">
        <f t="shared" si="61"/>
        <v>SISTEMATANK SIZE 180LFK-5-1-121-7</v>
      </c>
      <c r="C353" s="226">
        <f t="shared" si="62"/>
        <v>1</v>
      </c>
      <c r="D353" s="226" t="s">
        <v>13</v>
      </c>
      <c r="E353" s="226" t="s">
        <v>81</v>
      </c>
      <c r="F353" s="226" t="s">
        <v>98</v>
      </c>
      <c r="G353" s="226">
        <f t="shared" si="63"/>
        <v>7</v>
      </c>
      <c r="H353" s="226" t="s">
        <v>16</v>
      </c>
      <c r="I353" s="227">
        <v>304205030</v>
      </c>
      <c r="J353" s="226" t="s">
        <v>27</v>
      </c>
      <c r="K353" s="226" t="s">
        <v>19</v>
      </c>
      <c r="L353" s="226">
        <v>1</v>
      </c>
      <c r="M353" s="228">
        <f t="shared" si="60"/>
        <v>304205030</v>
      </c>
      <c r="N353" s="229">
        <v>1</v>
      </c>
      <c r="O353" s="229"/>
    </row>
    <row r="354" spans="1:15" x14ac:dyDescent="0.2">
      <c r="A354" s="226">
        <v>353</v>
      </c>
      <c r="B354" s="226" t="str">
        <f t="shared" si="61"/>
        <v>SISTEMATANK SIZE 180LFK-5-1-121-8</v>
      </c>
      <c r="C354" s="226">
        <f t="shared" si="62"/>
        <v>1</v>
      </c>
      <c r="D354" s="226" t="s">
        <v>13</v>
      </c>
      <c r="E354" s="226" t="s">
        <v>81</v>
      </c>
      <c r="F354" s="226" t="s">
        <v>98</v>
      </c>
      <c r="G354" s="226">
        <f t="shared" si="63"/>
        <v>8</v>
      </c>
      <c r="H354" s="226" t="s">
        <v>16</v>
      </c>
      <c r="I354" s="227" t="s">
        <v>28</v>
      </c>
      <c r="J354" s="226" t="s">
        <v>29</v>
      </c>
      <c r="K354" s="226" t="s">
        <v>19</v>
      </c>
      <c r="L354" s="226">
        <v>1</v>
      </c>
      <c r="M354" s="228" t="str">
        <f t="shared" si="60"/>
        <v>A1638150HY</v>
      </c>
      <c r="N354" s="229">
        <v>1</v>
      </c>
      <c r="O354" s="229"/>
    </row>
    <row r="355" spans="1:15" x14ac:dyDescent="0.2">
      <c r="A355" s="226">
        <v>354</v>
      </c>
      <c r="B355" s="226" t="str">
        <f t="shared" si="61"/>
        <v>SISTEMATANK SIZE 180LFK-5-1-121-9</v>
      </c>
      <c r="C355" s="226">
        <f t="shared" si="62"/>
        <v>1</v>
      </c>
      <c r="D355" s="226" t="s">
        <v>13</v>
      </c>
      <c r="E355" s="226" t="s">
        <v>81</v>
      </c>
      <c r="F355" s="226" t="s">
        <v>98</v>
      </c>
      <c r="G355" s="226">
        <f t="shared" si="63"/>
        <v>9</v>
      </c>
      <c r="H355" s="226" t="s">
        <v>16</v>
      </c>
      <c r="I355" s="227" t="s">
        <v>62</v>
      </c>
      <c r="J355" s="226" t="s">
        <v>63</v>
      </c>
      <c r="K355" s="226" t="s">
        <v>19</v>
      </c>
      <c r="L355" s="226">
        <v>2</v>
      </c>
      <c r="M355" s="228" t="str">
        <f t="shared" si="60"/>
        <v>570092-R2</v>
      </c>
      <c r="N355" s="229">
        <v>1</v>
      </c>
      <c r="O355" s="229"/>
    </row>
    <row r="356" spans="1:15" x14ac:dyDescent="0.2">
      <c r="A356" s="226">
        <v>355</v>
      </c>
      <c r="B356" s="226" t="str">
        <f t="shared" si="61"/>
        <v>SISTEMATANK SIZE 180LFK-5-1-121-10</v>
      </c>
      <c r="C356" s="226">
        <f t="shared" si="62"/>
        <v>1</v>
      </c>
      <c r="D356" s="226" t="s">
        <v>13</v>
      </c>
      <c r="E356" s="226" t="s">
        <v>81</v>
      </c>
      <c r="F356" s="226" t="s">
        <v>98</v>
      </c>
      <c r="G356" s="226">
        <f t="shared" si="63"/>
        <v>10</v>
      </c>
      <c r="H356" s="226" t="s">
        <v>16</v>
      </c>
      <c r="I356" s="227" t="s">
        <v>32</v>
      </c>
      <c r="J356" s="226" t="s">
        <v>33</v>
      </c>
      <c r="K356" s="226" t="s">
        <v>19</v>
      </c>
      <c r="L356" s="230">
        <f>'COT AGENTES'!$M$11</f>
        <v>1</v>
      </c>
      <c r="M356" s="228" t="s">
        <v>85</v>
      </c>
      <c r="N356" s="229">
        <v>1</v>
      </c>
      <c r="O356" s="229"/>
    </row>
    <row r="357" spans="1:15" x14ac:dyDescent="0.2">
      <c r="A357" s="226">
        <v>356</v>
      </c>
      <c r="B357" s="226" t="str">
        <f t="shared" si="61"/>
        <v>SISTEMATANK SIZE 180LFK-5-1-121-11</v>
      </c>
      <c r="C357" s="226">
        <f t="shared" si="62"/>
        <v>1</v>
      </c>
      <c r="D357" s="226" t="s">
        <v>13</v>
      </c>
      <c r="E357" s="226" t="s">
        <v>81</v>
      </c>
      <c r="F357" s="226" t="s">
        <v>98</v>
      </c>
      <c r="G357" s="226">
        <f t="shared" si="63"/>
        <v>11</v>
      </c>
      <c r="H357" s="226" t="s">
        <v>16</v>
      </c>
      <c r="I357" s="227" t="s">
        <v>103</v>
      </c>
      <c r="J357" s="226" t="s">
        <v>104</v>
      </c>
      <c r="K357" s="226" t="s">
        <v>19</v>
      </c>
      <c r="L357" s="226">
        <v>1</v>
      </c>
      <c r="M357" s="228" t="str">
        <f t="shared" si="60"/>
        <v>314207101-R2</v>
      </c>
      <c r="N357" s="229">
        <v>1</v>
      </c>
      <c r="O357" s="229"/>
    </row>
    <row r="358" spans="1:15" x14ac:dyDescent="0.2">
      <c r="A358" s="226">
        <v>357</v>
      </c>
      <c r="B358" s="226" t="str">
        <f t="shared" si="61"/>
        <v>SISTEMATANK SIZE 180LFK-5-1-121-12</v>
      </c>
      <c r="C358" s="226">
        <f t="shared" si="62"/>
        <v>1</v>
      </c>
      <c r="D358" s="226" t="s">
        <v>13</v>
      </c>
      <c r="E358" s="226" t="s">
        <v>81</v>
      </c>
      <c r="F358" s="226" t="s">
        <v>98</v>
      </c>
      <c r="G358" s="226">
        <f t="shared" si="63"/>
        <v>12</v>
      </c>
      <c r="H358" s="226" t="s">
        <v>16</v>
      </c>
      <c r="I358" s="227" t="s">
        <v>105</v>
      </c>
      <c r="J358" s="226" t="s">
        <v>106</v>
      </c>
      <c r="K358" s="226" t="s">
        <v>19</v>
      </c>
      <c r="L358" s="226">
        <v>1</v>
      </c>
      <c r="M358" s="228" t="str">
        <f t="shared" si="60"/>
        <v>314207103-R2</v>
      </c>
      <c r="N358" s="229">
        <v>1</v>
      </c>
      <c r="O358" s="229"/>
    </row>
    <row r="359" spans="1:15" x14ac:dyDescent="0.2">
      <c r="A359" s="226">
        <v>358</v>
      </c>
      <c r="B359" s="226" t="str">
        <f t="shared" si="61"/>
        <v>SISTEMATANK SIZE 180LFK-5-1-121-13</v>
      </c>
      <c r="C359" s="226">
        <f t="shared" si="62"/>
        <v>1</v>
      </c>
      <c r="D359" s="226" t="s">
        <v>13</v>
      </c>
      <c r="E359" s="226" t="s">
        <v>81</v>
      </c>
      <c r="F359" s="226" t="s">
        <v>98</v>
      </c>
      <c r="G359" s="226">
        <f t="shared" si="63"/>
        <v>13</v>
      </c>
      <c r="H359" s="226" t="s">
        <v>16</v>
      </c>
      <c r="I359" s="227">
        <v>570558</v>
      </c>
      <c r="J359" s="226" t="s">
        <v>65</v>
      </c>
      <c r="K359" s="226" t="s">
        <v>19</v>
      </c>
      <c r="L359" s="226">
        <f>L348</f>
        <v>1</v>
      </c>
      <c r="M359" s="228">
        <f t="shared" si="60"/>
        <v>570558</v>
      </c>
      <c r="N359" s="229">
        <v>1</v>
      </c>
      <c r="O359" s="229"/>
    </row>
    <row r="360" spans="1:15" x14ac:dyDescent="0.2">
      <c r="A360" s="226">
        <v>359</v>
      </c>
      <c r="B360" s="226" t="str">
        <f t="shared" si="61"/>
        <v>SISTEMATANK SIZE 180LFK-5-1-121-14</v>
      </c>
      <c r="C360" s="226">
        <f>C354</f>
        <v>1</v>
      </c>
      <c r="D360" s="226" t="s">
        <v>13</v>
      </c>
      <c r="E360" s="226" t="s">
        <v>81</v>
      </c>
      <c r="F360" s="226" t="s">
        <v>98</v>
      </c>
      <c r="G360" s="226">
        <f t="shared" si="63"/>
        <v>14</v>
      </c>
      <c r="M360" s="228">
        <f t="shared" si="60"/>
        <v>0</v>
      </c>
      <c r="N360" s="229">
        <v>1</v>
      </c>
      <c r="O360" s="229"/>
    </row>
    <row r="361" spans="1:15" x14ac:dyDescent="0.2">
      <c r="A361" s="226">
        <v>360</v>
      </c>
      <c r="B361" s="226" t="str">
        <f t="shared" si="61"/>
        <v>SISTEMATANK SIZE 180LFK-5-1-121-15</v>
      </c>
      <c r="C361" s="226">
        <f t="shared" si="62"/>
        <v>1</v>
      </c>
      <c r="D361" s="226" t="s">
        <v>13</v>
      </c>
      <c r="E361" s="226" t="s">
        <v>81</v>
      </c>
      <c r="F361" s="226" t="s">
        <v>98</v>
      </c>
      <c r="G361" s="226">
        <f t="shared" si="63"/>
        <v>15</v>
      </c>
      <c r="H361" s="226" t="s">
        <v>16</v>
      </c>
      <c r="I361" s="227">
        <v>437900</v>
      </c>
      <c r="J361" s="226" t="s">
        <v>40</v>
      </c>
      <c r="K361" s="226" t="s">
        <v>19</v>
      </c>
      <c r="L361" s="226">
        <v>1</v>
      </c>
      <c r="M361" s="228">
        <f t="shared" si="60"/>
        <v>437900</v>
      </c>
      <c r="N361" s="229">
        <v>1</v>
      </c>
      <c r="O361" s="229"/>
    </row>
    <row r="362" spans="1:15" x14ac:dyDescent="0.2">
      <c r="A362" s="226">
        <v>361</v>
      </c>
      <c r="B362" s="226" t="str">
        <f t="shared" si="61"/>
        <v>SISTEMATANK SIZE 180LFK-5-1-121-16</v>
      </c>
      <c r="C362" s="226">
        <f t="shared" si="62"/>
        <v>1</v>
      </c>
      <c r="D362" s="226" t="s">
        <v>13</v>
      </c>
      <c r="E362" s="226" t="s">
        <v>81</v>
      </c>
      <c r="F362" s="226" t="s">
        <v>98</v>
      </c>
      <c r="G362" s="226">
        <f t="shared" si="63"/>
        <v>16</v>
      </c>
      <c r="H362" s="226" t="s">
        <v>16</v>
      </c>
      <c r="I362" s="227">
        <v>415142</v>
      </c>
      <c r="J362" s="226" t="s">
        <v>66</v>
      </c>
      <c r="K362" s="226" t="s">
        <v>19</v>
      </c>
      <c r="L362" s="226">
        <v>1</v>
      </c>
      <c r="M362" s="228">
        <f t="shared" si="60"/>
        <v>415142</v>
      </c>
      <c r="N362" s="229">
        <v>1</v>
      </c>
      <c r="O362" s="229"/>
    </row>
    <row r="363" spans="1:15" x14ac:dyDescent="0.2">
      <c r="A363" s="226">
        <v>362</v>
      </c>
      <c r="B363" s="226" t="str">
        <f t="shared" si="61"/>
        <v>SISTEMATANK SIZE 180LFK-5-1-121-17</v>
      </c>
      <c r="C363" s="226">
        <f t="shared" si="62"/>
        <v>1</v>
      </c>
      <c r="D363" s="226" t="s">
        <v>13</v>
      </c>
      <c r="E363" s="226" t="s">
        <v>81</v>
      </c>
      <c r="F363" s="226" t="s">
        <v>98</v>
      </c>
      <c r="G363" s="226">
        <f t="shared" si="63"/>
        <v>17</v>
      </c>
      <c r="H363" s="226" t="s">
        <v>16</v>
      </c>
      <c r="I363" s="227">
        <v>32338</v>
      </c>
      <c r="J363" s="226" t="s">
        <v>42</v>
      </c>
      <c r="K363" s="226" t="s">
        <v>19</v>
      </c>
      <c r="L363" s="226">
        <v>1</v>
      </c>
      <c r="M363" s="228">
        <f t="shared" si="60"/>
        <v>32338</v>
      </c>
      <c r="N363" s="229">
        <v>1</v>
      </c>
      <c r="O363" s="229"/>
    </row>
    <row r="364" spans="1:15" x14ac:dyDescent="0.2">
      <c r="A364" s="226">
        <v>363</v>
      </c>
      <c r="B364" s="226" t="str">
        <f t="shared" si="61"/>
        <v>-</v>
      </c>
      <c r="M364" s="228">
        <f t="shared" si="60"/>
        <v>0</v>
      </c>
      <c r="N364" s="229">
        <v>1</v>
      </c>
      <c r="O364" s="229"/>
    </row>
    <row r="365" spans="1:15" x14ac:dyDescent="0.2">
      <c r="A365" s="226">
        <v>364</v>
      </c>
      <c r="B365" s="226" t="str">
        <f t="shared" si="61"/>
        <v>OPCIONALTANK SIZE 180LFK-5-1-121-1</v>
      </c>
      <c r="C365" s="226">
        <f>C359</f>
        <v>1</v>
      </c>
      <c r="D365" s="226" t="s">
        <v>43</v>
      </c>
      <c r="E365" s="226" t="s">
        <v>81</v>
      </c>
      <c r="F365" s="226" t="s">
        <v>98</v>
      </c>
      <c r="G365" s="226">
        <v>1</v>
      </c>
      <c r="H365" s="226" t="s">
        <v>16</v>
      </c>
      <c r="I365" s="227" t="s">
        <v>67</v>
      </c>
      <c r="J365" s="226" t="s">
        <v>68</v>
      </c>
      <c r="K365" s="226" t="s">
        <v>19</v>
      </c>
      <c r="L365" s="226">
        <f>L348</f>
        <v>1</v>
      </c>
      <c r="M365" s="228" t="str">
        <f t="shared" si="60"/>
        <v>570538-R2</v>
      </c>
      <c r="N365" s="229">
        <v>1</v>
      </c>
      <c r="O365" s="229"/>
    </row>
    <row r="366" spans="1:15" x14ac:dyDescent="0.2">
      <c r="A366" s="226">
        <v>365</v>
      </c>
      <c r="B366" s="226" t="str">
        <f t="shared" si="61"/>
        <v>OPCIONALTANK SIZE 180LFK-5-1-121-2</v>
      </c>
      <c r="C366" s="226">
        <f t="shared" si="62"/>
        <v>1</v>
      </c>
      <c r="D366" s="226" t="s">
        <v>43</v>
      </c>
      <c r="E366" s="226" t="s">
        <v>81</v>
      </c>
      <c r="F366" s="226" t="s">
        <v>98</v>
      </c>
      <c r="G366" s="226">
        <f t="shared" si="63"/>
        <v>2</v>
      </c>
      <c r="H366" s="226" t="s">
        <v>16</v>
      </c>
      <c r="I366" s="227">
        <v>437900</v>
      </c>
      <c r="J366" s="226" t="s">
        <v>40</v>
      </c>
      <c r="K366" s="226" t="s">
        <v>19</v>
      </c>
      <c r="L366" s="226">
        <v>1</v>
      </c>
      <c r="M366" s="228">
        <f t="shared" si="60"/>
        <v>437900</v>
      </c>
      <c r="N366" s="229">
        <v>1</v>
      </c>
      <c r="O366" s="229"/>
    </row>
    <row r="367" spans="1:15" x14ac:dyDescent="0.2">
      <c r="A367" s="226">
        <v>366</v>
      </c>
      <c r="B367" s="226" t="str">
        <f t="shared" si="61"/>
        <v>OPCIONALTANK SIZE 180LFK-5-1-121-3</v>
      </c>
      <c r="C367" s="226">
        <f t="shared" si="62"/>
        <v>1</v>
      </c>
      <c r="D367" s="226" t="s">
        <v>43</v>
      </c>
      <c r="E367" s="226" t="s">
        <v>81</v>
      </c>
      <c r="F367" s="226" t="s">
        <v>98</v>
      </c>
      <c r="G367" s="226">
        <f t="shared" si="63"/>
        <v>3</v>
      </c>
      <c r="H367" s="226" t="s">
        <v>16</v>
      </c>
      <c r="I367" s="227">
        <v>415142</v>
      </c>
      <c r="J367" s="226" t="s">
        <v>66</v>
      </c>
      <c r="K367" s="226" t="s">
        <v>19</v>
      </c>
      <c r="L367" s="226">
        <v>1</v>
      </c>
      <c r="M367" s="228">
        <f t="shared" si="60"/>
        <v>415142</v>
      </c>
      <c r="N367" s="229">
        <v>1</v>
      </c>
      <c r="O367" s="229"/>
    </row>
    <row r="368" spans="1:15" x14ac:dyDescent="0.2">
      <c r="A368" s="226">
        <v>367</v>
      </c>
      <c r="B368" s="226" t="str">
        <f t="shared" si="61"/>
        <v>OPCIONALTANK SIZE 180LFK-5-1-121-4</v>
      </c>
      <c r="C368" s="226">
        <f t="shared" si="62"/>
        <v>1</v>
      </c>
      <c r="D368" s="226" t="s">
        <v>43</v>
      </c>
      <c r="E368" s="226" t="s">
        <v>81</v>
      </c>
      <c r="F368" s="226" t="s">
        <v>98</v>
      </c>
      <c r="G368" s="226">
        <f t="shared" si="63"/>
        <v>4</v>
      </c>
      <c r="H368" s="226" t="s">
        <v>16</v>
      </c>
      <c r="I368" s="227">
        <v>32338</v>
      </c>
      <c r="J368" s="226" t="s">
        <v>42</v>
      </c>
      <c r="K368" s="226" t="s">
        <v>19</v>
      </c>
      <c r="L368" s="226">
        <v>1</v>
      </c>
      <c r="M368" s="228">
        <f t="shared" si="60"/>
        <v>32338</v>
      </c>
      <c r="N368" s="229">
        <v>1</v>
      </c>
      <c r="O368" s="229"/>
    </row>
    <row r="369" spans="1:15" x14ac:dyDescent="0.2">
      <c r="A369" s="226">
        <v>368</v>
      </c>
      <c r="B369" s="226" t="str">
        <f t="shared" si="61"/>
        <v>OPCIONALTANK SIZE 180LFK-5-1-121-5</v>
      </c>
      <c r="C369" s="226">
        <f t="shared" si="62"/>
        <v>1</v>
      </c>
      <c r="D369" s="226" t="s">
        <v>43</v>
      </c>
      <c r="E369" s="226" t="s">
        <v>81</v>
      </c>
      <c r="F369" s="226" t="s">
        <v>98</v>
      </c>
      <c r="G369" s="226">
        <f t="shared" si="63"/>
        <v>5</v>
      </c>
      <c r="H369" s="226" t="s">
        <v>16</v>
      </c>
      <c r="I369" s="227">
        <v>76498</v>
      </c>
      <c r="J369" s="226" t="s">
        <v>46</v>
      </c>
      <c r="K369" s="226" t="s">
        <v>19</v>
      </c>
      <c r="L369" s="226">
        <v>1</v>
      </c>
      <c r="M369" s="228">
        <f t="shared" si="60"/>
        <v>76498</v>
      </c>
      <c r="N369" s="229">
        <v>1</v>
      </c>
      <c r="O369" s="229"/>
    </row>
    <row r="370" spans="1:15" x14ac:dyDescent="0.2">
      <c r="A370" s="226">
        <v>369</v>
      </c>
      <c r="B370" s="226" t="str">
        <f t="shared" si="61"/>
        <v>OPCIONALTANK SIZE 180LFK-5-1-121-6</v>
      </c>
      <c r="C370" s="226">
        <f t="shared" si="62"/>
        <v>1</v>
      </c>
      <c r="D370" s="226" t="s">
        <v>43</v>
      </c>
      <c r="E370" s="226" t="s">
        <v>81</v>
      </c>
      <c r="F370" s="226" t="s">
        <v>98</v>
      </c>
      <c r="G370" s="226">
        <f t="shared" si="63"/>
        <v>6</v>
      </c>
      <c r="H370" s="226" t="s">
        <v>16</v>
      </c>
      <c r="I370" s="227">
        <v>570589</v>
      </c>
      <c r="J370" s="226" t="s">
        <v>114</v>
      </c>
      <c r="K370" s="226" t="s">
        <v>19</v>
      </c>
      <c r="L370" s="226">
        <v>1</v>
      </c>
      <c r="M370" s="228">
        <f t="shared" si="60"/>
        <v>570589</v>
      </c>
      <c r="N370" s="229">
        <v>1</v>
      </c>
      <c r="O370" s="229"/>
    </row>
    <row r="371" spans="1:15" x14ac:dyDescent="0.2">
      <c r="A371" s="226">
        <v>370</v>
      </c>
      <c r="B371" s="226" t="str">
        <f t="shared" si="61"/>
        <v>-</v>
      </c>
      <c r="M371" s="228">
        <f t="shared" si="60"/>
        <v>0</v>
      </c>
      <c r="N371" s="229">
        <v>1</v>
      </c>
      <c r="O371" s="229"/>
    </row>
    <row r="372" spans="1:15" x14ac:dyDescent="0.2">
      <c r="A372" s="226">
        <v>371</v>
      </c>
      <c r="B372" s="226" t="str">
        <f t="shared" si="61"/>
        <v>SISTEMATANK SIZE 343LFK-5-1-121-1</v>
      </c>
      <c r="C372" s="226">
        <f>L372</f>
        <v>1</v>
      </c>
      <c r="D372" s="226" t="s">
        <v>13</v>
      </c>
      <c r="E372" s="226" t="s">
        <v>86</v>
      </c>
      <c r="F372" s="226" t="s">
        <v>98</v>
      </c>
      <c r="G372" s="226">
        <v>1</v>
      </c>
      <c r="H372" s="226" t="s">
        <v>16</v>
      </c>
      <c r="I372" s="227" t="s">
        <v>17</v>
      </c>
      <c r="J372" s="226" t="s">
        <v>87</v>
      </c>
      <c r="K372" s="226" t="s">
        <v>19</v>
      </c>
      <c r="L372" s="226">
        <v>1</v>
      </c>
      <c r="M372" s="228" t="s">
        <v>88</v>
      </c>
      <c r="N372" s="229">
        <v>1</v>
      </c>
      <c r="O372" s="229"/>
    </row>
    <row r="373" spans="1:15" x14ac:dyDescent="0.2">
      <c r="A373" s="226">
        <v>372</v>
      </c>
      <c r="B373" s="226" t="str">
        <f t="shared" si="61"/>
        <v>SISTEMATANK SIZE 343LFK-5-1-121-2</v>
      </c>
      <c r="C373" s="226">
        <f t="shared" ref="C373:C394" si="64">C372</f>
        <v>1</v>
      </c>
      <c r="D373" s="226" t="s">
        <v>13</v>
      </c>
      <c r="E373" s="226" t="s">
        <v>86</v>
      </c>
      <c r="F373" s="226" t="s">
        <v>98</v>
      </c>
      <c r="G373" s="226">
        <f t="shared" ref="G373:G397" si="65">+G372+1</f>
        <v>2</v>
      </c>
      <c r="H373" s="226" t="s">
        <v>16</v>
      </c>
      <c r="I373" s="227">
        <v>445739</v>
      </c>
      <c r="J373" s="226" t="s">
        <v>115</v>
      </c>
      <c r="K373" s="226" t="s">
        <v>19</v>
      </c>
      <c r="L373" s="226">
        <v>1</v>
      </c>
      <c r="M373" s="228">
        <f t="shared" si="60"/>
        <v>445739</v>
      </c>
      <c r="N373" s="229">
        <v>1</v>
      </c>
      <c r="O373" s="229"/>
    </row>
    <row r="374" spans="1:15" x14ac:dyDescent="0.2">
      <c r="A374" s="226">
        <v>373</v>
      </c>
      <c r="B374" s="226" t="str">
        <f t="shared" si="61"/>
        <v>SISTEMATANK SIZE 343LFK-5-1-121-3</v>
      </c>
      <c r="C374" s="226">
        <f t="shared" si="64"/>
        <v>1</v>
      </c>
      <c r="D374" s="226" t="s">
        <v>13</v>
      </c>
      <c r="E374" s="226" t="s">
        <v>86</v>
      </c>
      <c r="F374" s="226" t="s">
        <v>98</v>
      </c>
      <c r="G374" s="226">
        <f t="shared" si="65"/>
        <v>3</v>
      </c>
      <c r="H374" s="226" t="s">
        <v>16</v>
      </c>
      <c r="I374" s="227" t="s">
        <v>98</v>
      </c>
      <c r="J374" s="226" t="s">
        <v>100</v>
      </c>
      <c r="K374" s="226" t="s">
        <v>19</v>
      </c>
      <c r="L374" s="230">
        <f>'COT AGENTES'!$H$5</f>
        <v>2</v>
      </c>
      <c r="M374" s="228" t="str">
        <f t="shared" si="60"/>
        <v>FK-5-1-12</v>
      </c>
      <c r="N374" s="229">
        <v>1</v>
      </c>
      <c r="O374" s="229"/>
    </row>
    <row r="375" spans="1:15" x14ac:dyDescent="0.2">
      <c r="A375" s="226">
        <v>374</v>
      </c>
      <c r="B375" s="226" t="str">
        <f t="shared" si="61"/>
        <v>SISTEMATANK SIZE 343LFK-5-1-121-4</v>
      </c>
      <c r="C375" s="226">
        <f t="shared" si="64"/>
        <v>1</v>
      </c>
      <c r="D375" s="226" t="s">
        <v>13</v>
      </c>
      <c r="E375" s="226" t="s">
        <v>86</v>
      </c>
      <c r="F375" s="226" t="s">
        <v>98</v>
      </c>
      <c r="G375" s="226">
        <f t="shared" si="65"/>
        <v>4</v>
      </c>
      <c r="H375" s="226" t="s">
        <v>16</v>
      </c>
      <c r="I375" s="227">
        <v>302207021</v>
      </c>
      <c r="J375" s="226" t="s">
        <v>101</v>
      </c>
      <c r="K375" s="226" t="s">
        <v>19</v>
      </c>
      <c r="L375" s="226">
        <v>1</v>
      </c>
      <c r="M375" s="228">
        <f t="shared" si="60"/>
        <v>302207021</v>
      </c>
      <c r="N375" s="229">
        <v>1</v>
      </c>
      <c r="O375" s="229"/>
    </row>
    <row r="376" spans="1:15" x14ac:dyDescent="0.2">
      <c r="A376" s="226">
        <v>375</v>
      </c>
      <c r="B376" s="226" t="str">
        <f t="shared" si="61"/>
        <v>SISTEMATANK SIZE 343LFK-5-1-121-5</v>
      </c>
      <c r="C376" s="226">
        <f t="shared" si="64"/>
        <v>1</v>
      </c>
      <c r="D376" s="226" t="s">
        <v>13</v>
      </c>
      <c r="E376" s="226" t="s">
        <v>86</v>
      </c>
      <c r="F376" s="226" t="s">
        <v>98</v>
      </c>
      <c r="G376" s="226">
        <f t="shared" si="65"/>
        <v>5</v>
      </c>
      <c r="H376" s="226" t="s">
        <v>16</v>
      </c>
      <c r="I376" s="227">
        <v>314207329</v>
      </c>
      <c r="J376" s="226" t="s">
        <v>109</v>
      </c>
      <c r="K376" s="226" t="s">
        <v>19</v>
      </c>
      <c r="L376" s="226">
        <v>1</v>
      </c>
      <c r="M376" s="228">
        <f t="shared" si="60"/>
        <v>314207329</v>
      </c>
      <c r="N376" s="229">
        <v>1</v>
      </c>
      <c r="O376" s="229"/>
    </row>
    <row r="377" spans="1:15" x14ac:dyDescent="0.2">
      <c r="A377" s="226">
        <v>376</v>
      </c>
      <c r="B377" s="226" t="str">
        <f t="shared" si="61"/>
        <v>SISTEMATANK SIZE 343LFK-5-1-121-6</v>
      </c>
      <c r="C377" s="226">
        <f t="shared" si="64"/>
        <v>1</v>
      </c>
      <c r="D377" s="226" t="s">
        <v>13</v>
      </c>
      <c r="E377" s="226" t="s">
        <v>86</v>
      </c>
      <c r="F377" s="226" t="s">
        <v>98</v>
      </c>
      <c r="G377" s="226">
        <f t="shared" si="65"/>
        <v>6</v>
      </c>
      <c r="H377" s="226" t="s">
        <v>16</v>
      </c>
      <c r="I377" s="227">
        <v>570585</v>
      </c>
      <c r="J377" s="226" t="s">
        <v>26</v>
      </c>
      <c r="K377" s="226" t="s">
        <v>19</v>
      </c>
      <c r="L377" s="226">
        <v>1</v>
      </c>
      <c r="M377" s="228">
        <f t="shared" si="60"/>
        <v>570585</v>
      </c>
      <c r="N377" s="229">
        <v>1</v>
      </c>
      <c r="O377" s="229"/>
    </row>
    <row r="378" spans="1:15" x14ac:dyDescent="0.2">
      <c r="A378" s="226">
        <v>377</v>
      </c>
      <c r="B378" s="226" t="str">
        <f t="shared" si="61"/>
        <v>SISTEMATANK SIZE 343LFK-5-1-121-7</v>
      </c>
      <c r="C378" s="226">
        <f t="shared" si="64"/>
        <v>1</v>
      </c>
      <c r="D378" s="226" t="s">
        <v>13</v>
      </c>
      <c r="E378" s="226" t="s">
        <v>86</v>
      </c>
      <c r="F378" s="226" t="s">
        <v>98</v>
      </c>
      <c r="G378" s="226">
        <f t="shared" si="65"/>
        <v>7</v>
      </c>
      <c r="H378" s="226" t="s">
        <v>16</v>
      </c>
      <c r="I378" s="227">
        <v>304205030</v>
      </c>
      <c r="J378" s="226" t="s">
        <v>27</v>
      </c>
      <c r="K378" s="226" t="s">
        <v>19</v>
      </c>
      <c r="L378" s="226">
        <v>1</v>
      </c>
      <c r="M378" s="228">
        <f t="shared" si="60"/>
        <v>304205030</v>
      </c>
      <c r="N378" s="229">
        <v>1</v>
      </c>
      <c r="O378" s="229"/>
    </row>
    <row r="379" spans="1:15" x14ac:dyDescent="0.2">
      <c r="A379" s="226">
        <v>378</v>
      </c>
      <c r="B379" s="226" t="str">
        <f t="shared" si="61"/>
        <v>SISTEMATANK SIZE 343LFK-5-1-121-8</v>
      </c>
      <c r="C379" s="226">
        <f t="shared" si="64"/>
        <v>1</v>
      </c>
      <c r="D379" s="226" t="s">
        <v>13</v>
      </c>
      <c r="E379" s="226" t="s">
        <v>86</v>
      </c>
      <c r="F379" s="226" t="s">
        <v>98</v>
      </c>
      <c r="G379" s="226">
        <f t="shared" si="65"/>
        <v>8</v>
      </c>
      <c r="H379" s="226" t="s">
        <v>16</v>
      </c>
      <c r="I379" s="227" t="s">
        <v>28</v>
      </c>
      <c r="J379" s="226" t="s">
        <v>29</v>
      </c>
      <c r="K379" s="226" t="s">
        <v>19</v>
      </c>
      <c r="L379" s="226">
        <v>1</v>
      </c>
      <c r="M379" s="228" t="str">
        <f t="shared" si="60"/>
        <v>A1638150HY</v>
      </c>
      <c r="N379" s="229">
        <v>1</v>
      </c>
      <c r="O379" s="229"/>
    </row>
    <row r="380" spans="1:15" x14ac:dyDescent="0.2">
      <c r="A380" s="226">
        <v>379</v>
      </c>
      <c r="B380" s="226" t="str">
        <f t="shared" si="61"/>
        <v>SISTEMATANK SIZE 343LFK-5-1-121-9</v>
      </c>
      <c r="C380" s="226">
        <f t="shared" si="64"/>
        <v>1</v>
      </c>
      <c r="D380" s="226" t="s">
        <v>13</v>
      </c>
      <c r="E380" s="226" t="s">
        <v>86</v>
      </c>
      <c r="F380" s="226" t="s">
        <v>98</v>
      </c>
      <c r="G380" s="226">
        <f t="shared" si="65"/>
        <v>9</v>
      </c>
      <c r="H380" s="226" t="s">
        <v>16</v>
      </c>
      <c r="I380" s="227" t="s">
        <v>90</v>
      </c>
      <c r="J380" s="226" t="s">
        <v>91</v>
      </c>
      <c r="K380" s="226" t="s">
        <v>19</v>
      </c>
      <c r="L380" s="226">
        <f>2*L372</f>
        <v>2</v>
      </c>
      <c r="M380" s="228" t="str">
        <f t="shared" si="60"/>
        <v>570336-R2</v>
      </c>
      <c r="N380" s="229">
        <v>1</v>
      </c>
      <c r="O380" s="229"/>
    </row>
    <row r="381" spans="1:15" x14ac:dyDescent="0.2">
      <c r="A381" s="226">
        <v>380</v>
      </c>
      <c r="B381" s="226" t="str">
        <f t="shared" si="61"/>
        <v>SISTEMATANK SIZE 343LFK-5-1-121-10</v>
      </c>
      <c r="C381" s="226">
        <f t="shared" si="64"/>
        <v>1</v>
      </c>
      <c r="D381" s="226" t="s">
        <v>13</v>
      </c>
      <c r="E381" s="226" t="s">
        <v>86</v>
      </c>
      <c r="F381" s="226" t="s">
        <v>98</v>
      </c>
      <c r="G381" s="226">
        <f t="shared" si="65"/>
        <v>10</v>
      </c>
      <c r="H381" s="226" t="s">
        <v>16</v>
      </c>
      <c r="I381" s="227" t="s">
        <v>32</v>
      </c>
      <c r="J381" s="226" t="s">
        <v>33</v>
      </c>
      <c r="K381" s="226" t="s">
        <v>19</v>
      </c>
      <c r="L381" s="230">
        <f>'COT AGENTES'!$M$11</f>
        <v>1</v>
      </c>
      <c r="M381" s="228" t="s">
        <v>92</v>
      </c>
      <c r="N381" s="229">
        <v>1</v>
      </c>
      <c r="O381" s="229"/>
    </row>
    <row r="382" spans="1:15" x14ac:dyDescent="0.2">
      <c r="A382" s="226">
        <v>381</v>
      </c>
      <c r="B382" s="226" t="str">
        <f t="shared" si="61"/>
        <v>SISTEMATANK SIZE 343LFK-5-1-121-11</v>
      </c>
      <c r="C382" s="226">
        <f t="shared" si="64"/>
        <v>1</v>
      </c>
      <c r="D382" s="226" t="s">
        <v>13</v>
      </c>
      <c r="E382" s="226" t="s">
        <v>86</v>
      </c>
      <c r="F382" s="226" t="s">
        <v>98</v>
      </c>
      <c r="G382" s="226">
        <f t="shared" si="65"/>
        <v>11</v>
      </c>
      <c r="H382" s="226" t="s">
        <v>16</v>
      </c>
      <c r="I382" s="227" t="s">
        <v>103</v>
      </c>
      <c r="J382" s="226" t="s">
        <v>104</v>
      </c>
      <c r="K382" s="226" t="s">
        <v>19</v>
      </c>
      <c r="L382" s="226">
        <v>1</v>
      </c>
      <c r="M382" s="228" t="str">
        <f t="shared" si="60"/>
        <v>314207101-R2</v>
      </c>
      <c r="N382" s="229">
        <v>1</v>
      </c>
      <c r="O382" s="229"/>
    </row>
    <row r="383" spans="1:15" x14ac:dyDescent="0.2">
      <c r="A383" s="226">
        <v>382</v>
      </c>
      <c r="B383" s="226" t="str">
        <f t="shared" si="61"/>
        <v>SISTEMATANK SIZE 343LFK-5-1-121-12</v>
      </c>
      <c r="C383" s="226">
        <f t="shared" si="64"/>
        <v>1</v>
      </c>
      <c r="D383" s="226" t="s">
        <v>13</v>
      </c>
      <c r="E383" s="226" t="s">
        <v>86</v>
      </c>
      <c r="F383" s="226" t="s">
        <v>98</v>
      </c>
      <c r="G383" s="226">
        <f t="shared" si="65"/>
        <v>12</v>
      </c>
      <c r="H383" s="226" t="s">
        <v>16</v>
      </c>
      <c r="I383" s="227" t="s">
        <v>105</v>
      </c>
      <c r="J383" s="226" t="s">
        <v>106</v>
      </c>
      <c r="K383" s="226" t="s">
        <v>19</v>
      </c>
      <c r="L383" s="226">
        <v>1</v>
      </c>
      <c r="M383" s="228" t="str">
        <f t="shared" si="60"/>
        <v>314207103-R2</v>
      </c>
      <c r="N383" s="229">
        <v>1</v>
      </c>
      <c r="O383" s="229"/>
    </row>
    <row r="384" spans="1:15" x14ac:dyDescent="0.2">
      <c r="A384" s="226">
        <v>383</v>
      </c>
      <c r="B384" s="226" t="str">
        <f t="shared" si="61"/>
        <v>SISTEMATANK SIZE 343LFK-5-1-121-13</v>
      </c>
      <c r="C384" s="226">
        <f t="shared" si="64"/>
        <v>1</v>
      </c>
      <c r="D384" s="226" t="s">
        <v>13</v>
      </c>
      <c r="E384" s="226" t="s">
        <v>86</v>
      </c>
      <c r="F384" s="226" t="s">
        <v>98</v>
      </c>
      <c r="G384" s="226">
        <f t="shared" si="65"/>
        <v>13</v>
      </c>
      <c r="H384" s="226" t="s">
        <v>16</v>
      </c>
      <c r="I384" s="227">
        <v>69471</v>
      </c>
      <c r="J384" s="226" t="s">
        <v>93</v>
      </c>
      <c r="K384" s="226" t="s">
        <v>19</v>
      </c>
      <c r="L384" s="226">
        <f>L373</f>
        <v>1</v>
      </c>
      <c r="M384" s="228">
        <f t="shared" si="60"/>
        <v>69471</v>
      </c>
      <c r="N384" s="229">
        <v>1</v>
      </c>
      <c r="O384" s="229"/>
    </row>
    <row r="385" spans="1:15" x14ac:dyDescent="0.2">
      <c r="A385" s="226">
        <v>384</v>
      </c>
      <c r="B385" s="226" t="str">
        <f t="shared" si="61"/>
        <v>SISTEMATANK SIZE 343LFK-5-1-121-14</v>
      </c>
      <c r="C385" s="226">
        <f t="shared" si="64"/>
        <v>1</v>
      </c>
      <c r="D385" s="226" t="s">
        <v>13</v>
      </c>
      <c r="E385" s="226" t="s">
        <v>86</v>
      </c>
      <c r="F385" s="226" t="s">
        <v>98</v>
      </c>
      <c r="G385" s="226">
        <f t="shared" si="65"/>
        <v>14</v>
      </c>
      <c r="M385" s="228">
        <f t="shared" si="60"/>
        <v>0</v>
      </c>
      <c r="N385" s="229">
        <v>1</v>
      </c>
      <c r="O385" s="229"/>
    </row>
    <row r="386" spans="1:15" x14ac:dyDescent="0.2">
      <c r="A386" s="226">
        <v>385</v>
      </c>
      <c r="B386" s="226" t="str">
        <f t="shared" si="61"/>
        <v>SISTEMATANK SIZE 343LFK-5-1-121-15</v>
      </c>
      <c r="C386" s="226">
        <f t="shared" si="64"/>
        <v>1</v>
      </c>
      <c r="D386" s="226" t="s">
        <v>13</v>
      </c>
      <c r="E386" s="226" t="s">
        <v>86</v>
      </c>
      <c r="F386" s="226" t="s">
        <v>98</v>
      </c>
      <c r="G386" s="226">
        <f t="shared" si="65"/>
        <v>15</v>
      </c>
      <c r="H386" s="226" t="s">
        <v>16</v>
      </c>
      <c r="I386" s="227">
        <v>437900</v>
      </c>
      <c r="J386" s="226" t="s">
        <v>40</v>
      </c>
      <c r="K386" s="226" t="s">
        <v>19</v>
      </c>
      <c r="L386" s="226">
        <v>1</v>
      </c>
      <c r="M386" s="228">
        <f t="shared" si="60"/>
        <v>437900</v>
      </c>
      <c r="N386" s="229">
        <v>1</v>
      </c>
      <c r="O386" s="229"/>
    </row>
    <row r="387" spans="1:15" x14ac:dyDescent="0.2">
      <c r="A387" s="226">
        <v>386</v>
      </c>
      <c r="B387" s="226" t="str">
        <f t="shared" si="61"/>
        <v>SISTEMATANK SIZE 343LFK-5-1-121-16</v>
      </c>
      <c r="C387" s="226">
        <f t="shared" si="64"/>
        <v>1</v>
      </c>
      <c r="D387" s="226" t="s">
        <v>13</v>
      </c>
      <c r="E387" s="226" t="s">
        <v>86</v>
      </c>
      <c r="F387" s="226" t="s">
        <v>98</v>
      </c>
      <c r="G387" s="226">
        <f t="shared" si="65"/>
        <v>16</v>
      </c>
      <c r="H387" s="226" t="s">
        <v>16</v>
      </c>
      <c r="I387" s="227">
        <v>430815</v>
      </c>
      <c r="J387" s="226" t="s">
        <v>94</v>
      </c>
      <c r="K387" s="226" t="s">
        <v>19</v>
      </c>
      <c r="L387" s="226">
        <v>1</v>
      </c>
      <c r="M387" s="228">
        <f t="shared" si="60"/>
        <v>430815</v>
      </c>
      <c r="N387" s="229">
        <v>1</v>
      </c>
      <c r="O387" s="229"/>
    </row>
    <row r="388" spans="1:15" x14ac:dyDescent="0.2">
      <c r="A388" s="226">
        <v>387</v>
      </c>
      <c r="B388" s="226" t="str">
        <f t="shared" si="61"/>
        <v>SISTEMATANK SIZE 343LFK-5-1-121-17</v>
      </c>
      <c r="C388" s="226">
        <f t="shared" si="64"/>
        <v>1</v>
      </c>
      <c r="D388" s="226" t="s">
        <v>13</v>
      </c>
      <c r="E388" s="226" t="s">
        <v>86</v>
      </c>
      <c r="F388" s="226" t="s">
        <v>98</v>
      </c>
      <c r="G388" s="226">
        <f t="shared" si="65"/>
        <v>17</v>
      </c>
      <c r="H388" s="226" t="s">
        <v>16</v>
      </c>
      <c r="I388" s="227">
        <v>32338</v>
      </c>
      <c r="J388" s="226" t="s">
        <v>42</v>
      </c>
      <c r="K388" s="226" t="s">
        <v>19</v>
      </c>
      <c r="L388" s="226">
        <v>1</v>
      </c>
      <c r="M388" s="228">
        <f t="shared" ref="M388:M450" si="66">I388</f>
        <v>32338</v>
      </c>
      <c r="N388" s="229">
        <v>1</v>
      </c>
      <c r="O388" s="229"/>
    </row>
    <row r="389" spans="1:15" x14ac:dyDescent="0.2">
      <c r="A389" s="226">
        <v>388</v>
      </c>
      <c r="B389" s="226" t="str">
        <f t="shared" si="61"/>
        <v>-</v>
      </c>
      <c r="M389" s="228">
        <f t="shared" si="66"/>
        <v>0</v>
      </c>
      <c r="N389" s="229">
        <v>1</v>
      </c>
      <c r="O389" s="229"/>
    </row>
    <row r="390" spans="1:15" x14ac:dyDescent="0.2">
      <c r="A390" s="226">
        <v>389</v>
      </c>
      <c r="B390" s="226" t="str">
        <f t="shared" ref="B390:B456" si="67">D390&amp;E390&amp;F390&amp;C390&amp;"-"&amp;G390&amp;IF(M390&lt;&gt;"",O390,"")</f>
        <v>OPCIONALTANK SIZE 343LFK-5-1-121-1</v>
      </c>
      <c r="C390" s="226">
        <f>'COT AGENTES'!H3</f>
        <v>1</v>
      </c>
      <c r="D390" s="226" t="s">
        <v>43</v>
      </c>
      <c r="E390" s="226" t="s">
        <v>86</v>
      </c>
      <c r="F390" s="226" t="s">
        <v>98</v>
      </c>
      <c r="G390" s="226">
        <v>1</v>
      </c>
      <c r="H390" s="226" t="s">
        <v>16</v>
      </c>
      <c r="I390" s="227">
        <v>437900</v>
      </c>
      <c r="J390" s="226" t="s">
        <v>40</v>
      </c>
      <c r="K390" s="226" t="s">
        <v>19</v>
      </c>
      <c r="L390" s="226">
        <v>1</v>
      </c>
      <c r="M390" s="228">
        <f t="shared" si="66"/>
        <v>437900</v>
      </c>
      <c r="N390" s="229">
        <v>1</v>
      </c>
      <c r="O390" s="229"/>
    </row>
    <row r="391" spans="1:15" x14ac:dyDescent="0.2">
      <c r="A391" s="226">
        <v>390</v>
      </c>
      <c r="B391" s="226" t="str">
        <f t="shared" si="67"/>
        <v>OPCIONALTANK SIZE 343LFK-5-1-121-2</v>
      </c>
      <c r="C391" s="226">
        <f t="shared" si="64"/>
        <v>1</v>
      </c>
      <c r="D391" s="226" t="s">
        <v>43</v>
      </c>
      <c r="E391" s="226" t="s">
        <v>86</v>
      </c>
      <c r="F391" s="226" t="s">
        <v>98</v>
      </c>
      <c r="G391" s="226">
        <f t="shared" si="65"/>
        <v>2</v>
      </c>
      <c r="H391" s="226" t="s">
        <v>16</v>
      </c>
      <c r="I391" s="227">
        <v>430815</v>
      </c>
      <c r="J391" s="226" t="s">
        <v>94</v>
      </c>
      <c r="K391" s="226" t="s">
        <v>19</v>
      </c>
      <c r="L391" s="226">
        <v>1</v>
      </c>
      <c r="M391" s="228">
        <f t="shared" si="66"/>
        <v>430815</v>
      </c>
      <c r="N391" s="229">
        <v>1</v>
      </c>
      <c r="O391" s="229"/>
    </row>
    <row r="392" spans="1:15" x14ac:dyDescent="0.2">
      <c r="A392" s="226">
        <v>391</v>
      </c>
      <c r="B392" s="226" t="str">
        <f t="shared" si="67"/>
        <v>OPCIONALTANK SIZE 343LFK-5-1-121-3</v>
      </c>
      <c r="C392" s="226">
        <f t="shared" si="64"/>
        <v>1</v>
      </c>
      <c r="D392" s="226" t="s">
        <v>43</v>
      </c>
      <c r="E392" s="226" t="s">
        <v>86</v>
      </c>
      <c r="F392" s="226" t="s">
        <v>98</v>
      </c>
      <c r="G392" s="226">
        <f t="shared" si="65"/>
        <v>3</v>
      </c>
      <c r="H392" s="226" t="s">
        <v>16</v>
      </c>
      <c r="I392" s="227">
        <v>32338</v>
      </c>
      <c r="J392" s="226" t="s">
        <v>42</v>
      </c>
      <c r="K392" s="226" t="s">
        <v>19</v>
      </c>
      <c r="L392" s="226">
        <v>1</v>
      </c>
      <c r="M392" s="228">
        <f t="shared" si="66"/>
        <v>32338</v>
      </c>
      <c r="N392" s="229">
        <v>1</v>
      </c>
      <c r="O392" s="229"/>
    </row>
    <row r="393" spans="1:15" x14ac:dyDescent="0.2">
      <c r="A393" s="226">
        <v>392</v>
      </c>
      <c r="B393" s="226" t="str">
        <f t="shared" si="67"/>
        <v>OPCIONALTANK SIZE 343LFK-5-1-121-4</v>
      </c>
      <c r="C393" s="226">
        <f t="shared" si="64"/>
        <v>1</v>
      </c>
      <c r="D393" s="226" t="s">
        <v>43</v>
      </c>
      <c r="E393" s="226" t="s">
        <v>86</v>
      </c>
      <c r="F393" s="226" t="s">
        <v>98</v>
      </c>
      <c r="G393" s="226">
        <f t="shared" si="65"/>
        <v>4</v>
      </c>
      <c r="H393" s="226" t="s">
        <v>16</v>
      </c>
      <c r="I393" s="227">
        <v>76498</v>
      </c>
      <c r="J393" s="226" t="s">
        <v>46</v>
      </c>
      <c r="K393" s="226" t="s">
        <v>19</v>
      </c>
      <c r="L393" s="226">
        <v>1</v>
      </c>
      <c r="M393" s="228">
        <f t="shared" si="66"/>
        <v>76498</v>
      </c>
      <c r="N393" s="229">
        <v>1</v>
      </c>
      <c r="O393" s="229"/>
    </row>
    <row r="394" spans="1:15" x14ac:dyDescent="0.2">
      <c r="A394" s="226">
        <v>393</v>
      </c>
      <c r="B394" s="226" t="str">
        <f t="shared" si="67"/>
        <v>OPCIONALTANK SIZE 343LFK-5-1-121-5</v>
      </c>
      <c r="C394" s="226">
        <f t="shared" si="64"/>
        <v>1</v>
      </c>
      <c r="D394" s="226" t="s">
        <v>43</v>
      </c>
      <c r="E394" s="226" t="s">
        <v>86</v>
      </c>
      <c r="F394" s="226" t="s">
        <v>98</v>
      </c>
      <c r="G394" s="226">
        <f t="shared" si="65"/>
        <v>5</v>
      </c>
      <c r="H394" s="226" t="s">
        <v>16</v>
      </c>
      <c r="I394" s="227">
        <v>570278</v>
      </c>
      <c r="J394" s="226" t="s">
        <v>80</v>
      </c>
      <c r="K394" s="226" t="s">
        <v>19</v>
      </c>
      <c r="L394" s="226">
        <v>1</v>
      </c>
      <c r="M394" s="228">
        <f t="shared" si="66"/>
        <v>570278</v>
      </c>
      <c r="N394" s="229">
        <v>1</v>
      </c>
      <c r="O394" s="229"/>
    </row>
    <row r="395" spans="1:15" x14ac:dyDescent="0.2">
      <c r="A395" s="226">
        <v>394</v>
      </c>
      <c r="B395" s="226" t="str">
        <f t="shared" si="67"/>
        <v>OPCIONALTANK SIZE 343LFK-5-1-121-6</v>
      </c>
      <c r="C395" s="226">
        <f>C392</f>
        <v>1</v>
      </c>
      <c r="D395" s="226" t="s">
        <v>43</v>
      </c>
      <c r="E395" s="226" t="s">
        <v>86</v>
      </c>
      <c r="F395" s="226" t="s">
        <v>98</v>
      </c>
      <c r="G395" s="226">
        <f t="shared" si="65"/>
        <v>6</v>
      </c>
      <c r="H395" s="226" t="s">
        <v>16</v>
      </c>
      <c r="I395" s="227">
        <v>452162</v>
      </c>
      <c r="J395" s="226" t="s">
        <v>95</v>
      </c>
      <c r="K395" s="226" t="s">
        <v>19</v>
      </c>
      <c r="L395" s="226">
        <v>1</v>
      </c>
      <c r="M395" s="228">
        <f t="shared" si="66"/>
        <v>452162</v>
      </c>
      <c r="N395" s="229">
        <v>1</v>
      </c>
      <c r="O395" s="229"/>
    </row>
    <row r="396" spans="1:15" x14ac:dyDescent="0.2">
      <c r="A396" s="226">
        <v>395</v>
      </c>
      <c r="B396" s="226" t="str">
        <f t="shared" si="67"/>
        <v>OPCIONALTANK SIZE 343LFK-5-1-121-7</v>
      </c>
      <c r="C396" s="226">
        <f>C392</f>
        <v>1</v>
      </c>
      <c r="D396" s="226" t="s">
        <v>43</v>
      </c>
      <c r="E396" s="226" t="s">
        <v>86</v>
      </c>
      <c r="F396" s="226" t="s">
        <v>98</v>
      </c>
      <c r="G396" s="226">
        <f t="shared" si="65"/>
        <v>7</v>
      </c>
      <c r="H396" s="226" t="s">
        <v>16</v>
      </c>
      <c r="I396" s="227">
        <v>69990</v>
      </c>
      <c r="J396" s="226" t="s">
        <v>96</v>
      </c>
      <c r="K396" s="226" t="s">
        <v>19</v>
      </c>
      <c r="L396" s="226">
        <v>1</v>
      </c>
      <c r="M396" s="228">
        <f t="shared" si="66"/>
        <v>69990</v>
      </c>
      <c r="N396" s="229">
        <v>1</v>
      </c>
      <c r="O396" s="229"/>
    </row>
    <row r="397" spans="1:15" x14ac:dyDescent="0.2">
      <c r="A397" s="226">
        <v>396</v>
      </c>
      <c r="B397" s="226" t="str">
        <f t="shared" si="67"/>
        <v>OPCIONALTANK SIZE 343LFK-5-1-121-8</v>
      </c>
      <c r="C397" s="226">
        <f>C393</f>
        <v>1</v>
      </c>
      <c r="D397" s="226" t="s">
        <v>43</v>
      </c>
      <c r="E397" s="226" t="s">
        <v>86</v>
      </c>
      <c r="F397" s="226" t="s">
        <v>98</v>
      </c>
      <c r="G397" s="226">
        <f t="shared" si="65"/>
        <v>8</v>
      </c>
      <c r="H397" s="226" t="s">
        <v>16</v>
      </c>
      <c r="I397" s="227">
        <v>69841</v>
      </c>
      <c r="J397" s="226" t="s">
        <v>97</v>
      </c>
      <c r="K397" s="226" t="s">
        <v>19</v>
      </c>
      <c r="L397" s="226">
        <v>1</v>
      </c>
      <c r="M397" s="228">
        <f t="shared" si="66"/>
        <v>69841</v>
      </c>
      <c r="N397" s="229">
        <v>1</v>
      </c>
      <c r="O397" s="229"/>
    </row>
    <row r="398" spans="1:15" x14ac:dyDescent="0.2">
      <c r="A398" s="226">
        <v>397</v>
      </c>
      <c r="B398" s="226" t="str">
        <f t="shared" si="67"/>
        <v>-</v>
      </c>
      <c r="M398" s="228">
        <f t="shared" si="66"/>
        <v>0</v>
      </c>
      <c r="N398" s="229">
        <v>1</v>
      </c>
      <c r="O398" s="229"/>
    </row>
    <row r="399" spans="1:15" x14ac:dyDescent="0.2">
      <c r="A399" s="226">
        <v>398</v>
      </c>
      <c r="B399" s="226" t="str">
        <f t="shared" si="67"/>
        <v>RESERVATANK SIZE 8LFM-2001-1</v>
      </c>
      <c r="C399" s="226">
        <f>L399</f>
        <v>1</v>
      </c>
      <c r="D399" s="226" t="s">
        <v>116</v>
      </c>
      <c r="E399" s="226" t="s">
        <v>14</v>
      </c>
      <c r="F399" s="226" t="s">
        <v>15</v>
      </c>
      <c r="G399" s="226">
        <v>1</v>
      </c>
      <c r="H399" s="226" t="s">
        <v>16</v>
      </c>
      <c r="I399" s="227" t="s">
        <v>17</v>
      </c>
      <c r="J399" s="226" t="s">
        <v>18</v>
      </c>
      <c r="K399" s="226" t="s">
        <v>19</v>
      </c>
      <c r="L399" s="226">
        <v>1</v>
      </c>
      <c r="M399" s="228" t="s">
        <v>20</v>
      </c>
      <c r="N399" s="229">
        <v>1</v>
      </c>
      <c r="O399" s="229"/>
    </row>
    <row r="400" spans="1:15" x14ac:dyDescent="0.2">
      <c r="A400" s="226">
        <v>399</v>
      </c>
      <c r="B400" s="226" t="str">
        <f t="shared" si="67"/>
        <v>RESERVATANK SIZE 8LFM-2001-2</v>
      </c>
      <c r="C400" s="226">
        <f>C399</f>
        <v>1</v>
      </c>
      <c r="D400" s="226" t="s">
        <v>116</v>
      </c>
      <c r="E400" s="226" t="s">
        <v>14</v>
      </c>
      <c r="F400" s="226" t="s">
        <v>15</v>
      </c>
      <c r="G400" s="226">
        <f>+G399+1</f>
        <v>2</v>
      </c>
      <c r="H400" s="226" t="s">
        <v>16</v>
      </c>
      <c r="I400" s="227">
        <v>445732</v>
      </c>
      <c r="J400" s="226" t="s">
        <v>21</v>
      </c>
      <c r="K400" s="226" t="s">
        <v>19</v>
      </c>
      <c r="L400" s="226">
        <v>1</v>
      </c>
      <c r="M400" s="228">
        <f t="shared" si="66"/>
        <v>445732</v>
      </c>
      <c r="N400" s="229">
        <v>1</v>
      </c>
      <c r="O400" s="229"/>
    </row>
    <row r="401" spans="1:15" x14ac:dyDescent="0.2">
      <c r="A401" s="226">
        <v>400</v>
      </c>
      <c r="B401" s="226" t="str">
        <f t="shared" si="67"/>
        <v>RESERVATANK SIZE 8LFM-2001-3</v>
      </c>
      <c r="C401" s="226">
        <f>C400</f>
        <v>1</v>
      </c>
      <c r="D401" s="226" t="s">
        <v>116</v>
      </c>
      <c r="E401" s="226" t="s">
        <v>14</v>
      </c>
      <c r="F401" s="226" t="s">
        <v>15</v>
      </c>
      <c r="G401" s="226">
        <f t="shared" ref="G401:G404" si="68">+G400+1</f>
        <v>3</v>
      </c>
      <c r="H401" s="226" t="s">
        <v>16</v>
      </c>
      <c r="I401" s="227" t="s">
        <v>22</v>
      </c>
      <c r="J401" s="226" t="s">
        <v>23</v>
      </c>
      <c r="K401" s="226" t="s">
        <v>19</v>
      </c>
      <c r="L401" s="230">
        <f>'COT AGENTES'!$H$5</f>
        <v>2</v>
      </c>
      <c r="M401" s="228">
        <v>453646</v>
      </c>
      <c r="N401" s="229">
        <v>1</v>
      </c>
      <c r="O401" s="229"/>
    </row>
    <row r="402" spans="1:15" x14ac:dyDescent="0.2">
      <c r="A402" s="226">
        <v>401</v>
      </c>
      <c r="B402" s="226" t="str">
        <f t="shared" si="67"/>
        <v>RESERVATANK SIZE 8LFM-2001-4</v>
      </c>
      <c r="C402" s="226">
        <f>C401</f>
        <v>1</v>
      </c>
      <c r="D402" s="226" t="s">
        <v>116</v>
      </c>
      <c r="E402" s="226" t="s">
        <v>14</v>
      </c>
      <c r="F402" s="226" t="s">
        <v>15</v>
      </c>
      <c r="G402" s="226">
        <f t="shared" si="68"/>
        <v>4</v>
      </c>
      <c r="H402" s="226" t="s">
        <v>16</v>
      </c>
      <c r="I402" s="227">
        <v>570055</v>
      </c>
      <c r="J402" s="226" t="s">
        <v>24</v>
      </c>
      <c r="K402" s="226" t="s">
        <v>19</v>
      </c>
      <c r="L402" s="226">
        <v>1</v>
      </c>
      <c r="M402" s="228">
        <f t="shared" si="66"/>
        <v>570055</v>
      </c>
      <c r="N402" s="229">
        <v>1</v>
      </c>
      <c r="O402" s="229"/>
    </row>
    <row r="403" spans="1:15" x14ac:dyDescent="0.2">
      <c r="A403" s="226">
        <v>402</v>
      </c>
      <c r="B403" s="226" t="str">
        <f t="shared" si="67"/>
        <v>RESERVATANK SIZE 8LFM-2001-5</v>
      </c>
      <c r="C403" s="226">
        <f>C402</f>
        <v>1</v>
      </c>
      <c r="D403" s="226" t="s">
        <v>116</v>
      </c>
      <c r="E403" s="226" t="s">
        <v>14</v>
      </c>
      <c r="F403" s="226" t="s">
        <v>15</v>
      </c>
      <c r="G403" s="226">
        <f t="shared" si="68"/>
        <v>5</v>
      </c>
      <c r="H403" s="226" t="s">
        <v>16</v>
      </c>
      <c r="I403" s="227">
        <v>314205321</v>
      </c>
      <c r="J403" s="226" t="s">
        <v>25</v>
      </c>
      <c r="K403" s="226" t="s">
        <v>19</v>
      </c>
      <c r="L403" s="226">
        <v>1</v>
      </c>
      <c r="M403" s="228">
        <f t="shared" si="66"/>
        <v>314205321</v>
      </c>
      <c r="N403" s="229">
        <v>1</v>
      </c>
      <c r="O403" s="229"/>
    </row>
    <row r="404" spans="1:15" x14ac:dyDescent="0.2">
      <c r="A404" s="226">
        <v>403</v>
      </c>
      <c r="B404" s="226" t="str">
        <f t="shared" si="67"/>
        <v>RESERVATANK SIZE 8LFM-2001-6</v>
      </c>
      <c r="C404" s="226">
        <f>C403</f>
        <v>1</v>
      </c>
      <c r="D404" s="226" t="s">
        <v>116</v>
      </c>
      <c r="E404" s="226" t="s">
        <v>14</v>
      </c>
      <c r="F404" s="226" t="s">
        <v>15</v>
      </c>
      <c r="G404" s="226">
        <f t="shared" si="68"/>
        <v>6</v>
      </c>
      <c r="H404" s="226" t="s">
        <v>16</v>
      </c>
      <c r="I404" s="227">
        <v>570585</v>
      </c>
      <c r="J404" s="226" t="s">
        <v>26</v>
      </c>
      <c r="K404" s="226" t="s">
        <v>19</v>
      </c>
      <c r="L404" s="226">
        <v>1</v>
      </c>
      <c r="M404" s="228">
        <f t="shared" si="66"/>
        <v>570585</v>
      </c>
      <c r="N404" s="229">
        <v>1</v>
      </c>
      <c r="O404" s="229"/>
    </row>
    <row r="405" spans="1:15" x14ac:dyDescent="0.2">
      <c r="A405" s="226">
        <v>404</v>
      </c>
      <c r="B405" s="226" t="str">
        <f t="shared" si="67"/>
        <v>-</v>
      </c>
      <c r="M405" s="228">
        <f t="shared" si="66"/>
        <v>0</v>
      </c>
      <c r="N405" s="229">
        <v>1</v>
      </c>
      <c r="O405" s="229"/>
    </row>
    <row r="406" spans="1:15" x14ac:dyDescent="0.2">
      <c r="A406" s="226">
        <v>405</v>
      </c>
      <c r="B406" s="226" t="str">
        <f t="shared" si="67"/>
        <v>RESERVATANK SIZE 16LFM-2001-1</v>
      </c>
      <c r="C406" s="226">
        <f>L406</f>
        <v>1</v>
      </c>
      <c r="D406" s="226" t="s">
        <v>116</v>
      </c>
      <c r="E406" s="226" t="s">
        <v>47</v>
      </c>
      <c r="F406" s="226" t="s">
        <v>15</v>
      </c>
      <c r="G406" s="226">
        <v>1</v>
      </c>
      <c r="H406" s="226" t="s">
        <v>16</v>
      </c>
      <c r="I406" s="227" t="s">
        <v>17</v>
      </c>
      <c r="J406" s="226" t="s">
        <v>48</v>
      </c>
      <c r="K406" s="226" t="s">
        <v>19</v>
      </c>
      <c r="L406" s="226">
        <v>1</v>
      </c>
      <c r="M406" s="228" t="s">
        <v>49</v>
      </c>
      <c r="N406" s="229">
        <v>1</v>
      </c>
      <c r="O406" s="229"/>
    </row>
    <row r="407" spans="1:15" x14ac:dyDescent="0.2">
      <c r="A407" s="226">
        <v>406</v>
      </c>
      <c r="B407" s="226" t="str">
        <f t="shared" si="67"/>
        <v>RESERVATANK SIZE 16LFM-2001-2</v>
      </c>
      <c r="C407" s="226">
        <f>C406</f>
        <v>1</v>
      </c>
      <c r="D407" s="226" t="s">
        <v>116</v>
      </c>
      <c r="E407" s="226" t="s">
        <v>47</v>
      </c>
      <c r="F407" s="226" t="s">
        <v>15</v>
      </c>
      <c r="G407" s="226">
        <f>+G406+1</f>
        <v>2</v>
      </c>
      <c r="H407" s="226" t="s">
        <v>16</v>
      </c>
      <c r="I407" s="227">
        <v>445733</v>
      </c>
      <c r="J407" s="226" t="s">
        <v>50</v>
      </c>
      <c r="K407" s="226" t="s">
        <v>19</v>
      </c>
      <c r="L407" s="226">
        <v>1</v>
      </c>
      <c r="M407" s="228">
        <f t="shared" si="66"/>
        <v>445733</v>
      </c>
      <c r="N407" s="229">
        <v>1</v>
      </c>
      <c r="O407" s="229"/>
    </row>
    <row r="408" spans="1:15" x14ac:dyDescent="0.2">
      <c r="A408" s="226">
        <v>407</v>
      </c>
      <c r="B408" s="226" t="str">
        <f t="shared" si="67"/>
        <v>RESERVATANK SIZE 16LFM-2001-3</v>
      </c>
      <c r="C408" s="226">
        <f>C407</f>
        <v>1</v>
      </c>
      <c r="D408" s="226" t="s">
        <v>116</v>
      </c>
      <c r="E408" s="226" t="s">
        <v>47</v>
      </c>
      <c r="F408" s="226" t="s">
        <v>15</v>
      </c>
      <c r="G408" s="226">
        <f t="shared" ref="G408:G411" si="69">+G407+1</f>
        <v>3</v>
      </c>
      <c r="H408" s="226" t="s">
        <v>16</v>
      </c>
      <c r="I408" s="227" t="s">
        <v>22</v>
      </c>
      <c r="J408" s="226" t="s">
        <v>23</v>
      </c>
      <c r="K408" s="226" t="s">
        <v>19</v>
      </c>
      <c r="L408" s="230">
        <f>'COT AGENTES'!$H$5</f>
        <v>2</v>
      </c>
      <c r="M408" s="228">
        <v>453646</v>
      </c>
      <c r="N408" s="229">
        <v>1</v>
      </c>
      <c r="O408" s="229"/>
    </row>
    <row r="409" spans="1:15" x14ac:dyDescent="0.2">
      <c r="A409" s="226">
        <v>408</v>
      </c>
      <c r="B409" s="226" t="str">
        <f t="shared" si="67"/>
        <v>RESERVATANK SIZE 16LFM-2001-4</v>
      </c>
      <c r="C409" s="226">
        <f>C408</f>
        <v>1</v>
      </c>
      <c r="D409" s="226" t="s">
        <v>116</v>
      </c>
      <c r="E409" s="226" t="s">
        <v>47</v>
      </c>
      <c r="F409" s="226" t="s">
        <v>15</v>
      </c>
      <c r="G409" s="226">
        <f t="shared" si="69"/>
        <v>4</v>
      </c>
      <c r="H409" s="226" t="s">
        <v>16</v>
      </c>
      <c r="I409" s="227">
        <v>570055</v>
      </c>
      <c r="J409" s="226" t="s">
        <v>24</v>
      </c>
      <c r="K409" s="226" t="s">
        <v>19</v>
      </c>
      <c r="L409" s="226">
        <v>1</v>
      </c>
      <c r="M409" s="228">
        <f t="shared" si="66"/>
        <v>570055</v>
      </c>
      <c r="N409" s="229">
        <v>1</v>
      </c>
      <c r="O409" s="229"/>
    </row>
    <row r="410" spans="1:15" x14ac:dyDescent="0.2">
      <c r="A410" s="226">
        <v>409</v>
      </c>
      <c r="B410" s="226" t="str">
        <f t="shared" si="67"/>
        <v>RESERVATANK SIZE 16LFM-2001-5</v>
      </c>
      <c r="C410" s="226">
        <f>C409</f>
        <v>1</v>
      </c>
      <c r="D410" s="226" t="s">
        <v>116</v>
      </c>
      <c r="E410" s="226" t="s">
        <v>47</v>
      </c>
      <c r="F410" s="226" t="s">
        <v>15</v>
      </c>
      <c r="G410" s="226">
        <f t="shared" si="69"/>
        <v>5</v>
      </c>
      <c r="H410" s="226" t="s">
        <v>16</v>
      </c>
      <c r="I410" s="227">
        <v>314205321</v>
      </c>
      <c r="J410" s="226" t="s">
        <v>25</v>
      </c>
      <c r="K410" s="226" t="s">
        <v>19</v>
      </c>
      <c r="L410" s="226">
        <v>1</v>
      </c>
      <c r="M410" s="228">
        <f t="shared" si="66"/>
        <v>314205321</v>
      </c>
      <c r="N410" s="229">
        <v>1</v>
      </c>
      <c r="O410" s="229"/>
    </row>
    <row r="411" spans="1:15" x14ac:dyDescent="0.2">
      <c r="A411" s="226">
        <v>410</v>
      </c>
      <c r="B411" s="226" t="str">
        <f t="shared" si="67"/>
        <v>RESERVATANK SIZE 16LFM-2001-6</v>
      </c>
      <c r="C411" s="226">
        <f>C410</f>
        <v>1</v>
      </c>
      <c r="D411" s="226" t="s">
        <v>116</v>
      </c>
      <c r="E411" s="226" t="s">
        <v>47</v>
      </c>
      <c r="F411" s="226" t="s">
        <v>15</v>
      </c>
      <c r="G411" s="226">
        <f t="shared" si="69"/>
        <v>6</v>
      </c>
      <c r="H411" s="226" t="s">
        <v>16</v>
      </c>
      <c r="I411" s="227">
        <v>570585</v>
      </c>
      <c r="J411" s="226" t="s">
        <v>26</v>
      </c>
      <c r="K411" s="226" t="s">
        <v>19</v>
      </c>
      <c r="L411" s="226">
        <v>1</v>
      </c>
      <c r="M411" s="228">
        <f t="shared" si="66"/>
        <v>570585</v>
      </c>
      <c r="N411" s="229">
        <v>1</v>
      </c>
      <c r="O411" s="229"/>
    </row>
    <row r="412" spans="1:15" x14ac:dyDescent="0.2">
      <c r="A412" s="226">
        <v>411</v>
      </c>
      <c r="B412" s="226" t="str">
        <f t="shared" si="67"/>
        <v>-</v>
      </c>
      <c r="M412" s="228">
        <f t="shared" si="66"/>
        <v>0</v>
      </c>
      <c r="N412" s="229">
        <v>1</v>
      </c>
      <c r="O412" s="229"/>
    </row>
    <row r="413" spans="1:15" x14ac:dyDescent="0.2">
      <c r="A413" s="226">
        <v>412</v>
      </c>
      <c r="B413" s="226" t="str">
        <f t="shared" si="67"/>
        <v>RESERVATANK SIZE 32LFM-2001-1</v>
      </c>
      <c r="C413" s="226">
        <f>L413</f>
        <v>1</v>
      </c>
      <c r="D413" s="226" t="s">
        <v>116</v>
      </c>
      <c r="E413" s="226" t="s">
        <v>52</v>
      </c>
      <c r="F413" s="226" t="s">
        <v>15</v>
      </c>
      <c r="G413" s="226">
        <v>1</v>
      </c>
      <c r="H413" s="226" t="s">
        <v>16</v>
      </c>
      <c r="I413" s="227" t="s">
        <v>17</v>
      </c>
      <c r="J413" s="226" t="s">
        <v>53</v>
      </c>
      <c r="K413" s="226" t="s">
        <v>19</v>
      </c>
      <c r="L413" s="226">
        <v>1</v>
      </c>
      <c r="M413" s="228" t="s">
        <v>54</v>
      </c>
      <c r="N413" s="229">
        <v>1</v>
      </c>
      <c r="O413" s="229"/>
    </row>
    <row r="414" spans="1:15" x14ac:dyDescent="0.2">
      <c r="A414" s="226">
        <v>413</v>
      </c>
      <c r="B414" s="226" t="str">
        <f t="shared" si="67"/>
        <v>RESERVATANK SIZE 32LFM-2001-2</v>
      </c>
      <c r="C414" s="226">
        <f>C413</f>
        <v>1</v>
      </c>
      <c r="D414" s="226" t="s">
        <v>116</v>
      </c>
      <c r="E414" s="226" t="s">
        <v>52</v>
      </c>
      <c r="F414" s="226" t="s">
        <v>15</v>
      </c>
      <c r="G414" s="226">
        <f>+G413+1</f>
        <v>2</v>
      </c>
      <c r="H414" s="226" t="s">
        <v>16</v>
      </c>
      <c r="I414" s="227">
        <v>445734</v>
      </c>
      <c r="J414" s="226" t="s">
        <v>55</v>
      </c>
      <c r="K414" s="226" t="s">
        <v>19</v>
      </c>
      <c r="L414" s="226">
        <v>1</v>
      </c>
      <c r="M414" s="228">
        <f t="shared" si="66"/>
        <v>445734</v>
      </c>
      <c r="N414" s="229">
        <v>1</v>
      </c>
      <c r="O414" s="229"/>
    </row>
    <row r="415" spans="1:15" x14ac:dyDescent="0.2">
      <c r="A415" s="226">
        <v>414</v>
      </c>
      <c r="B415" s="226" t="str">
        <f t="shared" si="67"/>
        <v>RESERVATANK SIZE 32LFM-2001-3</v>
      </c>
      <c r="C415" s="226">
        <f>C414</f>
        <v>1</v>
      </c>
      <c r="D415" s="226" t="s">
        <v>116</v>
      </c>
      <c r="E415" s="226" t="s">
        <v>52</v>
      </c>
      <c r="F415" s="226" t="s">
        <v>15</v>
      </c>
      <c r="G415" s="226">
        <f t="shared" ref="G415:G418" si="70">+G414+1</f>
        <v>3</v>
      </c>
      <c r="H415" s="226" t="s">
        <v>16</v>
      </c>
      <c r="I415" s="227" t="s">
        <v>22</v>
      </c>
      <c r="J415" s="226" t="s">
        <v>23</v>
      </c>
      <c r="K415" s="226" t="s">
        <v>19</v>
      </c>
      <c r="L415" s="230">
        <f>'COT AGENTES'!$H$5</f>
        <v>2</v>
      </c>
      <c r="M415" s="228">
        <v>453646</v>
      </c>
      <c r="N415" s="229">
        <v>1</v>
      </c>
      <c r="O415" s="229"/>
    </row>
    <row r="416" spans="1:15" x14ac:dyDescent="0.2">
      <c r="A416" s="226">
        <v>415</v>
      </c>
      <c r="B416" s="226" t="str">
        <f t="shared" si="67"/>
        <v>RESERVATANK SIZE 32LFM-2001-4</v>
      </c>
      <c r="C416" s="226">
        <f>C415</f>
        <v>1</v>
      </c>
      <c r="D416" s="226" t="s">
        <v>116</v>
      </c>
      <c r="E416" s="226" t="s">
        <v>52</v>
      </c>
      <c r="F416" s="226" t="s">
        <v>15</v>
      </c>
      <c r="G416" s="226">
        <f t="shared" si="70"/>
        <v>4</v>
      </c>
      <c r="H416" s="226" t="s">
        <v>16</v>
      </c>
      <c r="I416" s="227">
        <v>570055</v>
      </c>
      <c r="J416" s="226" t="s">
        <v>24</v>
      </c>
      <c r="K416" s="226" t="s">
        <v>19</v>
      </c>
      <c r="L416" s="226">
        <v>1</v>
      </c>
      <c r="M416" s="228">
        <f t="shared" si="66"/>
        <v>570055</v>
      </c>
      <c r="N416" s="229">
        <v>1</v>
      </c>
      <c r="O416" s="229"/>
    </row>
    <row r="417" spans="1:15" x14ac:dyDescent="0.2">
      <c r="A417" s="226">
        <v>416</v>
      </c>
      <c r="B417" s="226" t="str">
        <f t="shared" si="67"/>
        <v>RESERVATANK SIZE 32LFM-2001-5</v>
      </c>
      <c r="C417" s="226">
        <f>C416</f>
        <v>1</v>
      </c>
      <c r="D417" s="226" t="s">
        <v>116</v>
      </c>
      <c r="E417" s="226" t="s">
        <v>52</v>
      </c>
      <c r="F417" s="226" t="s">
        <v>15</v>
      </c>
      <c r="G417" s="226">
        <f t="shared" si="70"/>
        <v>5</v>
      </c>
      <c r="H417" s="226" t="s">
        <v>16</v>
      </c>
      <c r="I417" s="227">
        <v>314205314</v>
      </c>
      <c r="J417" s="226" t="s">
        <v>56</v>
      </c>
      <c r="K417" s="226" t="s">
        <v>19</v>
      </c>
      <c r="L417" s="226">
        <v>1</v>
      </c>
      <c r="M417" s="228">
        <f t="shared" si="66"/>
        <v>314205314</v>
      </c>
      <c r="N417" s="229">
        <v>1</v>
      </c>
      <c r="O417" s="229"/>
    </row>
    <row r="418" spans="1:15" x14ac:dyDescent="0.2">
      <c r="A418" s="226">
        <v>417</v>
      </c>
      <c r="B418" s="226" t="str">
        <f t="shared" si="67"/>
        <v>RESERVATANK SIZE 32LFM-2001-6</v>
      </c>
      <c r="C418" s="226">
        <f>C417</f>
        <v>1</v>
      </c>
      <c r="D418" s="226" t="s">
        <v>116</v>
      </c>
      <c r="E418" s="226" t="s">
        <v>52</v>
      </c>
      <c r="F418" s="226" t="s">
        <v>15</v>
      </c>
      <c r="G418" s="226">
        <f t="shared" si="70"/>
        <v>6</v>
      </c>
      <c r="H418" s="226" t="s">
        <v>16</v>
      </c>
      <c r="I418" s="227">
        <v>570585</v>
      </c>
      <c r="J418" s="226" t="s">
        <v>26</v>
      </c>
      <c r="K418" s="226" t="s">
        <v>19</v>
      </c>
      <c r="L418" s="226">
        <v>1</v>
      </c>
      <c r="M418" s="228">
        <f t="shared" si="66"/>
        <v>570585</v>
      </c>
      <c r="N418" s="229">
        <v>1</v>
      </c>
      <c r="O418" s="229"/>
    </row>
    <row r="419" spans="1:15" x14ac:dyDescent="0.2">
      <c r="A419" s="226">
        <v>418</v>
      </c>
      <c r="B419" s="226" t="str">
        <f t="shared" si="67"/>
        <v>-</v>
      </c>
      <c r="M419" s="228">
        <f t="shared" si="66"/>
        <v>0</v>
      </c>
      <c r="N419" s="229">
        <v>1</v>
      </c>
      <c r="O419" s="229"/>
    </row>
    <row r="420" spans="1:15" x14ac:dyDescent="0.2">
      <c r="A420" s="226">
        <v>419</v>
      </c>
      <c r="B420" s="226" t="str">
        <f t="shared" si="67"/>
        <v>RESERVATANK SIZE 52LFM-2001-1</v>
      </c>
      <c r="C420" s="226">
        <f>L420</f>
        <v>1</v>
      </c>
      <c r="D420" s="226" t="s">
        <v>116</v>
      </c>
      <c r="E420" s="226" t="s">
        <v>58</v>
      </c>
      <c r="F420" s="226" t="s">
        <v>15</v>
      </c>
      <c r="G420" s="226">
        <v>1</v>
      </c>
      <c r="H420" s="226" t="s">
        <v>16</v>
      </c>
      <c r="I420" s="227" t="s">
        <v>17</v>
      </c>
      <c r="J420" s="226" t="s">
        <v>59</v>
      </c>
      <c r="K420" s="226" t="s">
        <v>19</v>
      </c>
      <c r="L420" s="226">
        <v>1</v>
      </c>
      <c r="M420" s="228" t="s">
        <v>60</v>
      </c>
      <c r="N420" s="229">
        <v>1</v>
      </c>
      <c r="O420" s="229"/>
    </row>
    <row r="421" spans="1:15" x14ac:dyDescent="0.2">
      <c r="A421" s="226">
        <v>420</v>
      </c>
      <c r="B421" s="226" t="str">
        <f t="shared" si="67"/>
        <v>RESERVATANK SIZE 52LFM-2001-2</v>
      </c>
      <c r="C421" s="226">
        <f>C420</f>
        <v>1</v>
      </c>
      <c r="D421" s="226" t="s">
        <v>116</v>
      </c>
      <c r="E421" s="226" t="s">
        <v>58</v>
      </c>
      <c r="F421" s="226" t="s">
        <v>15</v>
      </c>
      <c r="G421" s="226">
        <f>+G420+1</f>
        <v>2</v>
      </c>
      <c r="H421" s="226" t="s">
        <v>16</v>
      </c>
      <c r="I421" s="227">
        <v>445735</v>
      </c>
      <c r="J421" s="226" t="s">
        <v>61</v>
      </c>
      <c r="K421" s="226" t="s">
        <v>19</v>
      </c>
      <c r="L421" s="226">
        <v>1</v>
      </c>
      <c r="M421" s="228">
        <f t="shared" si="66"/>
        <v>445735</v>
      </c>
      <c r="N421" s="229">
        <v>1</v>
      </c>
      <c r="O421" s="229"/>
    </row>
    <row r="422" spans="1:15" x14ac:dyDescent="0.2">
      <c r="A422" s="226">
        <v>421</v>
      </c>
      <c r="B422" s="226" t="str">
        <f t="shared" si="67"/>
        <v>RESERVATANK SIZE 52LFM-2001-3</v>
      </c>
      <c r="C422" s="226">
        <f>C421</f>
        <v>1</v>
      </c>
      <c r="D422" s="226" t="s">
        <v>116</v>
      </c>
      <c r="E422" s="226" t="s">
        <v>58</v>
      </c>
      <c r="F422" s="226" t="s">
        <v>15</v>
      </c>
      <c r="G422" s="226">
        <f t="shared" ref="G422:G425" si="71">+G421+1</f>
        <v>3</v>
      </c>
      <c r="H422" s="226" t="s">
        <v>16</v>
      </c>
      <c r="I422" s="227" t="s">
        <v>22</v>
      </c>
      <c r="J422" s="226" t="s">
        <v>23</v>
      </c>
      <c r="K422" s="226" t="s">
        <v>19</v>
      </c>
      <c r="L422" s="230">
        <f>'COT AGENTES'!$H$5</f>
        <v>2</v>
      </c>
      <c r="M422" s="228">
        <v>453646</v>
      </c>
      <c r="N422" s="229">
        <v>1</v>
      </c>
      <c r="O422" s="229"/>
    </row>
    <row r="423" spans="1:15" x14ac:dyDescent="0.2">
      <c r="A423" s="226">
        <v>422</v>
      </c>
      <c r="B423" s="226" t="str">
        <f t="shared" si="67"/>
        <v>RESERVATANK SIZE 52LFM-2001-4</v>
      </c>
      <c r="C423" s="226">
        <f>C422</f>
        <v>1</v>
      </c>
      <c r="D423" s="226" t="s">
        <v>116</v>
      </c>
      <c r="E423" s="226" t="s">
        <v>58</v>
      </c>
      <c r="F423" s="226" t="s">
        <v>15</v>
      </c>
      <c r="G423" s="226">
        <f t="shared" si="71"/>
        <v>4</v>
      </c>
      <c r="H423" s="226" t="s">
        <v>16</v>
      </c>
      <c r="I423" s="227">
        <v>570055</v>
      </c>
      <c r="J423" s="226" t="s">
        <v>24</v>
      </c>
      <c r="K423" s="226" t="s">
        <v>19</v>
      </c>
      <c r="L423" s="226">
        <v>1</v>
      </c>
      <c r="M423" s="228">
        <f t="shared" si="66"/>
        <v>570055</v>
      </c>
      <c r="N423" s="229">
        <v>1</v>
      </c>
      <c r="O423" s="229"/>
    </row>
    <row r="424" spans="1:15" x14ac:dyDescent="0.2">
      <c r="A424" s="226">
        <v>423</v>
      </c>
      <c r="B424" s="226" t="str">
        <f t="shared" si="67"/>
        <v>RESERVATANK SIZE 52LFM-2001-5</v>
      </c>
      <c r="C424" s="226">
        <f>C423</f>
        <v>1</v>
      </c>
      <c r="D424" s="226" t="s">
        <v>116</v>
      </c>
      <c r="E424" s="226" t="s">
        <v>58</v>
      </c>
      <c r="F424" s="226" t="s">
        <v>15</v>
      </c>
      <c r="G424" s="226">
        <f t="shared" si="71"/>
        <v>5</v>
      </c>
      <c r="H424" s="226" t="s">
        <v>16</v>
      </c>
      <c r="I424" s="227">
        <v>314205321</v>
      </c>
      <c r="J424" s="226" t="s">
        <v>25</v>
      </c>
      <c r="K424" s="226" t="s">
        <v>19</v>
      </c>
      <c r="L424" s="226">
        <v>1</v>
      </c>
      <c r="M424" s="228">
        <f t="shared" si="66"/>
        <v>314205321</v>
      </c>
      <c r="N424" s="229">
        <v>1</v>
      </c>
      <c r="O424" s="229"/>
    </row>
    <row r="425" spans="1:15" x14ac:dyDescent="0.2">
      <c r="A425" s="226">
        <v>424</v>
      </c>
      <c r="B425" s="226" t="str">
        <f t="shared" si="67"/>
        <v>RESERVATANK SIZE 52LFM-2001-6</v>
      </c>
      <c r="C425" s="226">
        <f>C424</f>
        <v>1</v>
      </c>
      <c r="D425" s="226" t="s">
        <v>116</v>
      </c>
      <c r="E425" s="226" t="s">
        <v>58</v>
      </c>
      <c r="F425" s="226" t="s">
        <v>15</v>
      </c>
      <c r="G425" s="226">
        <f t="shared" si="71"/>
        <v>6</v>
      </c>
      <c r="H425" s="226" t="s">
        <v>16</v>
      </c>
      <c r="I425" s="227">
        <v>570585</v>
      </c>
      <c r="J425" s="226" t="s">
        <v>26</v>
      </c>
      <c r="K425" s="226" t="s">
        <v>19</v>
      </c>
      <c r="L425" s="226">
        <v>1</v>
      </c>
      <c r="M425" s="228">
        <f t="shared" si="66"/>
        <v>570585</v>
      </c>
      <c r="N425" s="229">
        <v>1</v>
      </c>
      <c r="O425" s="229"/>
    </row>
    <row r="426" spans="1:15" x14ac:dyDescent="0.2">
      <c r="A426" s="226">
        <v>425</v>
      </c>
      <c r="B426" s="226" t="str">
        <f t="shared" si="67"/>
        <v>-</v>
      </c>
      <c r="M426" s="228">
        <f t="shared" si="66"/>
        <v>0</v>
      </c>
      <c r="N426" s="229">
        <v>1</v>
      </c>
      <c r="O426" s="229"/>
    </row>
    <row r="427" spans="1:15" x14ac:dyDescent="0.2">
      <c r="A427" s="226">
        <v>426</v>
      </c>
      <c r="B427" s="226" t="str">
        <f t="shared" si="67"/>
        <v>RESERVATANK SIZE 106LFM-2001-1</v>
      </c>
      <c r="C427" s="226">
        <f>L427</f>
        <v>1</v>
      </c>
      <c r="D427" s="226" t="s">
        <v>116</v>
      </c>
      <c r="E427" s="226" t="s">
        <v>69</v>
      </c>
      <c r="F427" s="226" t="s">
        <v>15</v>
      </c>
      <c r="G427" s="226">
        <v>1</v>
      </c>
      <c r="H427" s="226" t="s">
        <v>16</v>
      </c>
      <c r="I427" s="227" t="s">
        <v>17</v>
      </c>
      <c r="J427" s="226" t="s">
        <v>70</v>
      </c>
      <c r="K427" s="226" t="s">
        <v>19</v>
      </c>
      <c r="L427" s="226">
        <v>1</v>
      </c>
      <c r="M427" s="228" t="s">
        <v>71</v>
      </c>
      <c r="N427" s="229">
        <v>1</v>
      </c>
      <c r="O427" s="229"/>
    </row>
    <row r="428" spans="1:15" x14ac:dyDescent="0.2">
      <c r="A428" s="226">
        <v>427</v>
      </c>
      <c r="B428" s="226" t="str">
        <f t="shared" si="67"/>
        <v>RESERVATANK SIZE 106LFM-2001-2</v>
      </c>
      <c r="C428" s="226">
        <f t="shared" ref="C428:C432" si="72">C427</f>
        <v>1</v>
      </c>
      <c r="D428" s="226" t="s">
        <v>116</v>
      </c>
      <c r="E428" s="226" t="s">
        <v>69</v>
      </c>
      <c r="F428" s="226" t="s">
        <v>15</v>
      </c>
      <c r="G428" s="226">
        <f t="shared" ref="G428:G433" si="73">+G427+1</f>
        <v>2</v>
      </c>
      <c r="H428" s="226" t="s">
        <v>16</v>
      </c>
      <c r="I428" s="227">
        <v>445736</v>
      </c>
      <c r="J428" s="226" t="s">
        <v>72</v>
      </c>
      <c r="K428" s="226" t="s">
        <v>19</v>
      </c>
      <c r="L428" s="226">
        <v>1</v>
      </c>
      <c r="M428" s="228">
        <f t="shared" si="66"/>
        <v>445736</v>
      </c>
      <c r="N428" s="229">
        <v>1</v>
      </c>
      <c r="O428" s="229"/>
    </row>
    <row r="429" spans="1:15" x14ac:dyDescent="0.2">
      <c r="A429" s="226">
        <v>428</v>
      </c>
      <c r="B429" s="226" t="str">
        <f t="shared" si="67"/>
        <v>RESERVATANK SIZE 106LFM-2001-3</v>
      </c>
      <c r="C429" s="226">
        <f t="shared" si="72"/>
        <v>1</v>
      </c>
      <c r="D429" s="226" t="s">
        <v>116</v>
      </c>
      <c r="E429" s="226" t="s">
        <v>69</v>
      </c>
      <c r="F429" s="226" t="s">
        <v>15</v>
      </c>
      <c r="G429" s="226">
        <f t="shared" si="73"/>
        <v>3</v>
      </c>
      <c r="H429" s="226" t="s">
        <v>16</v>
      </c>
      <c r="I429" s="227" t="s">
        <v>22</v>
      </c>
      <c r="J429" s="226" t="s">
        <v>23</v>
      </c>
      <c r="K429" s="226" t="s">
        <v>19</v>
      </c>
      <c r="L429" s="230">
        <f>'COT AGENTES'!$H$5</f>
        <v>2</v>
      </c>
      <c r="M429" s="228">
        <v>453646</v>
      </c>
      <c r="N429" s="229">
        <v>1</v>
      </c>
      <c r="O429" s="229"/>
    </row>
    <row r="430" spans="1:15" x14ac:dyDescent="0.2">
      <c r="A430" s="226">
        <v>429</v>
      </c>
      <c r="B430" s="226" t="str">
        <f t="shared" si="67"/>
        <v>RESERVATANK SIZE 106LFM-2001-4</v>
      </c>
      <c r="C430" s="226">
        <f t="shared" si="72"/>
        <v>1</v>
      </c>
      <c r="D430" s="226" t="s">
        <v>116</v>
      </c>
      <c r="E430" s="226" t="s">
        <v>69</v>
      </c>
      <c r="F430" s="226" t="s">
        <v>15</v>
      </c>
      <c r="G430" s="226">
        <f t="shared" si="73"/>
        <v>4</v>
      </c>
      <c r="H430" s="226" t="s">
        <v>16</v>
      </c>
      <c r="I430" s="227">
        <v>570055</v>
      </c>
      <c r="J430" s="226" t="s">
        <v>24</v>
      </c>
      <c r="K430" s="226" t="s">
        <v>19</v>
      </c>
      <c r="L430" s="226">
        <v>1</v>
      </c>
      <c r="M430" s="228">
        <f t="shared" si="66"/>
        <v>570055</v>
      </c>
      <c r="N430" s="229">
        <v>1</v>
      </c>
      <c r="O430" s="229"/>
    </row>
    <row r="431" spans="1:15" x14ac:dyDescent="0.2">
      <c r="A431" s="226">
        <v>430</v>
      </c>
      <c r="B431" s="226" t="str">
        <f t="shared" si="67"/>
        <v>RESERVATANK SIZE 106LFM-2001-5</v>
      </c>
      <c r="C431" s="226">
        <f t="shared" si="72"/>
        <v>1</v>
      </c>
      <c r="D431" s="226" t="s">
        <v>116</v>
      </c>
      <c r="E431" s="226" t="s">
        <v>69</v>
      </c>
      <c r="F431" s="226" t="s">
        <v>15</v>
      </c>
      <c r="G431" s="226">
        <f t="shared" si="73"/>
        <v>5</v>
      </c>
      <c r="H431" s="226" t="s">
        <v>16</v>
      </c>
      <c r="I431" s="227">
        <v>314205314</v>
      </c>
      <c r="J431" s="226" t="s">
        <v>56</v>
      </c>
      <c r="K431" s="226" t="s">
        <v>19</v>
      </c>
      <c r="L431" s="226">
        <v>1</v>
      </c>
      <c r="M431" s="228">
        <f t="shared" si="66"/>
        <v>314205314</v>
      </c>
      <c r="N431" s="229">
        <v>1</v>
      </c>
      <c r="O431" s="229"/>
    </row>
    <row r="432" spans="1:15" x14ac:dyDescent="0.2">
      <c r="A432" s="226">
        <v>431</v>
      </c>
      <c r="B432" s="226" t="str">
        <f t="shared" si="67"/>
        <v>RESERVATANK SIZE 106LFM-2001-6</v>
      </c>
      <c r="C432" s="226">
        <f t="shared" si="72"/>
        <v>1</v>
      </c>
      <c r="D432" s="226" t="s">
        <v>116</v>
      </c>
      <c r="E432" s="226" t="s">
        <v>69</v>
      </c>
      <c r="F432" s="226" t="s">
        <v>15</v>
      </c>
      <c r="G432" s="226">
        <f t="shared" si="73"/>
        <v>6</v>
      </c>
      <c r="H432" s="226" t="s">
        <v>16</v>
      </c>
      <c r="I432" s="227">
        <v>570585</v>
      </c>
      <c r="J432" s="226" t="s">
        <v>26</v>
      </c>
      <c r="K432" s="226" t="s">
        <v>19</v>
      </c>
      <c r="L432" s="226">
        <v>1</v>
      </c>
      <c r="M432" s="228">
        <f t="shared" si="66"/>
        <v>570585</v>
      </c>
      <c r="N432" s="229">
        <v>1</v>
      </c>
      <c r="O432" s="229"/>
    </row>
    <row r="433" spans="1:15" x14ac:dyDescent="0.2">
      <c r="A433" s="226">
        <v>432</v>
      </c>
      <c r="B433" s="226" t="str">
        <f t="shared" si="67"/>
        <v>RESERVATANK SIZE 106LFM-2001-7</v>
      </c>
      <c r="C433" s="226">
        <f>C432</f>
        <v>1</v>
      </c>
      <c r="D433" s="226" t="s">
        <v>116</v>
      </c>
      <c r="E433" s="226" t="s">
        <v>69</v>
      </c>
      <c r="F433" s="226" t="s">
        <v>15</v>
      </c>
      <c r="G433" s="226">
        <f t="shared" si="73"/>
        <v>7</v>
      </c>
      <c r="H433" s="226" t="s">
        <v>16</v>
      </c>
      <c r="I433" s="227">
        <v>570277</v>
      </c>
      <c r="J433" s="226" t="s">
        <v>74</v>
      </c>
      <c r="K433" s="226" t="s">
        <v>19</v>
      </c>
      <c r="L433" s="226">
        <v>1</v>
      </c>
      <c r="M433" s="228">
        <f t="shared" si="66"/>
        <v>570277</v>
      </c>
      <c r="N433" s="229">
        <v>1</v>
      </c>
      <c r="O433" s="229"/>
    </row>
    <row r="434" spans="1:15" x14ac:dyDescent="0.2">
      <c r="A434" s="226">
        <v>433</v>
      </c>
      <c r="B434" s="226" t="str">
        <f t="shared" si="67"/>
        <v>-</v>
      </c>
      <c r="M434" s="228">
        <f t="shared" si="66"/>
        <v>0</v>
      </c>
      <c r="N434" s="229">
        <v>1</v>
      </c>
      <c r="O434" s="229"/>
    </row>
    <row r="435" spans="1:15" x14ac:dyDescent="0.2">
      <c r="A435" s="226">
        <v>434</v>
      </c>
      <c r="B435" s="226" t="str">
        <f t="shared" si="67"/>
        <v>RESERVATANK SIZE 147LFM-2001-1</v>
      </c>
      <c r="C435" s="226">
        <f>L435</f>
        <v>1</v>
      </c>
      <c r="D435" s="226" t="s">
        <v>116</v>
      </c>
      <c r="E435" s="226" t="s">
        <v>75</v>
      </c>
      <c r="F435" s="226" t="s">
        <v>15</v>
      </c>
      <c r="G435" s="226">
        <v>1</v>
      </c>
      <c r="H435" s="226" t="s">
        <v>16</v>
      </c>
      <c r="I435" s="227" t="s">
        <v>17</v>
      </c>
      <c r="J435" s="226" t="s">
        <v>76</v>
      </c>
      <c r="K435" s="226" t="s">
        <v>19</v>
      </c>
      <c r="L435" s="226">
        <v>1</v>
      </c>
      <c r="M435" s="228" t="s">
        <v>77</v>
      </c>
      <c r="N435" s="229">
        <v>1</v>
      </c>
      <c r="O435" s="229"/>
    </row>
    <row r="436" spans="1:15" x14ac:dyDescent="0.2">
      <c r="A436" s="226">
        <v>435</v>
      </c>
      <c r="B436" s="226" t="str">
        <f t="shared" si="67"/>
        <v>RESERVATANK SIZE 147LFM-2001-2</v>
      </c>
      <c r="C436" s="226">
        <f t="shared" ref="C436:C441" si="74">C435</f>
        <v>1</v>
      </c>
      <c r="D436" s="226" t="s">
        <v>116</v>
      </c>
      <c r="E436" s="226" t="s">
        <v>75</v>
      </c>
      <c r="F436" s="226" t="s">
        <v>15</v>
      </c>
      <c r="G436" s="226">
        <f t="shared" ref="G436:G441" si="75">+G435+1</f>
        <v>2</v>
      </c>
      <c r="H436" s="226" t="s">
        <v>16</v>
      </c>
      <c r="I436" s="227">
        <v>445737</v>
      </c>
      <c r="J436" s="226" t="s">
        <v>78</v>
      </c>
      <c r="K436" s="226" t="s">
        <v>19</v>
      </c>
      <c r="L436" s="226">
        <v>1</v>
      </c>
      <c r="M436" s="228">
        <f t="shared" si="66"/>
        <v>445737</v>
      </c>
      <c r="N436" s="229">
        <v>1</v>
      </c>
      <c r="O436" s="229"/>
    </row>
    <row r="437" spans="1:15" x14ac:dyDescent="0.2">
      <c r="A437" s="226">
        <v>436</v>
      </c>
      <c r="B437" s="226" t="str">
        <f t="shared" si="67"/>
        <v>RESERVATANK SIZE 147LFM-2001-3</v>
      </c>
      <c r="C437" s="226">
        <f t="shared" si="74"/>
        <v>1</v>
      </c>
      <c r="D437" s="226" t="s">
        <v>116</v>
      </c>
      <c r="E437" s="226" t="s">
        <v>75</v>
      </c>
      <c r="F437" s="226" t="s">
        <v>15</v>
      </c>
      <c r="G437" s="226">
        <f t="shared" si="75"/>
        <v>3</v>
      </c>
      <c r="H437" s="226" t="s">
        <v>16</v>
      </c>
      <c r="I437" s="227" t="s">
        <v>22</v>
      </c>
      <c r="J437" s="226" t="s">
        <v>23</v>
      </c>
      <c r="K437" s="226" t="s">
        <v>19</v>
      </c>
      <c r="L437" s="230">
        <f>'COT AGENTES'!$H$5</f>
        <v>2</v>
      </c>
      <c r="M437" s="228">
        <v>453646</v>
      </c>
      <c r="N437" s="229">
        <v>1</v>
      </c>
      <c r="O437" s="229"/>
    </row>
    <row r="438" spans="1:15" x14ac:dyDescent="0.2">
      <c r="A438" s="226">
        <v>437</v>
      </c>
      <c r="B438" s="226" t="str">
        <f t="shared" si="67"/>
        <v>RESERVATANK SIZE 147LFM-2001-4</v>
      </c>
      <c r="C438" s="226">
        <f t="shared" si="74"/>
        <v>1</v>
      </c>
      <c r="D438" s="226" t="s">
        <v>116</v>
      </c>
      <c r="E438" s="226" t="s">
        <v>75</v>
      </c>
      <c r="F438" s="226" t="s">
        <v>15</v>
      </c>
      <c r="G438" s="226">
        <f t="shared" si="75"/>
        <v>4</v>
      </c>
      <c r="H438" s="226" t="s">
        <v>16</v>
      </c>
      <c r="I438" s="227">
        <v>570055</v>
      </c>
      <c r="J438" s="226" t="s">
        <v>24</v>
      </c>
      <c r="K438" s="226" t="s">
        <v>19</v>
      </c>
      <c r="L438" s="226">
        <v>1</v>
      </c>
      <c r="M438" s="228">
        <f t="shared" si="66"/>
        <v>570055</v>
      </c>
      <c r="N438" s="229">
        <v>1</v>
      </c>
      <c r="O438" s="229"/>
    </row>
    <row r="439" spans="1:15" x14ac:dyDescent="0.2">
      <c r="A439" s="226">
        <v>438</v>
      </c>
      <c r="B439" s="226" t="str">
        <f t="shared" si="67"/>
        <v>RESERVATANK SIZE 147LFM-2001-5</v>
      </c>
      <c r="C439" s="226">
        <f t="shared" si="74"/>
        <v>1</v>
      </c>
      <c r="D439" s="226" t="s">
        <v>116</v>
      </c>
      <c r="E439" s="226" t="s">
        <v>75</v>
      </c>
      <c r="F439" s="226" t="s">
        <v>15</v>
      </c>
      <c r="G439" s="226">
        <f t="shared" si="75"/>
        <v>5</v>
      </c>
      <c r="H439" s="226" t="s">
        <v>16</v>
      </c>
      <c r="I439" s="227">
        <v>314205314</v>
      </c>
      <c r="J439" s="226" t="s">
        <v>56</v>
      </c>
      <c r="K439" s="226" t="s">
        <v>19</v>
      </c>
      <c r="L439" s="226">
        <v>1</v>
      </c>
      <c r="M439" s="228">
        <f t="shared" si="66"/>
        <v>314205314</v>
      </c>
      <c r="N439" s="229">
        <v>1</v>
      </c>
      <c r="O439" s="229"/>
    </row>
    <row r="440" spans="1:15" x14ac:dyDescent="0.2">
      <c r="A440" s="226">
        <v>439</v>
      </c>
      <c r="B440" s="226" t="str">
        <f t="shared" si="67"/>
        <v>RESERVATANK SIZE 147LFM-2001-6</v>
      </c>
      <c r="C440" s="226">
        <f t="shared" si="74"/>
        <v>1</v>
      </c>
      <c r="D440" s="226" t="s">
        <v>116</v>
      </c>
      <c r="E440" s="226" t="s">
        <v>75</v>
      </c>
      <c r="F440" s="226" t="s">
        <v>15</v>
      </c>
      <c r="G440" s="226">
        <f t="shared" si="75"/>
        <v>6</v>
      </c>
      <c r="H440" s="226" t="s">
        <v>16</v>
      </c>
      <c r="I440" s="227">
        <v>570585</v>
      </c>
      <c r="J440" s="226" t="s">
        <v>26</v>
      </c>
      <c r="K440" s="226" t="s">
        <v>19</v>
      </c>
      <c r="L440" s="226">
        <v>1</v>
      </c>
      <c r="M440" s="228">
        <f t="shared" si="66"/>
        <v>570585</v>
      </c>
      <c r="N440" s="229">
        <v>1</v>
      </c>
      <c r="O440" s="229"/>
    </row>
    <row r="441" spans="1:15" x14ac:dyDescent="0.2">
      <c r="A441" s="226">
        <v>440</v>
      </c>
      <c r="B441" s="226" t="str">
        <f t="shared" si="67"/>
        <v>RESERVATANK SIZE 147LFM-2001-7</v>
      </c>
      <c r="C441" s="226">
        <f t="shared" si="74"/>
        <v>1</v>
      </c>
      <c r="D441" s="226" t="s">
        <v>116</v>
      </c>
      <c r="E441" s="226" t="s">
        <v>75</v>
      </c>
      <c r="F441" s="226" t="s">
        <v>15</v>
      </c>
      <c r="G441" s="226">
        <f t="shared" si="75"/>
        <v>7</v>
      </c>
      <c r="H441" s="226" t="s">
        <v>16</v>
      </c>
      <c r="I441" s="227">
        <v>570278</v>
      </c>
      <c r="J441" s="226" t="s">
        <v>80</v>
      </c>
      <c r="K441" s="226" t="s">
        <v>19</v>
      </c>
      <c r="L441" s="226">
        <v>1</v>
      </c>
      <c r="M441" s="228">
        <f t="shared" si="66"/>
        <v>570278</v>
      </c>
      <c r="N441" s="229">
        <v>1</v>
      </c>
      <c r="O441" s="229"/>
    </row>
    <row r="442" spans="1:15" x14ac:dyDescent="0.2">
      <c r="A442" s="226">
        <v>441</v>
      </c>
      <c r="B442" s="226" t="str">
        <f t="shared" si="67"/>
        <v>-</v>
      </c>
      <c r="M442" s="228">
        <f t="shared" si="66"/>
        <v>0</v>
      </c>
      <c r="N442" s="229">
        <v>1</v>
      </c>
      <c r="O442" s="229"/>
    </row>
    <row r="443" spans="1:15" x14ac:dyDescent="0.2">
      <c r="A443" s="226">
        <v>442</v>
      </c>
      <c r="B443" s="226" t="str">
        <f t="shared" si="67"/>
        <v>RESERVATANK SIZE 180LFM-2001-1</v>
      </c>
      <c r="C443" s="226">
        <f>L443</f>
        <v>1</v>
      </c>
      <c r="D443" s="226" t="s">
        <v>116</v>
      </c>
      <c r="E443" s="226" t="s">
        <v>81</v>
      </c>
      <c r="F443" s="226" t="s">
        <v>15</v>
      </c>
      <c r="G443" s="226">
        <v>1</v>
      </c>
      <c r="H443" s="226" t="s">
        <v>16</v>
      </c>
      <c r="I443" s="227" t="s">
        <v>17</v>
      </c>
      <c r="J443" s="226" t="s">
        <v>82</v>
      </c>
      <c r="K443" s="226" t="s">
        <v>19</v>
      </c>
      <c r="L443" s="226">
        <v>1</v>
      </c>
      <c r="M443" s="228" t="s">
        <v>83</v>
      </c>
      <c r="N443" s="229">
        <v>1</v>
      </c>
      <c r="O443" s="229"/>
    </row>
    <row r="444" spans="1:15" x14ac:dyDescent="0.2">
      <c r="A444" s="226">
        <v>443</v>
      </c>
      <c r="B444" s="226" t="str">
        <f t="shared" si="67"/>
        <v>RESERVATANK SIZE 180LFM-2001-2</v>
      </c>
      <c r="C444" s="226">
        <f t="shared" ref="C444:C449" si="76">C443</f>
        <v>1</v>
      </c>
      <c r="D444" s="226" t="s">
        <v>116</v>
      </c>
      <c r="E444" s="226" t="s">
        <v>81</v>
      </c>
      <c r="F444" s="226" t="s">
        <v>15</v>
      </c>
      <c r="G444" s="226">
        <f t="shared" ref="G444:G449" si="77">+G443+1</f>
        <v>2</v>
      </c>
      <c r="H444" s="226" t="s">
        <v>16</v>
      </c>
      <c r="I444" s="227">
        <v>445738</v>
      </c>
      <c r="J444" s="226" t="s">
        <v>84</v>
      </c>
      <c r="K444" s="226" t="s">
        <v>19</v>
      </c>
      <c r="L444" s="226">
        <v>1</v>
      </c>
      <c r="M444" s="228">
        <f t="shared" si="66"/>
        <v>445738</v>
      </c>
      <c r="N444" s="229">
        <v>1</v>
      </c>
      <c r="O444" s="229"/>
    </row>
    <row r="445" spans="1:15" x14ac:dyDescent="0.2">
      <c r="A445" s="226">
        <v>444</v>
      </c>
      <c r="B445" s="226" t="str">
        <f t="shared" si="67"/>
        <v>RESERVATANK SIZE 180LFM-2001-3</v>
      </c>
      <c r="C445" s="226">
        <f t="shared" si="76"/>
        <v>1</v>
      </c>
      <c r="D445" s="226" t="s">
        <v>116</v>
      </c>
      <c r="E445" s="226" t="s">
        <v>81</v>
      </c>
      <c r="F445" s="226" t="s">
        <v>15</v>
      </c>
      <c r="G445" s="226">
        <f t="shared" si="77"/>
        <v>3</v>
      </c>
      <c r="H445" s="226" t="s">
        <v>16</v>
      </c>
      <c r="I445" s="227" t="s">
        <v>22</v>
      </c>
      <c r="J445" s="226" t="s">
        <v>23</v>
      </c>
      <c r="K445" s="226" t="s">
        <v>19</v>
      </c>
      <c r="L445" s="230">
        <f>'COT AGENTES'!$H$5</f>
        <v>2</v>
      </c>
      <c r="M445" s="228">
        <v>453646</v>
      </c>
      <c r="N445" s="229">
        <v>1</v>
      </c>
      <c r="O445" s="229"/>
    </row>
    <row r="446" spans="1:15" x14ac:dyDescent="0.2">
      <c r="A446" s="226">
        <v>445</v>
      </c>
      <c r="B446" s="226" t="str">
        <f t="shared" si="67"/>
        <v>RESERVATANK SIZE 180LFM-2001-4</v>
      </c>
      <c r="C446" s="226">
        <f t="shared" si="76"/>
        <v>1</v>
      </c>
      <c r="D446" s="226" t="s">
        <v>116</v>
      </c>
      <c r="E446" s="226" t="s">
        <v>81</v>
      </c>
      <c r="F446" s="226" t="s">
        <v>15</v>
      </c>
      <c r="G446" s="226">
        <f t="shared" si="77"/>
        <v>4</v>
      </c>
      <c r="H446" s="226" t="s">
        <v>16</v>
      </c>
      <c r="I446" s="227">
        <v>570055</v>
      </c>
      <c r="J446" s="226" t="s">
        <v>24</v>
      </c>
      <c r="K446" s="226" t="s">
        <v>19</v>
      </c>
      <c r="L446" s="226">
        <v>1</v>
      </c>
      <c r="M446" s="228">
        <f t="shared" si="66"/>
        <v>570055</v>
      </c>
      <c r="N446" s="229">
        <v>1</v>
      </c>
      <c r="O446" s="229"/>
    </row>
    <row r="447" spans="1:15" x14ac:dyDescent="0.2">
      <c r="A447" s="226">
        <v>446</v>
      </c>
      <c r="B447" s="226" t="str">
        <f t="shared" si="67"/>
        <v>RESERVATANK SIZE 180LFM-2001-5</v>
      </c>
      <c r="C447" s="226">
        <f t="shared" si="76"/>
        <v>1</v>
      </c>
      <c r="D447" s="226" t="s">
        <v>116</v>
      </c>
      <c r="E447" s="226" t="s">
        <v>81</v>
      </c>
      <c r="F447" s="226" t="s">
        <v>15</v>
      </c>
      <c r="G447" s="226">
        <f t="shared" si="77"/>
        <v>5</v>
      </c>
      <c r="H447" s="226" t="s">
        <v>16</v>
      </c>
      <c r="I447" s="227">
        <v>314205314</v>
      </c>
      <c r="J447" s="226" t="s">
        <v>56</v>
      </c>
      <c r="K447" s="226" t="s">
        <v>19</v>
      </c>
      <c r="L447" s="226">
        <v>1</v>
      </c>
      <c r="M447" s="228">
        <f t="shared" si="66"/>
        <v>314205314</v>
      </c>
      <c r="N447" s="229">
        <v>1</v>
      </c>
      <c r="O447" s="229"/>
    </row>
    <row r="448" spans="1:15" x14ac:dyDescent="0.2">
      <c r="A448" s="226">
        <v>447</v>
      </c>
      <c r="B448" s="226" t="str">
        <f t="shared" si="67"/>
        <v>RESERVATANK SIZE 180LFM-2001-6</v>
      </c>
      <c r="C448" s="226">
        <f t="shared" si="76"/>
        <v>1</v>
      </c>
      <c r="D448" s="226" t="s">
        <v>116</v>
      </c>
      <c r="E448" s="226" t="s">
        <v>81</v>
      </c>
      <c r="F448" s="226" t="s">
        <v>15</v>
      </c>
      <c r="G448" s="226">
        <f t="shared" si="77"/>
        <v>6</v>
      </c>
      <c r="H448" s="226" t="s">
        <v>16</v>
      </c>
      <c r="I448" s="227">
        <v>570585</v>
      </c>
      <c r="J448" s="226" t="s">
        <v>26</v>
      </c>
      <c r="K448" s="226" t="s">
        <v>19</v>
      </c>
      <c r="L448" s="226">
        <v>1</v>
      </c>
      <c r="M448" s="228">
        <f t="shared" si="66"/>
        <v>570585</v>
      </c>
      <c r="N448" s="229">
        <v>1</v>
      </c>
      <c r="O448" s="229"/>
    </row>
    <row r="449" spans="1:15" x14ac:dyDescent="0.2">
      <c r="A449" s="226">
        <v>448</v>
      </c>
      <c r="B449" s="226" t="str">
        <f t="shared" si="67"/>
        <v>RESERVATANK SIZE 180LFM-2001-7</v>
      </c>
      <c r="C449" s="226">
        <f t="shared" si="76"/>
        <v>1</v>
      </c>
      <c r="D449" s="226" t="s">
        <v>116</v>
      </c>
      <c r="E449" s="226" t="s">
        <v>81</v>
      </c>
      <c r="F449" s="226" t="s">
        <v>15</v>
      </c>
      <c r="G449" s="226">
        <f t="shared" si="77"/>
        <v>7</v>
      </c>
      <c r="H449" s="226" t="s">
        <v>16</v>
      </c>
      <c r="I449" s="227">
        <v>570278</v>
      </c>
      <c r="J449" s="226" t="s">
        <v>80</v>
      </c>
      <c r="K449" s="226" t="s">
        <v>19</v>
      </c>
      <c r="L449" s="226">
        <v>1</v>
      </c>
      <c r="M449" s="228">
        <f t="shared" si="66"/>
        <v>570278</v>
      </c>
      <c r="N449" s="229">
        <v>1</v>
      </c>
      <c r="O449" s="229"/>
    </row>
    <row r="450" spans="1:15" x14ac:dyDescent="0.2">
      <c r="A450" s="226">
        <v>449</v>
      </c>
      <c r="B450" s="226" t="str">
        <f t="shared" si="67"/>
        <v>-</v>
      </c>
      <c r="M450" s="228">
        <f t="shared" si="66"/>
        <v>0</v>
      </c>
      <c r="N450" s="229">
        <v>1</v>
      </c>
      <c r="O450" s="229"/>
    </row>
    <row r="451" spans="1:15" x14ac:dyDescent="0.2">
      <c r="A451" s="226">
        <v>450</v>
      </c>
      <c r="B451" s="226" t="str">
        <f t="shared" si="67"/>
        <v>RESERVATANK SIZE 343LFM-2001-1</v>
      </c>
      <c r="C451" s="226">
        <f>'COT AGENTES'!H3</f>
        <v>1</v>
      </c>
      <c r="D451" s="226" t="s">
        <v>116</v>
      </c>
      <c r="E451" s="226" t="s">
        <v>86</v>
      </c>
      <c r="F451" s="226" t="s">
        <v>15</v>
      </c>
      <c r="G451" s="226">
        <v>1</v>
      </c>
      <c r="H451" s="226" t="s">
        <v>16</v>
      </c>
      <c r="I451" s="227" t="s">
        <v>17</v>
      </c>
      <c r="J451" s="226" t="s">
        <v>87</v>
      </c>
      <c r="K451" s="226" t="s">
        <v>19</v>
      </c>
      <c r="L451" s="226">
        <v>1</v>
      </c>
      <c r="M451" s="228" t="s">
        <v>88</v>
      </c>
      <c r="N451" s="229">
        <v>1</v>
      </c>
      <c r="O451" s="229"/>
    </row>
    <row r="452" spans="1:15" x14ac:dyDescent="0.2">
      <c r="A452" s="226">
        <v>451</v>
      </c>
      <c r="B452" s="226" t="str">
        <f t="shared" si="67"/>
        <v>RESERVATANK SIZE 343LFM-2001-2</v>
      </c>
      <c r="C452" s="226">
        <f t="shared" ref="C452:C457" si="78">C451</f>
        <v>1</v>
      </c>
      <c r="D452" s="226" t="s">
        <v>116</v>
      </c>
      <c r="E452" s="226" t="s">
        <v>86</v>
      </c>
      <c r="F452" s="226" t="s">
        <v>15</v>
      </c>
      <c r="G452" s="226">
        <f t="shared" ref="G452:G457" si="79">+G451+1</f>
        <v>2</v>
      </c>
      <c r="H452" s="226" t="s">
        <v>16</v>
      </c>
      <c r="I452" s="227">
        <v>445739</v>
      </c>
      <c r="J452" s="226" t="s">
        <v>89</v>
      </c>
      <c r="K452" s="226" t="s">
        <v>19</v>
      </c>
      <c r="L452" s="226">
        <v>1</v>
      </c>
      <c r="M452" s="228">
        <f t="shared" ref="M452:M518" si="80">I452</f>
        <v>445739</v>
      </c>
      <c r="N452" s="229">
        <v>1</v>
      </c>
      <c r="O452" s="229"/>
    </row>
    <row r="453" spans="1:15" x14ac:dyDescent="0.2">
      <c r="A453" s="226">
        <v>452</v>
      </c>
      <c r="B453" s="226" t="str">
        <f t="shared" si="67"/>
        <v>RESERVATANK SIZE 343LFM-2001-3</v>
      </c>
      <c r="C453" s="226">
        <f t="shared" si="78"/>
        <v>1</v>
      </c>
      <c r="D453" s="226" t="s">
        <v>116</v>
      </c>
      <c r="E453" s="226" t="s">
        <v>86</v>
      </c>
      <c r="F453" s="226" t="s">
        <v>15</v>
      </c>
      <c r="G453" s="226">
        <f t="shared" si="79"/>
        <v>3</v>
      </c>
      <c r="H453" s="226" t="s">
        <v>16</v>
      </c>
      <c r="I453" s="227" t="s">
        <v>22</v>
      </c>
      <c r="J453" s="226" t="s">
        <v>23</v>
      </c>
      <c r="K453" s="226" t="s">
        <v>19</v>
      </c>
      <c r="L453" s="230">
        <f>'COT AGENTES'!$H$5</f>
        <v>2</v>
      </c>
      <c r="M453" s="228">
        <v>453646</v>
      </c>
      <c r="N453" s="229">
        <v>1</v>
      </c>
      <c r="O453" s="229"/>
    </row>
    <row r="454" spans="1:15" x14ac:dyDescent="0.2">
      <c r="A454" s="226">
        <v>453</v>
      </c>
      <c r="B454" s="226" t="str">
        <f t="shared" si="67"/>
        <v>RESERVATANK SIZE 343LFM-2001-4</v>
      </c>
      <c r="C454" s="226">
        <f t="shared" si="78"/>
        <v>1</v>
      </c>
      <c r="D454" s="226" t="s">
        <v>116</v>
      </c>
      <c r="E454" s="226" t="s">
        <v>86</v>
      </c>
      <c r="F454" s="226" t="s">
        <v>15</v>
      </c>
      <c r="G454" s="226">
        <f t="shared" si="79"/>
        <v>4</v>
      </c>
      <c r="H454" s="226" t="s">
        <v>16</v>
      </c>
      <c r="I454" s="227">
        <v>570055</v>
      </c>
      <c r="J454" s="226" t="s">
        <v>24</v>
      </c>
      <c r="K454" s="226" t="s">
        <v>19</v>
      </c>
      <c r="L454" s="226">
        <v>1</v>
      </c>
      <c r="M454" s="228">
        <f t="shared" si="80"/>
        <v>570055</v>
      </c>
      <c r="N454" s="229">
        <v>1</v>
      </c>
      <c r="O454" s="229"/>
    </row>
    <row r="455" spans="1:15" x14ac:dyDescent="0.2">
      <c r="A455" s="226">
        <v>454</v>
      </c>
      <c r="B455" s="226" t="str">
        <f t="shared" si="67"/>
        <v>RESERVATANK SIZE 343LFM-2001-5</v>
      </c>
      <c r="C455" s="226">
        <f t="shared" si="78"/>
        <v>1</v>
      </c>
      <c r="D455" s="226" t="s">
        <v>116</v>
      </c>
      <c r="E455" s="226" t="s">
        <v>86</v>
      </c>
      <c r="F455" s="226" t="s">
        <v>15</v>
      </c>
      <c r="G455" s="226">
        <f t="shared" si="79"/>
        <v>5</v>
      </c>
      <c r="H455" s="226" t="s">
        <v>16</v>
      </c>
      <c r="I455" s="227">
        <v>314205314</v>
      </c>
      <c r="J455" s="226" t="s">
        <v>56</v>
      </c>
      <c r="K455" s="226" t="s">
        <v>19</v>
      </c>
      <c r="L455" s="226">
        <v>1</v>
      </c>
      <c r="M455" s="228">
        <f t="shared" si="80"/>
        <v>314205314</v>
      </c>
      <c r="N455" s="229">
        <v>1</v>
      </c>
      <c r="O455" s="229"/>
    </row>
    <row r="456" spans="1:15" x14ac:dyDescent="0.2">
      <c r="A456" s="226">
        <v>455</v>
      </c>
      <c r="B456" s="226" t="str">
        <f t="shared" si="67"/>
        <v>RESERVATANK SIZE 343LFM-2001-6</v>
      </c>
      <c r="C456" s="226">
        <f t="shared" si="78"/>
        <v>1</v>
      </c>
      <c r="D456" s="226" t="s">
        <v>116</v>
      </c>
      <c r="E456" s="226" t="s">
        <v>86</v>
      </c>
      <c r="F456" s="226" t="s">
        <v>15</v>
      </c>
      <c r="G456" s="226">
        <f t="shared" si="79"/>
        <v>6</v>
      </c>
      <c r="H456" s="226" t="s">
        <v>16</v>
      </c>
      <c r="I456" s="227">
        <v>570585</v>
      </c>
      <c r="J456" s="226" t="s">
        <v>26</v>
      </c>
      <c r="K456" s="226" t="s">
        <v>19</v>
      </c>
      <c r="L456" s="226">
        <v>1</v>
      </c>
      <c r="M456" s="228">
        <f t="shared" si="80"/>
        <v>570585</v>
      </c>
      <c r="N456" s="229">
        <v>1</v>
      </c>
      <c r="O456" s="229"/>
    </row>
    <row r="457" spans="1:15" x14ac:dyDescent="0.2">
      <c r="A457" s="226">
        <v>456</v>
      </c>
      <c r="B457" s="226" t="str">
        <f t="shared" ref="B457:B520" si="81">D457&amp;E457&amp;F457&amp;C457&amp;"-"&amp;G457&amp;IF(M457&lt;&gt;"",O457,"")</f>
        <v>RESERVATANK SIZE 343LFM-2001-7</v>
      </c>
      <c r="C457" s="226">
        <f t="shared" si="78"/>
        <v>1</v>
      </c>
      <c r="D457" s="226" t="s">
        <v>116</v>
      </c>
      <c r="E457" s="226" t="s">
        <v>86</v>
      </c>
      <c r="F457" s="226" t="s">
        <v>15</v>
      </c>
      <c r="G457" s="226">
        <f t="shared" si="79"/>
        <v>7</v>
      </c>
      <c r="H457" s="226" t="s">
        <v>16</v>
      </c>
      <c r="I457" s="227">
        <v>570278</v>
      </c>
      <c r="J457" s="226" t="s">
        <v>80</v>
      </c>
      <c r="K457" s="226" t="s">
        <v>19</v>
      </c>
      <c r="L457" s="226">
        <v>1</v>
      </c>
      <c r="M457" s="228">
        <f t="shared" si="80"/>
        <v>570278</v>
      </c>
      <c r="N457" s="229">
        <v>1</v>
      </c>
      <c r="O457" s="229"/>
    </row>
    <row r="458" spans="1:15" x14ac:dyDescent="0.2">
      <c r="A458" s="226">
        <v>457</v>
      </c>
      <c r="B458" s="226" t="str">
        <f t="shared" si="81"/>
        <v>-</v>
      </c>
      <c r="M458" s="228">
        <f t="shared" si="80"/>
        <v>0</v>
      </c>
      <c r="N458" s="229">
        <v>1</v>
      </c>
      <c r="O458" s="229"/>
    </row>
    <row r="459" spans="1:15" x14ac:dyDescent="0.2">
      <c r="A459" s="226">
        <v>458</v>
      </c>
      <c r="B459" s="226" t="str">
        <f t="shared" si="81"/>
        <v>RESERVATANK SIZE 8LFK-5-1-121-1</v>
      </c>
      <c r="C459" s="226">
        <f>L459</f>
        <v>1</v>
      </c>
      <c r="D459" s="226" t="s">
        <v>116</v>
      </c>
      <c r="E459" s="226" t="s">
        <v>14</v>
      </c>
      <c r="F459" s="226" t="s">
        <v>98</v>
      </c>
      <c r="G459" s="226">
        <v>1</v>
      </c>
      <c r="H459" s="226" t="s">
        <v>16</v>
      </c>
      <c r="I459" s="227" t="s">
        <v>17</v>
      </c>
      <c r="J459" s="226" t="s">
        <v>18</v>
      </c>
      <c r="K459" s="226" t="s">
        <v>19</v>
      </c>
      <c r="L459" s="226">
        <v>1</v>
      </c>
      <c r="M459" s="228" t="s">
        <v>20</v>
      </c>
      <c r="N459" s="229">
        <v>1</v>
      </c>
      <c r="O459" s="229"/>
    </row>
    <row r="460" spans="1:15" x14ac:dyDescent="0.2">
      <c r="A460" s="226">
        <v>459</v>
      </c>
      <c r="B460" s="226" t="str">
        <f t="shared" si="81"/>
        <v>RESERVATANK SIZE 8LFK-5-1-121-2</v>
      </c>
      <c r="C460" s="226">
        <f>C459</f>
        <v>1</v>
      </c>
      <c r="D460" s="226" t="s">
        <v>116</v>
      </c>
      <c r="E460" s="226" t="s">
        <v>14</v>
      </c>
      <c r="F460" s="226" t="s">
        <v>98</v>
      </c>
      <c r="G460" s="226">
        <f>+G459+1</f>
        <v>2</v>
      </c>
      <c r="H460" s="226" t="s">
        <v>16</v>
      </c>
      <c r="I460" s="227">
        <v>445732</v>
      </c>
      <c r="J460" s="226" t="s">
        <v>99</v>
      </c>
      <c r="K460" s="226" t="s">
        <v>19</v>
      </c>
      <c r="L460" s="226">
        <v>1</v>
      </c>
      <c r="M460" s="228">
        <f t="shared" si="80"/>
        <v>445732</v>
      </c>
      <c r="N460" s="229">
        <v>1</v>
      </c>
      <c r="O460" s="229"/>
    </row>
    <row r="461" spans="1:15" x14ac:dyDescent="0.2">
      <c r="A461" s="226">
        <v>460</v>
      </c>
      <c r="B461" s="226" t="str">
        <f t="shared" si="81"/>
        <v>RESERVATANK SIZE 8LFK-5-1-121-3</v>
      </c>
      <c r="C461" s="226">
        <f>C460</f>
        <v>1</v>
      </c>
      <c r="D461" s="226" t="s">
        <v>116</v>
      </c>
      <c r="E461" s="226" t="s">
        <v>14</v>
      </c>
      <c r="F461" s="226" t="s">
        <v>98</v>
      </c>
      <c r="G461" s="226">
        <f t="shared" ref="G461:G464" si="82">+G460+1</f>
        <v>3</v>
      </c>
      <c r="H461" s="226" t="s">
        <v>16</v>
      </c>
      <c r="I461" s="227" t="s">
        <v>98</v>
      </c>
      <c r="J461" s="226" t="s">
        <v>100</v>
      </c>
      <c r="K461" s="226" t="s">
        <v>19</v>
      </c>
      <c r="L461" s="230">
        <f>'COT AGENTES'!$H$5</f>
        <v>2</v>
      </c>
      <c r="M461" s="228" t="str">
        <f t="shared" si="80"/>
        <v>FK-5-1-12</v>
      </c>
      <c r="N461" s="229">
        <v>1</v>
      </c>
      <c r="O461" s="229"/>
    </row>
    <row r="462" spans="1:15" x14ac:dyDescent="0.2">
      <c r="A462" s="226">
        <v>461</v>
      </c>
      <c r="B462" s="226" t="str">
        <f t="shared" si="81"/>
        <v>RESERVATANK SIZE 8LFK-5-1-121-4</v>
      </c>
      <c r="C462" s="226">
        <f>C461</f>
        <v>1</v>
      </c>
      <c r="D462" s="226" t="s">
        <v>116</v>
      </c>
      <c r="E462" s="226" t="s">
        <v>14</v>
      </c>
      <c r="F462" s="226" t="s">
        <v>98</v>
      </c>
      <c r="G462" s="226">
        <f t="shared" si="82"/>
        <v>4</v>
      </c>
      <c r="H462" s="226" t="s">
        <v>16</v>
      </c>
      <c r="I462" s="227">
        <v>302207021</v>
      </c>
      <c r="J462" s="226" t="s">
        <v>101</v>
      </c>
      <c r="K462" s="226" t="s">
        <v>19</v>
      </c>
      <c r="L462" s="226">
        <v>1</v>
      </c>
      <c r="M462" s="228">
        <f t="shared" si="80"/>
        <v>302207021</v>
      </c>
      <c r="N462" s="229">
        <v>1</v>
      </c>
      <c r="O462" s="229"/>
    </row>
    <row r="463" spans="1:15" x14ac:dyDescent="0.2">
      <c r="A463" s="226">
        <v>462</v>
      </c>
      <c r="B463" s="226" t="str">
        <f t="shared" si="81"/>
        <v>RESERVATANK SIZE 8LFK-5-1-121-5</v>
      </c>
      <c r="C463" s="226">
        <f>C462</f>
        <v>1</v>
      </c>
      <c r="D463" s="226" t="s">
        <v>116</v>
      </c>
      <c r="E463" s="226" t="s">
        <v>14</v>
      </c>
      <c r="F463" s="226" t="s">
        <v>98</v>
      </c>
      <c r="G463" s="226">
        <f t="shared" si="82"/>
        <v>5</v>
      </c>
      <c r="H463" s="226" t="s">
        <v>16</v>
      </c>
      <c r="I463" s="227">
        <v>314207207</v>
      </c>
      <c r="J463" s="226" t="s">
        <v>102</v>
      </c>
      <c r="K463" s="226" t="s">
        <v>19</v>
      </c>
      <c r="L463" s="226">
        <v>1</v>
      </c>
      <c r="M463" s="228">
        <f t="shared" si="80"/>
        <v>314207207</v>
      </c>
      <c r="N463" s="229">
        <v>1</v>
      </c>
      <c r="O463" s="229"/>
    </row>
    <row r="464" spans="1:15" x14ac:dyDescent="0.2">
      <c r="A464" s="226">
        <v>463</v>
      </c>
      <c r="B464" s="226" t="str">
        <f t="shared" si="81"/>
        <v>RESERVATANK SIZE 8LFK-5-1-121-6</v>
      </c>
      <c r="C464" s="226">
        <f>C463</f>
        <v>1</v>
      </c>
      <c r="D464" s="226" t="s">
        <v>116</v>
      </c>
      <c r="E464" s="226" t="s">
        <v>14</v>
      </c>
      <c r="F464" s="226" t="s">
        <v>98</v>
      </c>
      <c r="G464" s="226">
        <f t="shared" si="82"/>
        <v>6</v>
      </c>
      <c r="H464" s="226" t="s">
        <v>16</v>
      </c>
      <c r="I464" s="227">
        <v>570585</v>
      </c>
      <c r="J464" s="226" t="s">
        <v>26</v>
      </c>
      <c r="K464" s="226" t="s">
        <v>19</v>
      </c>
      <c r="L464" s="226">
        <v>1</v>
      </c>
      <c r="M464" s="228">
        <f t="shared" si="80"/>
        <v>570585</v>
      </c>
      <c r="N464" s="229">
        <v>1</v>
      </c>
      <c r="O464" s="229"/>
    </row>
    <row r="465" spans="1:15" x14ac:dyDescent="0.2">
      <c r="A465" s="226">
        <v>464</v>
      </c>
      <c r="B465" s="226" t="str">
        <f t="shared" si="81"/>
        <v>-</v>
      </c>
      <c r="M465" s="228">
        <f t="shared" si="80"/>
        <v>0</v>
      </c>
      <c r="N465" s="229">
        <v>1</v>
      </c>
      <c r="O465" s="229"/>
    </row>
    <row r="466" spans="1:15" x14ac:dyDescent="0.2">
      <c r="A466" s="226">
        <v>465</v>
      </c>
      <c r="B466" s="226" t="str">
        <f t="shared" si="81"/>
        <v>RESERVATANK SIZE 16LFK-5-1-121-1</v>
      </c>
      <c r="C466" s="226">
        <f>L466</f>
        <v>1</v>
      </c>
      <c r="D466" s="226" t="s">
        <v>116</v>
      </c>
      <c r="E466" s="226" t="s">
        <v>47</v>
      </c>
      <c r="F466" s="226" t="s">
        <v>98</v>
      </c>
      <c r="G466" s="226">
        <v>1</v>
      </c>
      <c r="H466" s="226" t="s">
        <v>16</v>
      </c>
      <c r="I466" s="227" t="s">
        <v>17</v>
      </c>
      <c r="J466" s="226" t="s">
        <v>48</v>
      </c>
      <c r="K466" s="226" t="s">
        <v>19</v>
      </c>
      <c r="L466" s="226">
        <v>1</v>
      </c>
      <c r="M466" s="228" t="s">
        <v>49</v>
      </c>
      <c r="N466" s="229">
        <v>1</v>
      </c>
      <c r="O466" s="229"/>
    </row>
    <row r="467" spans="1:15" x14ac:dyDescent="0.2">
      <c r="A467" s="226">
        <v>466</v>
      </c>
      <c r="B467" s="226" t="str">
        <f t="shared" si="81"/>
        <v>RESERVATANK SIZE 16LFK-5-1-121-2</v>
      </c>
      <c r="C467" s="226">
        <f>C466</f>
        <v>1</v>
      </c>
      <c r="D467" s="226" t="s">
        <v>116</v>
      </c>
      <c r="E467" s="226" t="s">
        <v>47</v>
      </c>
      <c r="F467" s="226" t="s">
        <v>98</v>
      </c>
      <c r="G467" s="226">
        <f>+G466+1</f>
        <v>2</v>
      </c>
      <c r="H467" s="226" t="s">
        <v>16</v>
      </c>
      <c r="I467" s="227">
        <v>445733</v>
      </c>
      <c r="J467" s="226" t="s">
        <v>107</v>
      </c>
      <c r="K467" s="226" t="s">
        <v>19</v>
      </c>
      <c r="L467" s="226">
        <v>1</v>
      </c>
      <c r="M467" s="228">
        <f t="shared" si="80"/>
        <v>445733</v>
      </c>
      <c r="N467" s="229">
        <v>1</v>
      </c>
      <c r="O467" s="229"/>
    </row>
    <row r="468" spans="1:15" x14ac:dyDescent="0.2">
      <c r="A468" s="226">
        <v>467</v>
      </c>
      <c r="B468" s="226" t="str">
        <f t="shared" si="81"/>
        <v>RESERVATANK SIZE 16LFK-5-1-121-3</v>
      </c>
      <c r="C468" s="226">
        <f>C467</f>
        <v>1</v>
      </c>
      <c r="D468" s="226" t="s">
        <v>116</v>
      </c>
      <c r="E468" s="226" t="s">
        <v>47</v>
      </c>
      <c r="F468" s="226" t="s">
        <v>98</v>
      </c>
      <c r="G468" s="226">
        <f t="shared" ref="G468:G471" si="83">+G467+1</f>
        <v>3</v>
      </c>
      <c r="H468" s="226" t="s">
        <v>16</v>
      </c>
      <c r="I468" s="227" t="s">
        <v>98</v>
      </c>
      <c r="J468" s="226" t="s">
        <v>100</v>
      </c>
      <c r="K468" s="226" t="s">
        <v>19</v>
      </c>
      <c r="L468" s="230">
        <f>'COT AGENTES'!$H$5</f>
        <v>2</v>
      </c>
      <c r="M468" s="228" t="str">
        <f t="shared" si="80"/>
        <v>FK-5-1-12</v>
      </c>
      <c r="N468" s="229">
        <v>1</v>
      </c>
      <c r="O468" s="229"/>
    </row>
    <row r="469" spans="1:15" x14ac:dyDescent="0.2">
      <c r="A469" s="226">
        <v>468</v>
      </c>
      <c r="B469" s="226" t="str">
        <f t="shared" si="81"/>
        <v>RESERVATANK SIZE 16LFK-5-1-121-4</v>
      </c>
      <c r="C469" s="226">
        <f>C468</f>
        <v>1</v>
      </c>
      <c r="D469" s="226" t="s">
        <v>116</v>
      </c>
      <c r="E469" s="226" t="s">
        <v>47</v>
      </c>
      <c r="F469" s="226" t="s">
        <v>98</v>
      </c>
      <c r="G469" s="226">
        <f t="shared" si="83"/>
        <v>4</v>
      </c>
      <c r="H469" s="226" t="s">
        <v>16</v>
      </c>
      <c r="I469" s="227">
        <v>302207021</v>
      </c>
      <c r="J469" s="226" t="s">
        <v>101</v>
      </c>
      <c r="K469" s="226" t="s">
        <v>19</v>
      </c>
      <c r="L469" s="226">
        <v>1</v>
      </c>
      <c r="M469" s="228">
        <f t="shared" si="80"/>
        <v>302207021</v>
      </c>
      <c r="N469" s="229">
        <v>1</v>
      </c>
      <c r="O469" s="229"/>
    </row>
    <row r="470" spans="1:15" x14ac:dyDescent="0.2">
      <c r="A470" s="226">
        <v>469</v>
      </c>
      <c r="B470" s="226" t="str">
        <f t="shared" si="81"/>
        <v>RESERVATANK SIZE 16LFK-5-1-121-5</v>
      </c>
      <c r="C470" s="226">
        <f>C469</f>
        <v>1</v>
      </c>
      <c r="D470" s="226" t="s">
        <v>116</v>
      </c>
      <c r="E470" s="226" t="s">
        <v>47</v>
      </c>
      <c r="F470" s="226" t="s">
        <v>98</v>
      </c>
      <c r="G470" s="226">
        <f t="shared" si="83"/>
        <v>5</v>
      </c>
      <c r="H470" s="226" t="s">
        <v>16</v>
      </c>
      <c r="I470" s="227">
        <v>314207207</v>
      </c>
      <c r="J470" s="226" t="s">
        <v>102</v>
      </c>
      <c r="K470" s="226" t="s">
        <v>19</v>
      </c>
      <c r="L470" s="226">
        <v>1</v>
      </c>
      <c r="M470" s="228">
        <f t="shared" si="80"/>
        <v>314207207</v>
      </c>
      <c r="N470" s="229">
        <v>1</v>
      </c>
      <c r="O470" s="229"/>
    </row>
    <row r="471" spans="1:15" x14ac:dyDescent="0.2">
      <c r="A471" s="226">
        <v>470</v>
      </c>
      <c r="B471" s="226" t="str">
        <f t="shared" si="81"/>
        <v>RESERVATANK SIZE 16LFK-5-1-121-6</v>
      </c>
      <c r="C471" s="226">
        <f>C470</f>
        <v>1</v>
      </c>
      <c r="D471" s="226" t="s">
        <v>116</v>
      </c>
      <c r="E471" s="226" t="s">
        <v>47</v>
      </c>
      <c r="F471" s="226" t="s">
        <v>98</v>
      </c>
      <c r="G471" s="226">
        <f t="shared" si="83"/>
        <v>6</v>
      </c>
      <c r="H471" s="226" t="s">
        <v>16</v>
      </c>
      <c r="I471" s="227">
        <v>570585</v>
      </c>
      <c r="J471" s="226" t="s">
        <v>26</v>
      </c>
      <c r="K471" s="226" t="s">
        <v>19</v>
      </c>
      <c r="L471" s="226">
        <v>1</v>
      </c>
      <c r="M471" s="228">
        <f t="shared" si="80"/>
        <v>570585</v>
      </c>
      <c r="N471" s="229">
        <v>1</v>
      </c>
      <c r="O471" s="229"/>
    </row>
    <row r="472" spans="1:15" x14ac:dyDescent="0.2">
      <c r="A472" s="226">
        <v>471</v>
      </c>
      <c r="B472" s="226" t="str">
        <f t="shared" si="81"/>
        <v>-</v>
      </c>
      <c r="M472" s="228">
        <f t="shared" si="80"/>
        <v>0</v>
      </c>
      <c r="N472" s="229">
        <v>1</v>
      </c>
      <c r="O472" s="229"/>
    </row>
    <row r="473" spans="1:15" x14ac:dyDescent="0.2">
      <c r="A473" s="226">
        <v>472</v>
      </c>
      <c r="B473" s="226" t="str">
        <f t="shared" si="81"/>
        <v>RESERVATANK SIZE 32LFK-5-1-121-1</v>
      </c>
      <c r="C473" s="226">
        <f>L473</f>
        <v>1</v>
      </c>
      <c r="D473" s="226" t="s">
        <v>116</v>
      </c>
      <c r="E473" s="226" t="s">
        <v>52</v>
      </c>
      <c r="F473" s="226" t="s">
        <v>98</v>
      </c>
      <c r="G473" s="226">
        <v>1</v>
      </c>
      <c r="H473" s="226" t="s">
        <v>16</v>
      </c>
      <c r="I473" s="227" t="s">
        <v>17</v>
      </c>
      <c r="J473" s="226" t="s">
        <v>53</v>
      </c>
      <c r="K473" s="226" t="s">
        <v>19</v>
      </c>
      <c r="L473" s="226">
        <v>1</v>
      </c>
      <c r="M473" s="228" t="s">
        <v>54</v>
      </c>
      <c r="N473" s="229">
        <v>1</v>
      </c>
      <c r="O473" s="229"/>
    </row>
    <row r="474" spans="1:15" x14ac:dyDescent="0.2">
      <c r="A474" s="226">
        <v>473</v>
      </c>
      <c r="B474" s="226" t="str">
        <f t="shared" si="81"/>
        <v>RESERVATANK SIZE 32LFK-5-1-121-2</v>
      </c>
      <c r="C474" s="226">
        <f>C473</f>
        <v>1</v>
      </c>
      <c r="D474" s="226" t="s">
        <v>116</v>
      </c>
      <c r="E474" s="226" t="s">
        <v>52</v>
      </c>
      <c r="F474" s="226" t="s">
        <v>98</v>
      </c>
      <c r="G474" s="226">
        <f>+G473+1</f>
        <v>2</v>
      </c>
      <c r="H474" s="226" t="s">
        <v>16</v>
      </c>
      <c r="I474" s="227">
        <v>445734</v>
      </c>
      <c r="J474" s="226" t="s">
        <v>108</v>
      </c>
      <c r="K474" s="226" t="s">
        <v>19</v>
      </c>
      <c r="L474" s="226">
        <v>1</v>
      </c>
      <c r="M474" s="228">
        <f t="shared" si="80"/>
        <v>445734</v>
      </c>
      <c r="N474" s="229">
        <v>1</v>
      </c>
      <c r="O474" s="229"/>
    </row>
    <row r="475" spans="1:15" x14ac:dyDescent="0.2">
      <c r="A475" s="226">
        <v>474</v>
      </c>
      <c r="B475" s="226" t="str">
        <f t="shared" si="81"/>
        <v>RESERVATANK SIZE 32LFK-5-1-121-3</v>
      </c>
      <c r="C475" s="226">
        <f>C474</f>
        <v>1</v>
      </c>
      <c r="D475" s="226" t="s">
        <v>116</v>
      </c>
      <c r="E475" s="226" t="s">
        <v>52</v>
      </c>
      <c r="F475" s="226" t="s">
        <v>98</v>
      </c>
      <c r="G475" s="226">
        <f t="shared" ref="G475:G478" si="84">+G474+1</f>
        <v>3</v>
      </c>
      <c r="H475" s="226" t="s">
        <v>16</v>
      </c>
      <c r="I475" s="227" t="s">
        <v>98</v>
      </c>
      <c r="J475" s="226" t="s">
        <v>100</v>
      </c>
      <c r="K475" s="226" t="s">
        <v>19</v>
      </c>
      <c r="L475" s="230">
        <f>'COT AGENTES'!$H$5</f>
        <v>2</v>
      </c>
      <c r="M475" s="228" t="str">
        <f t="shared" si="80"/>
        <v>FK-5-1-12</v>
      </c>
      <c r="N475" s="229">
        <v>1</v>
      </c>
      <c r="O475" s="229"/>
    </row>
    <row r="476" spans="1:15" x14ac:dyDescent="0.2">
      <c r="A476" s="226">
        <v>475</v>
      </c>
      <c r="B476" s="226" t="str">
        <f t="shared" si="81"/>
        <v>RESERVATANK SIZE 32LFK-5-1-121-4</v>
      </c>
      <c r="C476" s="226">
        <f>C475</f>
        <v>1</v>
      </c>
      <c r="D476" s="226" t="s">
        <v>116</v>
      </c>
      <c r="E476" s="226" t="s">
        <v>52</v>
      </c>
      <c r="F476" s="226" t="s">
        <v>98</v>
      </c>
      <c r="G476" s="226">
        <f t="shared" si="84"/>
        <v>4</v>
      </c>
      <c r="H476" s="226" t="s">
        <v>16</v>
      </c>
      <c r="I476" s="227">
        <v>302207021</v>
      </c>
      <c r="J476" s="226" t="s">
        <v>101</v>
      </c>
      <c r="K476" s="226" t="s">
        <v>19</v>
      </c>
      <c r="L476" s="226">
        <v>1</v>
      </c>
      <c r="M476" s="228">
        <f t="shared" si="80"/>
        <v>302207021</v>
      </c>
      <c r="N476" s="229">
        <v>1</v>
      </c>
      <c r="O476" s="229"/>
    </row>
    <row r="477" spans="1:15" x14ac:dyDescent="0.2">
      <c r="A477" s="226">
        <v>476</v>
      </c>
      <c r="B477" s="226" t="str">
        <f t="shared" si="81"/>
        <v>RESERVATANK SIZE 32LFK-5-1-121-5</v>
      </c>
      <c r="C477" s="226">
        <f>C476</f>
        <v>1</v>
      </c>
      <c r="D477" s="226" t="s">
        <v>116</v>
      </c>
      <c r="E477" s="226" t="s">
        <v>52</v>
      </c>
      <c r="F477" s="226" t="s">
        <v>98</v>
      </c>
      <c r="G477" s="226">
        <f t="shared" si="84"/>
        <v>5</v>
      </c>
      <c r="H477" s="226" t="s">
        <v>16</v>
      </c>
      <c r="I477" s="227">
        <v>314207329</v>
      </c>
      <c r="J477" s="226" t="s">
        <v>109</v>
      </c>
      <c r="K477" s="226" t="s">
        <v>19</v>
      </c>
      <c r="L477" s="226">
        <v>1</v>
      </c>
      <c r="M477" s="228">
        <f t="shared" si="80"/>
        <v>314207329</v>
      </c>
      <c r="N477" s="229">
        <v>1</v>
      </c>
      <c r="O477" s="229"/>
    </row>
    <row r="478" spans="1:15" x14ac:dyDescent="0.2">
      <c r="A478" s="226">
        <v>477</v>
      </c>
      <c r="B478" s="226" t="str">
        <f t="shared" si="81"/>
        <v>RESERVATANK SIZE 32LFK-5-1-121-6</v>
      </c>
      <c r="C478" s="226">
        <f>C477</f>
        <v>1</v>
      </c>
      <c r="D478" s="226" t="s">
        <v>116</v>
      </c>
      <c r="E478" s="226" t="s">
        <v>52</v>
      </c>
      <c r="F478" s="226" t="s">
        <v>98</v>
      </c>
      <c r="G478" s="226">
        <f t="shared" si="84"/>
        <v>6</v>
      </c>
      <c r="H478" s="226" t="s">
        <v>16</v>
      </c>
      <c r="I478" s="227">
        <v>570585</v>
      </c>
      <c r="J478" s="226" t="s">
        <v>26</v>
      </c>
      <c r="K478" s="226" t="s">
        <v>19</v>
      </c>
      <c r="L478" s="226">
        <v>1</v>
      </c>
      <c r="M478" s="228">
        <f t="shared" si="80"/>
        <v>570585</v>
      </c>
      <c r="N478" s="229">
        <v>1</v>
      </c>
      <c r="O478" s="229"/>
    </row>
    <row r="479" spans="1:15" x14ac:dyDescent="0.2">
      <c r="A479" s="226">
        <v>478</v>
      </c>
      <c r="B479" s="226" t="str">
        <f t="shared" si="81"/>
        <v>-</v>
      </c>
      <c r="M479" s="228">
        <f t="shared" si="80"/>
        <v>0</v>
      </c>
      <c r="N479" s="229">
        <v>1</v>
      </c>
      <c r="O479" s="229"/>
    </row>
    <row r="480" spans="1:15" x14ac:dyDescent="0.2">
      <c r="A480" s="226">
        <v>479</v>
      </c>
      <c r="B480" s="226" t="str">
        <f t="shared" si="81"/>
        <v>RESERVATANK SIZE 52LFK-5-1-121-1</v>
      </c>
      <c r="C480" s="226">
        <f>L480</f>
        <v>1</v>
      </c>
      <c r="D480" s="226" t="s">
        <v>116</v>
      </c>
      <c r="E480" s="226" t="s">
        <v>58</v>
      </c>
      <c r="F480" s="226" t="s">
        <v>98</v>
      </c>
      <c r="G480" s="226">
        <v>1</v>
      </c>
      <c r="H480" s="226" t="s">
        <v>16</v>
      </c>
      <c r="I480" s="227" t="s">
        <v>17</v>
      </c>
      <c r="J480" s="226" t="s">
        <v>59</v>
      </c>
      <c r="K480" s="226" t="s">
        <v>19</v>
      </c>
      <c r="L480" s="226">
        <v>1</v>
      </c>
      <c r="M480" s="228" t="s">
        <v>60</v>
      </c>
      <c r="N480" s="229">
        <v>1</v>
      </c>
      <c r="O480" s="229"/>
    </row>
    <row r="481" spans="1:15" x14ac:dyDescent="0.2">
      <c r="A481" s="226">
        <v>480</v>
      </c>
      <c r="B481" s="226" t="str">
        <f t="shared" si="81"/>
        <v>RESERVATANK SIZE 52LFK-5-1-121-2</v>
      </c>
      <c r="C481" s="226">
        <f>C480</f>
        <v>1</v>
      </c>
      <c r="D481" s="226" t="s">
        <v>116</v>
      </c>
      <c r="E481" s="226" t="s">
        <v>58</v>
      </c>
      <c r="F481" s="226" t="s">
        <v>98</v>
      </c>
      <c r="G481" s="226">
        <f>+G480+1</f>
        <v>2</v>
      </c>
      <c r="H481" s="226" t="s">
        <v>16</v>
      </c>
      <c r="I481" s="227">
        <v>445735</v>
      </c>
      <c r="J481" s="226" t="s">
        <v>110</v>
      </c>
      <c r="K481" s="226" t="s">
        <v>19</v>
      </c>
      <c r="L481" s="226">
        <v>1</v>
      </c>
      <c r="M481" s="228">
        <f t="shared" si="80"/>
        <v>445735</v>
      </c>
      <c r="N481" s="229">
        <v>1</v>
      </c>
      <c r="O481" s="229"/>
    </row>
    <row r="482" spans="1:15" x14ac:dyDescent="0.2">
      <c r="A482" s="226">
        <v>481</v>
      </c>
      <c r="B482" s="226" t="str">
        <f t="shared" si="81"/>
        <v>RESERVATANK SIZE 52LFK-5-1-121-3</v>
      </c>
      <c r="C482" s="226">
        <f>C481</f>
        <v>1</v>
      </c>
      <c r="D482" s="226" t="s">
        <v>116</v>
      </c>
      <c r="E482" s="226" t="s">
        <v>58</v>
      </c>
      <c r="F482" s="226" t="s">
        <v>98</v>
      </c>
      <c r="G482" s="226">
        <f t="shared" ref="G482:G485" si="85">+G481+1</f>
        <v>3</v>
      </c>
      <c r="H482" s="226" t="s">
        <v>16</v>
      </c>
      <c r="I482" s="227" t="s">
        <v>98</v>
      </c>
      <c r="J482" s="226" t="s">
        <v>100</v>
      </c>
      <c r="K482" s="226" t="s">
        <v>19</v>
      </c>
      <c r="L482" s="230">
        <f>'COT AGENTES'!$H$5</f>
        <v>2</v>
      </c>
      <c r="M482" s="228" t="str">
        <f t="shared" si="80"/>
        <v>FK-5-1-12</v>
      </c>
      <c r="N482" s="229">
        <v>1</v>
      </c>
      <c r="O482" s="229"/>
    </row>
    <row r="483" spans="1:15" x14ac:dyDescent="0.2">
      <c r="A483" s="226">
        <v>482</v>
      </c>
      <c r="B483" s="226" t="str">
        <f t="shared" si="81"/>
        <v>RESERVATANK SIZE 52LFK-5-1-121-4</v>
      </c>
      <c r="C483" s="226">
        <f>C482</f>
        <v>1</v>
      </c>
      <c r="D483" s="226" t="s">
        <v>116</v>
      </c>
      <c r="E483" s="226" t="s">
        <v>58</v>
      </c>
      <c r="F483" s="226" t="s">
        <v>98</v>
      </c>
      <c r="G483" s="226">
        <f t="shared" si="85"/>
        <v>4</v>
      </c>
      <c r="H483" s="226" t="s">
        <v>16</v>
      </c>
      <c r="I483" s="227">
        <v>302207021</v>
      </c>
      <c r="J483" s="226" t="s">
        <v>101</v>
      </c>
      <c r="K483" s="226" t="s">
        <v>19</v>
      </c>
      <c r="L483" s="226">
        <v>1</v>
      </c>
      <c r="M483" s="228">
        <f t="shared" si="80"/>
        <v>302207021</v>
      </c>
      <c r="N483" s="229">
        <v>1</v>
      </c>
      <c r="O483" s="229"/>
    </row>
    <row r="484" spans="1:15" x14ac:dyDescent="0.2">
      <c r="A484" s="226">
        <v>483</v>
      </c>
      <c r="B484" s="226" t="str">
        <f t="shared" si="81"/>
        <v>RESERVATANK SIZE 52LFK-5-1-121-5</v>
      </c>
      <c r="C484" s="226">
        <f>C483</f>
        <v>1</v>
      </c>
      <c r="D484" s="226" t="s">
        <v>116</v>
      </c>
      <c r="E484" s="226" t="s">
        <v>58</v>
      </c>
      <c r="F484" s="226" t="s">
        <v>98</v>
      </c>
      <c r="G484" s="226">
        <f t="shared" si="85"/>
        <v>5</v>
      </c>
      <c r="H484" s="226" t="s">
        <v>16</v>
      </c>
      <c r="I484" s="227">
        <v>314207207</v>
      </c>
      <c r="J484" s="226" t="s">
        <v>102</v>
      </c>
      <c r="K484" s="226" t="s">
        <v>19</v>
      </c>
      <c r="L484" s="226">
        <v>1</v>
      </c>
      <c r="M484" s="228">
        <f t="shared" si="80"/>
        <v>314207207</v>
      </c>
      <c r="N484" s="229">
        <v>1</v>
      </c>
      <c r="O484" s="229"/>
    </row>
    <row r="485" spans="1:15" x14ac:dyDescent="0.2">
      <c r="A485" s="226">
        <v>484</v>
      </c>
      <c r="B485" s="226" t="str">
        <f t="shared" si="81"/>
        <v>RESERVATANK SIZE 52LFK-5-1-121-6</v>
      </c>
      <c r="C485" s="226">
        <f>C484</f>
        <v>1</v>
      </c>
      <c r="D485" s="226" t="s">
        <v>116</v>
      </c>
      <c r="E485" s="226" t="s">
        <v>58</v>
      </c>
      <c r="F485" s="226" t="s">
        <v>98</v>
      </c>
      <c r="G485" s="226">
        <f t="shared" si="85"/>
        <v>6</v>
      </c>
      <c r="H485" s="226" t="s">
        <v>16</v>
      </c>
      <c r="I485" s="227">
        <v>570585</v>
      </c>
      <c r="J485" s="226" t="s">
        <v>26</v>
      </c>
      <c r="K485" s="226" t="s">
        <v>19</v>
      </c>
      <c r="L485" s="226">
        <v>1</v>
      </c>
      <c r="M485" s="228">
        <f t="shared" si="80"/>
        <v>570585</v>
      </c>
      <c r="N485" s="229">
        <v>1</v>
      </c>
      <c r="O485" s="229"/>
    </row>
    <row r="486" spans="1:15" x14ac:dyDescent="0.2">
      <c r="A486" s="226">
        <v>485</v>
      </c>
      <c r="B486" s="226" t="str">
        <f t="shared" si="81"/>
        <v>-</v>
      </c>
      <c r="M486" s="228">
        <f t="shared" si="80"/>
        <v>0</v>
      </c>
      <c r="N486" s="229">
        <v>1</v>
      </c>
      <c r="O486" s="229"/>
    </row>
    <row r="487" spans="1:15" x14ac:dyDescent="0.2">
      <c r="A487" s="226">
        <v>486</v>
      </c>
      <c r="B487" s="226" t="str">
        <f t="shared" si="81"/>
        <v>RESERVATANK SIZE 106LFK-5-1-121-1</v>
      </c>
      <c r="C487" s="226">
        <f>L487</f>
        <v>1</v>
      </c>
      <c r="D487" s="226" t="s">
        <v>116</v>
      </c>
      <c r="E487" s="226" t="s">
        <v>69</v>
      </c>
      <c r="F487" s="226" t="s">
        <v>98</v>
      </c>
      <c r="G487" s="226">
        <v>1</v>
      </c>
      <c r="H487" s="226" t="s">
        <v>16</v>
      </c>
      <c r="I487" s="227" t="s">
        <v>17</v>
      </c>
      <c r="J487" s="226" t="s">
        <v>70</v>
      </c>
      <c r="K487" s="226" t="s">
        <v>19</v>
      </c>
      <c r="L487" s="226">
        <v>1</v>
      </c>
      <c r="M487" s="228" t="s">
        <v>71</v>
      </c>
      <c r="N487" s="229">
        <v>1</v>
      </c>
      <c r="O487" s="229"/>
    </row>
    <row r="488" spans="1:15" x14ac:dyDescent="0.2">
      <c r="A488" s="226">
        <v>487</v>
      </c>
      <c r="B488" s="226" t="str">
        <f t="shared" si="81"/>
        <v>RESERVATANK SIZE 106LFK-5-1-121-2</v>
      </c>
      <c r="C488" s="226">
        <f t="shared" ref="C488:C493" si="86">C487</f>
        <v>1</v>
      </c>
      <c r="D488" s="226" t="s">
        <v>116</v>
      </c>
      <c r="E488" s="226" t="s">
        <v>69</v>
      </c>
      <c r="F488" s="226" t="s">
        <v>98</v>
      </c>
      <c r="G488" s="226">
        <f t="shared" ref="G488:G493" si="87">+G487+1</f>
        <v>2</v>
      </c>
      <c r="H488" s="226" t="s">
        <v>16</v>
      </c>
      <c r="I488" s="227">
        <v>445736</v>
      </c>
      <c r="J488" s="226" t="s">
        <v>111</v>
      </c>
      <c r="K488" s="226" t="s">
        <v>19</v>
      </c>
      <c r="L488" s="226">
        <v>1</v>
      </c>
      <c r="M488" s="228">
        <f t="shared" si="80"/>
        <v>445736</v>
      </c>
      <c r="N488" s="229">
        <v>1</v>
      </c>
      <c r="O488" s="229"/>
    </row>
    <row r="489" spans="1:15" x14ac:dyDescent="0.2">
      <c r="A489" s="226">
        <v>488</v>
      </c>
      <c r="B489" s="226" t="str">
        <f t="shared" si="81"/>
        <v>RESERVATANK SIZE 106LFK-5-1-121-3</v>
      </c>
      <c r="C489" s="226">
        <f t="shared" si="86"/>
        <v>1</v>
      </c>
      <c r="D489" s="226" t="s">
        <v>116</v>
      </c>
      <c r="E489" s="226" t="s">
        <v>69</v>
      </c>
      <c r="F489" s="226" t="s">
        <v>98</v>
      </c>
      <c r="G489" s="226">
        <f t="shared" si="87"/>
        <v>3</v>
      </c>
      <c r="H489" s="226" t="s">
        <v>16</v>
      </c>
      <c r="I489" s="227" t="s">
        <v>98</v>
      </c>
      <c r="J489" s="226" t="s">
        <v>100</v>
      </c>
      <c r="K489" s="226" t="s">
        <v>19</v>
      </c>
      <c r="L489" s="230">
        <f>'COT AGENTES'!$H$5</f>
        <v>2</v>
      </c>
      <c r="M489" s="228" t="str">
        <f t="shared" si="80"/>
        <v>FK-5-1-12</v>
      </c>
      <c r="N489" s="229">
        <v>1</v>
      </c>
      <c r="O489" s="229"/>
    </row>
    <row r="490" spans="1:15" x14ac:dyDescent="0.2">
      <c r="A490" s="226">
        <v>489</v>
      </c>
      <c r="B490" s="226" t="str">
        <f t="shared" si="81"/>
        <v>RESERVATANK SIZE 106LFK-5-1-121-4</v>
      </c>
      <c r="C490" s="226">
        <f t="shared" si="86"/>
        <v>1</v>
      </c>
      <c r="D490" s="226" t="s">
        <v>116</v>
      </c>
      <c r="E490" s="226" t="s">
        <v>69</v>
      </c>
      <c r="F490" s="226" t="s">
        <v>98</v>
      </c>
      <c r="G490" s="226">
        <f t="shared" si="87"/>
        <v>4</v>
      </c>
      <c r="H490" s="226" t="s">
        <v>16</v>
      </c>
      <c r="I490" s="227">
        <v>302207021</v>
      </c>
      <c r="J490" s="226" t="s">
        <v>101</v>
      </c>
      <c r="K490" s="226" t="s">
        <v>19</v>
      </c>
      <c r="L490" s="226">
        <v>1</v>
      </c>
      <c r="M490" s="228">
        <f t="shared" si="80"/>
        <v>302207021</v>
      </c>
      <c r="N490" s="229">
        <v>1</v>
      </c>
      <c r="O490" s="229"/>
    </row>
    <row r="491" spans="1:15" x14ac:dyDescent="0.2">
      <c r="A491" s="226">
        <v>490</v>
      </c>
      <c r="B491" s="226" t="str">
        <f t="shared" si="81"/>
        <v>RESERVATANK SIZE 106LFK-5-1-121-5</v>
      </c>
      <c r="C491" s="226">
        <f t="shared" si="86"/>
        <v>1</v>
      </c>
      <c r="D491" s="226" t="s">
        <v>116</v>
      </c>
      <c r="E491" s="226" t="s">
        <v>69</v>
      </c>
      <c r="F491" s="226" t="s">
        <v>98</v>
      </c>
      <c r="G491" s="226">
        <f t="shared" si="87"/>
        <v>5</v>
      </c>
      <c r="H491" s="226" t="s">
        <v>16</v>
      </c>
      <c r="I491" s="227">
        <v>314207329</v>
      </c>
      <c r="J491" s="226" t="s">
        <v>109</v>
      </c>
      <c r="K491" s="226" t="s">
        <v>19</v>
      </c>
      <c r="L491" s="226">
        <v>1</v>
      </c>
      <c r="M491" s="228">
        <f t="shared" si="80"/>
        <v>314207329</v>
      </c>
      <c r="N491" s="229">
        <v>1</v>
      </c>
      <c r="O491" s="229"/>
    </row>
    <row r="492" spans="1:15" x14ac:dyDescent="0.2">
      <c r="A492" s="226">
        <v>491</v>
      </c>
      <c r="B492" s="226" t="str">
        <f t="shared" si="81"/>
        <v>RESERVATANK SIZE 106LFK-5-1-121-6</v>
      </c>
      <c r="C492" s="226">
        <f t="shared" si="86"/>
        <v>1</v>
      </c>
      <c r="D492" s="226" t="s">
        <v>116</v>
      </c>
      <c r="E492" s="226" t="s">
        <v>69</v>
      </c>
      <c r="F492" s="226" t="s">
        <v>98</v>
      </c>
      <c r="G492" s="226">
        <f t="shared" si="87"/>
        <v>6</v>
      </c>
      <c r="H492" s="226" t="s">
        <v>16</v>
      </c>
      <c r="I492" s="227">
        <v>570585</v>
      </c>
      <c r="J492" s="226" t="s">
        <v>26</v>
      </c>
      <c r="K492" s="226" t="s">
        <v>19</v>
      </c>
      <c r="L492" s="226">
        <v>1</v>
      </c>
      <c r="M492" s="228">
        <f t="shared" si="80"/>
        <v>570585</v>
      </c>
      <c r="N492" s="229">
        <v>1</v>
      </c>
      <c r="O492" s="229"/>
    </row>
    <row r="493" spans="1:15" x14ac:dyDescent="0.2">
      <c r="A493" s="226">
        <v>492</v>
      </c>
      <c r="B493" s="226" t="str">
        <f t="shared" si="81"/>
        <v>RESERVATANK SIZE 106LFK-5-1-121-7</v>
      </c>
      <c r="C493" s="226">
        <f t="shared" si="86"/>
        <v>1</v>
      </c>
      <c r="D493" s="226" t="s">
        <v>116</v>
      </c>
      <c r="E493" s="226" t="s">
        <v>69</v>
      </c>
      <c r="F493" s="226" t="s">
        <v>98</v>
      </c>
      <c r="G493" s="226">
        <f t="shared" si="87"/>
        <v>7</v>
      </c>
      <c r="H493" s="226" t="s">
        <v>16</v>
      </c>
      <c r="I493" s="227">
        <v>570277</v>
      </c>
      <c r="J493" s="226" t="s">
        <v>74</v>
      </c>
      <c r="K493" s="226" t="s">
        <v>19</v>
      </c>
      <c r="L493" s="226">
        <v>1</v>
      </c>
      <c r="M493" s="228">
        <f t="shared" si="80"/>
        <v>570277</v>
      </c>
      <c r="N493" s="229">
        <v>1</v>
      </c>
      <c r="O493" s="229"/>
    </row>
    <row r="494" spans="1:15" x14ac:dyDescent="0.2">
      <c r="A494" s="226">
        <v>493</v>
      </c>
      <c r="B494" s="226" t="str">
        <f t="shared" si="81"/>
        <v>-</v>
      </c>
      <c r="M494" s="228">
        <f t="shared" si="80"/>
        <v>0</v>
      </c>
      <c r="N494" s="229">
        <v>1</v>
      </c>
      <c r="O494" s="229"/>
    </row>
    <row r="495" spans="1:15" x14ac:dyDescent="0.2">
      <c r="A495" s="226">
        <v>494</v>
      </c>
      <c r="B495" s="226" t="str">
        <f t="shared" si="81"/>
        <v>RESERVATANK SIZE 147LFK-5-1-121-1</v>
      </c>
      <c r="C495" s="226">
        <f>L495</f>
        <v>1</v>
      </c>
      <c r="D495" s="226" t="s">
        <v>116</v>
      </c>
      <c r="E495" s="226" t="s">
        <v>75</v>
      </c>
      <c r="F495" s="226" t="s">
        <v>98</v>
      </c>
      <c r="G495" s="226">
        <v>1</v>
      </c>
      <c r="H495" s="226" t="s">
        <v>16</v>
      </c>
      <c r="I495" s="227" t="s">
        <v>17</v>
      </c>
      <c r="J495" s="226" t="s">
        <v>76</v>
      </c>
      <c r="K495" s="226" t="s">
        <v>19</v>
      </c>
      <c r="L495" s="226">
        <v>1</v>
      </c>
      <c r="M495" s="228" t="s">
        <v>77</v>
      </c>
      <c r="N495" s="229">
        <v>1</v>
      </c>
      <c r="O495" s="229"/>
    </row>
    <row r="496" spans="1:15" x14ac:dyDescent="0.2">
      <c r="A496" s="226">
        <v>495</v>
      </c>
      <c r="B496" s="226" t="str">
        <f t="shared" si="81"/>
        <v>RESERVATANK SIZE 147LFK-5-1-121-2</v>
      </c>
      <c r="C496" s="226">
        <f t="shared" ref="C496:C501" si="88">C495</f>
        <v>1</v>
      </c>
      <c r="D496" s="226" t="s">
        <v>116</v>
      </c>
      <c r="E496" s="226" t="s">
        <v>75</v>
      </c>
      <c r="F496" s="226" t="s">
        <v>98</v>
      </c>
      <c r="G496" s="226">
        <f t="shared" ref="G496:G501" si="89">+G495+1</f>
        <v>2</v>
      </c>
      <c r="H496" s="226" t="s">
        <v>16</v>
      </c>
      <c r="I496" s="227">
        <v>445737</v>
      </c>
      <c r="J496" s="226" t="s">
        <v>112</v>
      </c>
      <c r="K496" s="226" t="s">
        <v>19</v>
      </c>
      <c r="L496" s="226">
        <v>1</v>
      </c>
      <c r="M496" s="228">
        <f t="shared" si="80"/>
        <v>445737</v>
      </c>
      <c r="N496" s="229">
        <v>1</v>
      </c>
      <c r="O496" s="229"/>
    </row>
    <row r="497" spans="1:15" x14ac:dyDescent="0.2">
      <c r="A497" s="226">
        <v>496</v>
      </c>
      <c r="B497" s="226" t="str">
        <f t="shared" si="81"/>
        <v>RESERVATANK SIZE 147LFK-5-1-121-3</v>
      </c>
      <c r="C497" s="226">
        <f t="shared" si="88"/>
        <v>1</v>
      </c>
      <c r="D497" s="226" t="s">
        <v>116</v>
      </c>
      <c r="E497" s="226" t="s">
        <v>75</v>
      </c>
      <c r="F497" s="226" t="s">
        <v>98</v>
      </c>
      <c r="G497" s="226">
        <f t="shared" si="89"/>
        <v>3</v>
      </c>
      <c r="H497" s="226" t="s">
        <v>16</v>
      </c>
      <c r="I497" s="227" t="s">
        <v>98</v>
      </c>
      <c r="J497" s="226" t="s">
        <v>100</v>
      </c>
      <c r="K497" s="226" t="s">
        <v>19</v>
      </c>
      <c r="L497" s="230">
        <f>'COT AGENTES'!$H$5</f>
        <v>2</v>
      </c>
      <c r="M497" s="228" t="str">
        <f t="shared" si="80"/>
        <v>FK-5-1-12</v>
      </c>
      <c r="N497" s="229">
        <v>1</v>
      </c>
      <c r="O497" s="229"/>
    </row>
    <row r="498" spans="1:15" x14ac:dyDescent="0.2">
      <c r="A498" s="226">
        <v>497</v>
      </c>
      <c r="B498" s="226" t="str">
        <f t="shared" si="81"/>
        <v>RESERVATANK SIZE 147LFK-5-1-121-4</v>
      </c>
      <c r="C498" s="226">
        <f t="shared" si="88"/>
        <v>1</v>
      </c>
      <c r="D498" s="226" t="s">
        <v>116</v>
      </c>
      <c r="E498" s="226" t="s">
        <v>75</v>
      </c>
      <c r="F498" s="226" t="s">
        <v>98</v>
      </c>
      <c r="G498" s="226">
        <f t="shared" si="89"/>
        <v>4</v>
      </c>
      <c r="H498" s="226" t="s">
        <v>16</v>
      </c>
      <c r="I498" s="227">
        <v>302207021</v>
      </c>
      <c r="J498" s="226" t="s">
        <v>101</v>
      </c>
      <c r="K498" s="226" t="s">
        <v>19</v>
      </c>
      <c r="L498" s="226">
        <v>1</v>
      </c>
      <c r="M498" s="228">
        <f t="shared" si="80"/>
        <v>302207021</v>
      </c>
      <c r="N498" s="229">
        <v>1</v>
      </c>
      <c r="O498" s="229"/>
    </row>
    <row r="499" spans="1:15" x14ac:dyDescent="0.2">
      <c r="A499" s="226">
        <v>498</v>
      </c>
      <c r="B499" s="226" t="str">
        <f t="shared" si="81"/>
        <v>RESERVATANK SIZE 147LFK-5-1-121-5</v>
      </c>
      <c r="C499" s="226">
        <f t="shared" si="88"/>
        <v>1</v>
      </c>
      <c r="D499" s="226" t="s">
        <v>116</v>
      </c>
      <c r="E499" s="226" t="s">
        <v>75</v>
      </c>
      <c r="F499" s="226" t="s">
        <v>98</v>
      </c>
      <c r="G499" s="226">
        <f t="shared" si="89"/>
        <v>5</v>
      </c>
      <c r="H499" s="226" t="s">
        <v>16</v>
      </c>
      <c r="I499" s="227">
        <v>314207329</v>
      </c>
      <c r="J499" s="226" t="s">
        <v>109</v>
      </c>
      <c r="K499" s="226" t="s">
        <v>19</v>
      </c>
      <c r="L499" s="226">
        <v>1</v>
      </c>
      <c r="M499" s="228">
        <f t="shared" si="80"/>
        <v>314207329</v>
      </c>
      <c r="N499" s="229">
        <v>1</v>
      </c>
      <c r="O499" s="229"/>
    </row>
    <row r="500" spans="1:15" x14ac:dyDescent="0.2">
      <c r="A500" s="226">
        <v>499</v>
      </c>
      <c r="B500" s="226" t="str">
        <f t="shared" si="81"/>
        <v>RESERVATANK SIZE 147LFK-5-1-121-6</v>
      </c>
      <c r="C500" s="226">
        <f t="shared" si="88"/>
        <v>1</v>
      </c>
      <c r="D500" s="226" t="s">
        <v>116</v>
      </c>
      <c r="E500" s="226" t="s">
        <v>75</v>
      </c>
      <c r="F500" s="226" t="s">
        <v>98</v>
      </c>
      <c r="G500" s="226">
        <f t="shared" si="89"/>
        <v>6</v>
      </c>
      <c r="H500" s="226" t="s">
        <v>16</v>
      </c>
      <c r="I500" s="227">
        <v>570585</v>
      </c>
      <c r="J500" s="226" t="s">
        <v>26</v>
      </c>
      <c r="K500" s="226" t="s">
        <v>19</v>
      </c>
      <c r="L500" s="226">
        <v>1</v>
      </c>
      <c r="M500" s="228">
        <f t="shared" si="80"/>
        <v>570585</v>
      </c>
      <c r="N500" s="229">
        <v>1</v>
      </c>
      <c r="O500" s="229"/>
    </row>
    <row r="501" spans="1:15" x14ac:dyDescent="0.2">
      <c r="A501" s="226">
        <v>500</v>
      </c>
      <c r="B501" s="226" t="str">
        <f t="shared" si="81"/>
        <v>RESERVATANK SIZE 147LFK-5-1-121-7</v>
      </c>
      <c r="C501" s="226">
        <f t="shared" si="88"/>
        <v>1</v>
      </c>
      <c r="D501" s="226" t="s">
        <v>116</v>
      </c>
      <c r="E501" s="226" t="s">
        <v>75</v>
      </c>
      <c r="F501" s="226" t="s">
        <v>98</v>
      </c>
      <c r="G501" s="226">
        <f t="shared" si="89"/>
        <v>7</v>
      </c>
      <c r="H501" s="226" t="s">
        <v>16</v>
      </c>
      <c r="I501" s="227">
        <v>570278</v>
      </c>
      <c r="J501" s="226" t="s">
        <v>80</v>
      </c>
      <c r="K501" s="226" t="s">
        <v>19</v>
      </c>
      <c r="L501" s="226">
        <v>1</v>
      </c>
      <c r="M501" s="228">
        <f t="shared" si="80"/>
        <v>570278</v>
      </c>
      <c r="N501" s="229">
        <v>1</v>
      </c>
      <c r="O501" s="229"/>
    </row>
    <row r="502" spans="1:15" x14ac:dyDescent="0.2">
      <c r="A502" s="226">
        <v>501</v>
      </c>
      <c r="B502" s="226" t="str">
        <f t="shared" si="81"/>
        <v>-</v>
      </c>
      <c r="M502" s="228">
        <f t="shared" si="80"/>
        <v>0</v>
      </c>
      <c r="N502" s="229">
        <v>1</v>
      </c>
      <c r="O502" s="229"/>
    </row>
    <row r="503" spans="1:15" x14ac:dyDescent="0.2">
      <c r="A503" s="226">
        <v>502</v>
      </c>
      <c r="B503" s="226" t="str">
        <f t="shared" si="81"/>
        <v>RESERVATANK SIZE 180LFK-5-1-121-1</v>
      </c>
      <c r="C503" s="226">
        <f>L503</f>
        <v>1</v>
      </c>
      <c r="D503" s="226" t="s">
        <v>116</v>
      </c>
      <c r="E503" s="226" t="s">
        <v>81</v>
      </c>
      <c r="F503" s="226" t="s">
        <v>98</v>
      </c>
      <c r="G503" s="226">
        <v>1</v>
      </c>
      <c r="H503" s="226" t="s">
        <v>16</v>
      </c>
      <c r="I503" s="227" t="s">
        <v>17</v>
      </c>
      <c r="J503" s="226" t="s">
        <v>82</v>
      </c>
      <c r="K503" s="226" t="s">
        <v>19</v>
      </c>
      <c r="L503" s="226">
        <v>1</v>
      </c>
      <c r="M503" s="228" t="s">
        <v>83</v>
      </c>
      <c r="N503" s="229">
        <v>1</v>
      </c>
      <c r="O503" s="229"/>
    </row>
    <row r="504" spans="1:15" x14ac:dyDescent="0.2">
      <c r="A504" s="226">
        <v>503</v>
      </c>
      <c r="B504" s="226" t="str">
        <f t="shared" si="81"/>
        <v>RESERVATANK SIZE 180LFK-5-1-121-2</v>
      </c>
      <c r="C504" s="226">
        <f t="shared" ref="C504:C509" si="90">C503</f>
        <v>1</v>
      </c>
      <c r="D504" s="226" t="s">
        <v>116</v>
      </c>
      <c r="E504" s="226" t="s">
        <v>81</v>
      </c>
      <c r="F504" s="226" t="s">
        <v>98</v>
      </c>
      <c r="G504" s="226">
        <f t="shared" ref="G504:G509" si="91">+G503+1</f>
        <v>2</v>
      </c>
      <c r="H504" s="226" t="s">
        <v>16</v>
      </c>
      <c r="I504" s="227">
        <v>445738</v>
      </c>
      <c r="J504" s="226" t="s">
        <v>113</v>
      </c>
      <c r="K504" s="226" t="s">
        <v>19</v>
      </c>
      <c r="L504" s="226">
        <v>1</v>
      </c>
      <c r="M504" s="228">
        <f t="shared" si="80"/>
        <v>445738</v>
      </c>
      <c r="N504" s="229">
        <v>1</v>
      </c>
      <c r="O504" s="229"/>
    </row>
    <row r="505" spans="1:15" x14ac:dyDescent="0.2">
      <c r="A505" s="226">
        <v>504</v>
      </c>
      <c r="B505" s="226" t="str">
        <f t="shared" si="81"/>
        <v>RESERVATANK SIZE 180LFK-5-1-121-3</v>
      </c>
      <c r="C505" s="226">
        <f t="shared" si="90"/>
        <v>1</v>
      </c>
      <c r="D505" s="226" t="s">
        <v>116</v>
      </c>
      <c r="E505" s="226" t="s">
        <v>81</v>
      </c>
      <c r="F505" s="226" t="s">
        <v>98</v>
      </c>
      <c r="G505" s="226">
        <f t="shared" si="91"/>
        <v>3</v>
      </c>
      <c r="H505" s="226" t="s">
        <v>16</v>
      </c>
      <c r="I505" s="227" t="s">
        <v>98</v>
      </c>
      <c r="J505" s="226" t="s">
        <v>100</v>
      </c>
      <c r="K505" s="226" t="s">
        <v>19</v>
      </c>
      <c r="L505" s="230">
        <f>'COT AGENTES'!$H$5</f>
        <v>2</v>
      </c>
      <c r="M505" s="228" t="str">
        <f t="shared" si="80"/>
        <v>FK-5-1-12</v>
      </c>
      <c r="N505" s="229">
        <v>1</v>
      </c>
      <c r="O505" s="229"/>
    </row>
    <row r="506" spans="1:15" x14ac:dyDescent="0.2">
      <c r="A506" s="226">
        <v>505</v>
      </c>
      <c r="B506" s="226" t="str">
        <f t="shared" si="81"/>
        <v>RESERVATANK SIZE 180LFK-5-1-121-4</v>
      </c>
      <c r="C506" s="226">
        <f t="shared" si="90"/>
        <v>1</v>
      </c>
      <c r="D506" s="226" t="s">
        <v>116</v>
      </c>
      <c r="E506" s="226" t="s">
        <v>81</v>
      </c>
      <c r="F506" s="226" t="s">
        <v>98</v>
      </c>
      <c r="G506" s="226">
        <f t="shared" si="91"/>
        <v>4</v>
      </c>
      <c r="H506" s="226" t="s">
        <v>16</v>
      </c>
      <c r="I506" s="227">
        <v>302207021</v>
      </c>
      <c r="J506" s="226" t="s">
        <v>101</v>
      </c>
      <c r="K506" s="226" t="s">
        <v>19</v>
      </c>
      <c r="L506" s="226">
        <v>1</v>
      </c>
      <c r="M506" s="228">
        <f t="shared" si="80"/>
        <v>302207021</v>
      </c>
      <c r="N506" s="229">
        <v>1</v>
      </c>
      <c r="O506" s="229"/>
    </row>
    <row r="507" spans="1:15" x14ac:dyDescent="0.2">
      <c r="A507" s="226">
        <v>506</v>
      </c>
      <c r="B507" s="226" t="str">
        <f t="shared" si="81"/>
        <v>RESERVATANK SIZE 180LFK-5-1-121-5</v>
      </c>
      <c r="C507" s="226">
        <f t="shared" si="90"/>
        <v>1</v>
      </c>
      <c r="D507" s="226" t="s">
        <v>116</v>
      </c>
      <c r="E507" s="226" t="s">
        <v>81</v>
      </c>
      <c r="F507" s="226" t="s">
        <v>98</v>
      </c>
      <c r="G507" s="226">
        <f t="shared" si="91"/>
        <v>5</v>
      </c>
      <c r="H507" s="226" t="s">
        <v>16</v>
      </c>
      <c r="I507" s="227">
        <v>314207329</v>
      </c>
      <c r="J507" s="226" t="s">
        <v>109</v>
      </c>
      <c r="K507" s="226" t="s">
        <v>19</v>
      </c>
      <c r="L507" s="226">
        <v>1</v>
      </c>
      <c r="M507" s="228">
        <f t="shared" si="80"/>
        <v>314207329</v>
      </c>
      <c r="N507" s="229">
        <v>1</v>
      </c>
      <c r="O507" s="229"/>
    </row>
    <row r="508" spans="1:15" x14ac:dyDescent="0.2">
      <c r="A508" s="226">
        <v>507</v>
      </c>
      <c r="B508" s="226" t="str">
        <f t="shared" si="81"/>
        <v>RESERVATANK SIZE 180LFK-5-1-121-6</v>
      </c>
      <c r="C508" s="226">
        <f t="shared" si="90"/>
        <v>1</v>
      </c>
      <c r="D508" s="226" t="s">
        <v>116</v>
      </c>
      <c r="E508" s="226" t="s">
        <v>81</v>
      </c>
      <c r="F508" s="226" t="s">
        <v>98</v>
      </c>
      <c r="G508" s="226">
        <f t="shared" si="91"/>
        <v>6</v>
      </c>
      <c r="H508" s="226" t="s">
        <v>16</v>
      </c>
      <c r="I508" s="227">
        <v>570585</v>
      </c>
      <c r="J508" s="226" t="s">
        <v>26</v>
      </c>
      <c r="K508" s="226" t="s">
        <v>19</v>
      </c>
      <c r="L508" s="226">
        <v>1</v>
      </c>
      <c r="M508" s="228">
        <f t="shared" si="80"/>
        <v>570585</v>
      </c>
      <c r="N508" s="229">
        <v>1</v>
      </c>
      <c r="O508" s="229"/>
    </row>
    <row r="509" spans="1:15" x14ac:dyDescent="0.2">
      <c r="A509" s="226">
        <v>508</v>
      </c>
      <c r="B509" s="226" t="str">
        <f t="shared" si="81"/>
        <v>RESERVATANK SIZE 180LFK-5-1-121-7</v>
      </c>
      <c r="C509" s="226">
        <f t="shared" si="90"/>
        <v>1</v>
      </c>
      <c r="D509" s="226" t="s">
        <v>116</v>
      </c>
      <c r="E509" s="226" t="s">
        <v>81</v>
      </c>
      <c r="F509" s="226" t="s">
        <v>98</v>
      </c>
      <c r="G509" s="226">
        <f t="shared" si="91"/>
        <v>7</v>
      </c>
      <c r="H509" s="226" t="s">
        <v>16</v>
      </c>
      <c r="I509" s="227">
        <v>570589</v>
      </c>
      <c r="J509" s="226" t="s">
        <v>114</v>
      </c>
      <c r="K509" s="226" t="s">
        <v>19</v>
      </c>
      <c r="L509" s="226">
        <v>1</v>
      </c>
      <c r="M509" s="228">
        <f t="shared" si="80"/>
        <v>570589</v>
      </c>
      <c r="N509" s="229">
        <v>1</v>
      </c>
      <c r="O509" s="229"/>
    </row>
    <row r="510" spans="1:15" x14ac:dyDescent="0.2">
      <c r="A510" s="226">
        <v>509</v>
      </c>
      <c r="B510" s="226" t="str">
        <f t="shared" si="81"/>
        <v>-</v>
      </c>
      <c r="M510" s="228">
        <f t="shared" si="80"/>
        <v>0</v>
      </c>
      <c r="N510" s="229">
        <v>1</v>
      </c>
      <c r="O510" s="229"/>
    </row>
    <row r="511" spans="1:15" x14ac:dyDescent="0.2">
      <c r="A511" s="226">
        <v>510</v>
      </c>
      <c r="B511" s="226" t="str">
        <f t="shared" si="81"/>
        <v>RESERVATANK SIZE 343LFK-5-1-121-1</v>
      </c>
      <c r="C511" s="226">
        <f>'COT AGENTES'!H3</f>
        <v>1</v>
      </c>
      <c r="D511" s="226" t="s">
        <v>116</v>
      </c>
      <c r="E511" s="226" t="s">
        <v>86</v>
      </c>
      <c r="F511" s="226" t="s">
        <v>98</v>
      </c>
      <c r="G511" s="226">
        <v>1</v>
      </c>
      <c r="H511" s="226" t="s">
        <v>16</v>
      </c>
      <c r="I511" s="227" t="s">
        <v>17</v>
      </c>
      <c r="J511" s="226" t="s">
        <v>87</v>
      </c>
      <c r="K511" s="226" t="s">
        <v>19</v>
      </c>
      <c r="L511" s="226">
        <v>1</v>
      </c>
      <c r="M511" s="228" t="s">
        <v>88</v>
      </c>
      <c r="N511" s="229">
        <v>1</v>
      </c>
      <c r="O511" s="229"/>
    </row>
    <row r="512" spans="1:15" x14ac:dyDescent="0.2">
      <c r="A512" s="226">
        <v>511</v>
      </c>
      <c r="B512" s="226" t="str">
        <f t="shared" si="81"/>
        <v>RESERVATANK SIZE 343LFK-5-1-121-2</v>
      </c>
      <c r="C512" s="226">
        <f t="shared" ref="C512:C517" si="92">C511</f>
        <v>1</v>
      </c>
      <c r="D512" s="226" t="s">
        <v>116</v>
      </c>
      <c r="E512" s="226" t="s">
        <v>86</v>
      </c>
      <c r="F512" s="226" t="s">
        <v>98</v>
      </c>
      <c r="G512" s="226">
        <f t="shared" ref="G512:G517" si="93">+G511+1</f>
        <v>2</v>
      </c>
      <c r="H512" s="226" t="s">
        <v>16</v>
      </c>
      <c r="I512" s="227">
        <v>445739</v>
      </c>
      <c r="J512" s="226" t="s">
        <v>115</v>
      </c>
      <c r="K512" s="226" t="s">
        <v>19</v>
      </c>
      <c r="L512" s="226">
        <v>1</v>
      </c>
      <c r="M512" s="228">
        <f t="shared" si="80"/>
        <v>445739</v>
      </c>
      <c r="N512" s="229">
        <v>1</v>
      </c>
      <c r="O512" s="229"/>
    </row>
    <row r="513" spans="1:15" x14ac:dyDescent="0.2">
      <c r="A513" s="226">
        <v>512</v>
      </c>
      <c r="B513" s="226" t="str">
        <f t="shared" si="81"/>
        <v>RESERVATANK SIZE 343LFK-5-1-121-3</v>
      </c>
      <c r="C513" s="226">
        <f t="shared" si="92"/>
        <v>1</v>
      </c>
      <c r="D513" s="226" t="s">
        <v>116</v>
      </c>
      <c r="E513" s="226" t="s">
        <v>86</v>
      </c>
      <c r="F513" s="226" t="s">
        <v>98</v>
      </c>
      <c r="G513" s="226">
        <f t="shared" si="93"/>
        <v>3</v>
      </c>
      <c r="H513" s="226" t="s">
        <v>16</v>
      </c>
      <c r="I513" s="227" t="s">
        <v>98</v>
      </c>
      <c r="J513" s="226" t="s">
        <v>100</v>
      </c>
      <c r="K513" s="226" t="s">
        <v>19</v>
      </c>
      <c r="L513" s="230">
        <f>'COT AGENTES'!$H$5</f>
        <v>2</v>
      </c>
      <c r="M513" s="228" t="str">
        <f t="shared" si="80"/>
        <v>FK-5-1-12</v>
      </c>
      <c r="N513" s="229">
        <v>1</v>
      </c>
      <c r="O513" s="229"/>
    </row>
    <row r="514" spans="1:15" x14ac:dyDescent="0.2">
      <c r="A514" s="226">
        <v>513</v>
      </c>
      <c r="B514" s="226" t="str">
        <f t="shared" si="81"/>
        <v>RESERVATANK SIZE 343LFK-5-1-121-4</v>
      </c>
      <c r="C514" s="226">
        <f t="shared" si="92"/>
        <v>1</v>
      </c>
      <c r="D514" s="226" t="s">
        <v>116</v>
      </c>
      <c r="E514" s="226" t="s">
        <v>86</v>
      </c>
      <c r="F514" s="226" t="s">
        <v>98</v>
      </c>
      <c r="G514" s="226">
        <f t="shared" si="93"/>
        <v>4</v>
      </c>
      <c r="H514" s="226" t="s">
        <v>16</v>
      </c>
      <c r="I514" s="227">
        <v>302207021</v>
      </c>
      <c r="J514" s="226" t="s">
        <v>101</v>
      </c>
      <c r="K514" s="226" t="s">
        <v>19</v>
      </c>
      <c r="L514" s="226">
        <v>1</v>
      </c>
      <c r="M514" s="228">
        <f t="shared" si="80"/>
        <v>302207021</v>
      </c>
      <c r="N514" s="229">
        <v>1</v>
      </c>
      <c r="O514" s="229"/>
    </row>
    <row r="515" spans="1:15" x14ac:dyDescent="0.2">
      <c r="A515" s="226">
        <v>514</v>
      </c>
      <c r="B515" s="226" t="str">
        <f t="shared" si="81"/>
        <v>RESERVATANK SIZE 343LFK-5-1-121-5</v>
      </c>
      <c r="C515" s="226">
        <f t="shared" si="92"/>
        <v>1</v>
      </c>
      <c r="D515" s="226" t="s">
        <v>116</v>
      </c>
      <c r="E515" s="226" t="s">
        <v>86</v>
      </c>
      <c r="F515" s="226" t="s">
        <v>98</v>
      </c>
      <c r="G515" s="226">
        <f t="shared" si="93"/>
        <v>5</v>
      </c>
      <c r="H515" s="226" t="s">
        <v>16</v>
      </c>
      <c r="I515" s="227">
        <v>314207329</v>
      </c>
      <c r="J515" s="226" t="s">
        <v>109</v>
      </c>
      <c r="K515" s="226" t="s">
        <v>19</v>
      </c>
      <c r="L515" s="226">
        <v>1</v>
      </c>
      <c r="M515" s="228">
        <f t="shared" si="80"/>
        <v>314207329</v>
      </c>
      <c r="N515" s="229">
        <v>1</v>
      </c>
      <c r="O515" s="229"/>
    </row>
    <row r="516" spans="1:15" x14ac:dyDescent="0.2">
      <c r="A516" s="226">
        <v>515</v>
      </c>
      <c r="B516" s="226" t="str">
        <f t="shared" si="81"/>
        <v>RESERVATANK SIZE 343LFK-5-1-121-6</v>
      </c>
      <c r="C516" s="226">
        <f t="shared" si="92"/>
        <v>1</v>
      </c>
      <c r="D516" s="226" t="s">
        <v>116</v>
      </c>
      <c r="E516" s="226" t="s">
        <v>86</v>
      </c>
      <c r="F516" s="226" t="s">
        <v>98</v>
      </c>
      <c r="G516" s="226">
        <f t="shared" si="93"/>
        <v>6</v>
      </c>
      <c r="H516" s="226" t="s">
        <v>16</v>
      </c>
      <c r="I516" s="227">
        <v>570585</v>
      </c>
      <c r="J516" s="226" t="s">
        <v>26</v>
      </c>
      <c r="K516" s="226" t="s">
        <v>19</v>
      </c>
      <c r="L516" s="226">
        <v>1</v>
      </c>
      <c r="M516" s="228">
        <f t="shared" si="80"/>
        <v>570585</v>
      </c>
      <c r="N516" s="229">
        <v>1</v>
      </c>
      <c r="O516" s="229"/>
    </row>
    <row r="517" spans="1:15" x14ac:dyDescent="0.2">
      <c r="A517" s="226">
        <v>516</v>
      </c>
      <c r="B517" s="226" t="str">
        <f t="shared" si="81"/>
        <v>RESERVATANK SIZE 343LFK-5-1-121-7</v>
      </c>
      <c r="C517" s="226">
        <f t="shared" si="92"/>
        <v>1</v>
      </c>
      <c r="D517" s="226" t="s">
        <v>116</v>
      </c>
      <c r="E517" s="226" t="s">
        <v>86</v>
      </c>
      <c r="F517" s="226" t="s">
        <v>98</v>
      </c>
      <c r="G517" s="226">
        <f t="shared" si="93"/>
        <v>7</v>
      </c>
      <c r="H517" s="226" t="s">
        <v>16</v>
      </c>
      <c r="I517" s="227">
        <v>570278</v>
      </c>
      <c r="J517" s="226" t="s">
        <v>80</v>
      </c>
      <c r="K517" s="226" t="s">
        <v>19</v>
      </c>
      <c r="L517" s="226">
        <v>1</v>
      </c>
      <c r="M517" s="228">
        <f t="shared" si="80"/>
        <v>570278</v>
      </c>
      <c r="N517" s="229">
        <v>1</v>
      </c>
      <c r="O517" s="229"/>
    </row>
    <row r="518" spans="1:15" x14ac:dyDescent="0.2">
      <c r="A518" s="226">
        <v>517</v>
      </c>
      <c r="B518" s="226" t="str">
        <f t="shared" si="81"/>
        <v>-</v>
      </c>
      <c r="M518" s="228">
        <f t="shared" si="80"/>
        <v>0</v>
      </c>
      <c r="N518" s="229">
        <v>1</v>
      </c>
      <c r="O518" s="229"/>
    </row>
    <row r="519" spans="1:15" x14ac:dyDescent="0.2">
      <c r="A519" s="226">
        <v>518</v>
      </c>
      <c r="B519" s="226" t="str">
        <f t="shared" si="81"/>
        <v>-</v>
      </c>
      <c r="M519" s="228">
        <f t="shared" ref="M519:M521" si="94">I519</f>
        <v>0</v>
      </c>
      <c r="N519" s="229">
        <v>1</v>
      </c>
      <c r="O519" s="229"/>
    </row>
    <row r="520" spans="1:15" x14ac:dyDescent="0.2">
      <c r="A520" s="226">
        <v>519</v>
      </c>
      <c r="B520" s="226" t="str">
        <f t="shared" si="81"/>
        <v>MAIN RESERVETANK SIZE 8LFM-2001-1</v>
      </c>
      <c r="C520" s="226">
        <f>L520</f>
        <v>1</v>
      </c>
      <c r="D520" s="226" t="s">
        <v>117</v>
      </c>
      <c r="E520" s="226" t="s">
        <v>14</v>
      </c>
      <c r="F520" s="226" t="s">
        <v>15</v>
      </c>
      <c r="G520" s="226">
        <v>1</v>
      </c>
      <c r="H520" s="226" t="s">
        <v>16</v>
      </c>
      <c r="I520" s="227" t="s">
        <v>17</v>
      </c>
      <c r="J520" s="226" t="s">
        <v>18</v>
      </c>
      <c r="K520" s="226" t="s">
        <v>19</v>
      </c>
      <c r="L520" s="226">
        <f>'COT AGENTES'!$H$3</f>
        <v>1</v>
      </c>
      <c r="M520" s="228" t="s">
        <v>20</v>
      </c>
      <c r="N520" s="229">
        <v>1</v>
      </c>
      <c r="O520" s="229"/>
    </row>
    <row r="521" spans="1:15" x14ac:dyDescent="0.2">
      <c r="A521" s="226">
        <v>520</v>
      </c>
      <c r="B521" s="226" t="str">
        <f t="shared" ref="B521:B607" si="95">D521&amp;E521&amp;F521&amp;C521&amp;"-"&amp;G521&amp;IF(M521&lt;&gt;"",O521,"")</f>
        <v>MAIN RESERVETANK SIZE 8LFM-2001-2</v>
      </c>
      <c r="C521" s="226">
        <f>C520</f>
        <v>1</v>
      </c>
      <c r="D521" s="226" t="s">
        <v>117</v>
      </c>
      <c r="E521" s="226" t="s">
        <v>14</v>
      </c>
      <c r="F521" s="226" t="s">
        <v>15</v>
      </c>
      <c r="G521" s="226">
        <f>+G520+1</f>
        <v>2</v>
      </c>
      <c r="H521" s="226" t="s">
        <v>16</v>
      </c>
      <c r="I521" s="227">
        <v>445732</v>
      </c>
      <c r="J521" s="226" t="s">
        <v>21</v>
      </c>
      <c r="K521" s="226" t="s">
        <v>19</v>
      </c>
      <c r="L521" s="226">
        <f>'COT AGENTES'!$H$3</f>
        <v>1</v>
      </c>
      <c r="M521" s="228">
        <f t="shared" si="94"/>
        <v>445732</v>
      </c>
      <c r="N521" s="229">
        <v>1</v>
      </c>
      <c r="O521" s="229"/>
    </row>
    <row r="522" spans="1:15" x14ac:dyDescent="0.2">
      <c r="A522" s="226">
        <v>521</v>
      </c>
      <c r="B522" s="226" t="str">
        <f t="shared" si="95"/>
        <v>MAIN RESERVETANK SIZE 8LFM-2001-3</v>
      </c>
      <c r="C522" s="226">
        <f>C521</f>
        <v>1</v>
      </c>
      <c r="D522" s="226" t="s">
        <v>117</v>
      </c>
      <c r="E522" s="226" t="s">
        <v>14</v>
      </c>
      <c r="F522" s="226" t="s">
        <v>15</v>
      </c>
      <c r="G522" s="226">
        <f t="shared" ref="G522:G537" si="96">+G521+1</f>
        <v>3</v>
      </c>
      <c r="H522" s="226" t="s">
        <v>16</v>
      </c>
      <c r="I522" s="227" t="s">
        <v>22</v>
      </c>
      <c r="J522" s="226" t="s">
        <v>23</v>
      </c>
      <c r="K522" s="226" t="s">
        <v>19</v>
      </c>
      <c r="L522" s="230">
        <f>'COT AGENTES'!$H$5</f>
        <v>2</v>
      </c>
      <c r="M522" s="228">
        <v>453646</v>
      </c>
      <c r="N522" s="229">
        <v>1</v>
      </c>
      <c r="O522" s="229"/>
    </row>
    <row r="523" spans="1:15" x14ac:dyDescent="0.2">
      <c r="A523" s="226">
        <v>522</v>
      </c>
      <c r="B523" s="226" t="str">
        <f t="shared" si="95"/>
        <v>MAIN RESERVETANK SIZE 8LFM-2001-4</v>
      </c>
      <c r="C523" s="226">
        <f t="shared" ref="C523:C537" si="97">C522</f>
        <v>1</v>
      </c>
      <c r="D523" s="226" t="s">
        <v>117</v>
      </c>
      <c r="E523" s="226" t="s">
        <v>14</v>
      </c>
      <c r="F523" s="226" t="s">
        <v>15</v>
      </c>
      <c r="G523" s="226">
        <f t="shared" si="96"/>
        <v>4</v>
      </c>
      <c r="H523" s="226" t="s">
        <v>16</v>
      </c>
      <c r="I523" s="227">
        <v>570055</v>
      </c>
      <c r="J523" s="226" t="s">
        <v>24</v>
      </c>
      <c r="K523" s="226" t="s">
        <v>19</v>
      </c>
      <c r="L523" s="226">
        <f>L521</f>
        <v>1</v>
      </c>
      <c r="M523" s="228">
        <f t="shared" ref="M523:M616" si="98">I523</f>
        <v>570055</v>
      </c>
      <c r="N523" s="229">
        <v>1</v>
      </c>
      <c r="O523" s="229"/>
    </row>
    <row r="524" spans="1:15" x14ac:dyDescent="0.2">
      <c r="A524" s="226">
        <v>523</v>
      </c>
      <c r="B524" s="226" t="str">
        <f t="shared" si="95"/>
        <v>MAIN RESERVETANK SIZE 8LFM-2001-5</v>
      </c>
      <c r="C524" s="226">
        <f t="shared" si="97"/>
        <v>1</v>
      </c>
      <c r="D524" s="226" t="s">
        <v>117</v>
      </c>
      <c r="E524" s="226" t="s">
        <v>14</v>
      </c>
      <c r="F524" s="226" t="s">
        <v>15</v>
      </c>
      <c r="G524" s="226">
        <f t="shared" si="96"/>
        <v>5</v>
      </c>
      <c r="H524" s="226" t="s">
        <v>16</v>
      </c>
      <c r="I524" s="227">
        <v>314205321</v>
      </c>
      <c r="J524" s="226" t="s">
        <v>25</v>
      </c>
      <c r="K524" s="226" t="s">
        <v>19</v>
      </c>
      <c r="L524" s="226">
        <f>L521</f>
        <v>1</v>
      </c>
      <c r="M524" s="228">
        <f t="shared" si="98"/>
        <v>314205321</v>
      </c>
      <c r="N524" s="229">
        <v>1</v>
      </c>
      <c r="O524" s="229"/>
    </row>
    <row r="525" spans="1:15" x14ac:dyDescent="0.2">
      <c r="A525" s="226">
        <v>524</v>
      </c>
      <c r="B525" s="226" t="str">
        <f t="shared" si="95"/>
        <v>MAIN RESERVETANK SIZE 8LFM-2001-6</v>
      </c>
      <c r="C525" s="226">
        <f t="shared" si="97"/>
        <v>1</v>
      </c>
      <c r="D525" s="226" t="s">
        <v>117</v>
      </c>
      <c r="E525" s="226" t="s">
        <v>14</v>
      </c>
      <c r="F525" s="226" t="s">
        <v>15</v>
      </c>
      <c r="G525" s="226">
        <f t="shared" si="96"/>
        <v>6</v>
      </c>
      <c r="H525" s="226" t="s">
        <v>16</v>
      </c>
      <c r="I525" s="227">
        <v>570585</v>
      </c>
      <c r="J525" s="226" t="s">
        <v>26</v>
      </c>
      <c r="K525" s="226" t="s">
        <v>19</v>
      </c>
      <c r="L525" s="226">
        <f>L521</f>
        <v>1</v>
      </c>
      <c r="M525" s="228">
        <f t="shared" si="98"/>
        <v>570585</v>
      </c>
      <c r="N525" s="229">
        <v>1</v>
      </c>
      <c r="O525" s="229"/>
    </row>
    <row r="526" spans="1:15" x14ac:dyDescent="0.2">
      <c r="A526" s="226">
        <v>525</v>
      </c>
      <c r="B526" s="226" t="str">
        <f t="shared" si="95"/>
        <v>MAIN RESERVETANK SIZE 8LFM-2001-7</v>
      </c>
      <c r="C526" s="226">
        <f t="shared" si="97"/>
        <v>1</v>
      </c>
      <c r="D526" s="226" t="s">
        <v>117</v>
      </c>
      <c r="E526" s="226" t="s">
        <v>14</v>
      </c>
      <c r="F526" s="226" t="s">
        <v>15</v>
      </c>
      <c r="G526" s="226">
        <f t="shared" si="96"/>
        <v>7</v>
      </c>
      <c r="H526" s="226" t="s">
        <v>16</v>
      </c>
      <c r="I526" s="227">
        <v>304205030</v>
      </c>
      <c r="J526" s="226" t="s">
        <v>27</v>
      </c>
      <c r="K526" s="226" t="s">
        <v>19</v>
      </c>
      <c r="L526" s="226">
        <v>1</v>
      </c>
      <c r="M526" s="228">
        <f t="shared" si="98"/>
        <v>304205030</v>
      </c>
      <c r="N526" s="229">
        <v>1</v>
      </c>
      <c r="O526" s="229"/>
    </row>
    <row r="527" spans="1:15" x14ac:dyDescent="0.2">
      <c r="A527" s="226">
        <v>526</v>
      </c>
      <c r="B527" s="226" t="str">
        <f t="shared" si="95"/>
        <v>MAIN RESERVETANK SIZE 8LFM-2001-8</v>
      </c>
      <c r="C527" s="226">
        <f t="shared" si="97"/>
        <v>1</v>
      </c>
      <c r="D527" s="226" t="s">
        <v>117</v>
      </c>
      <c r="E527" s="226" t="s">
        <v>14</v>
      </c>
      <c r="F527" s="226" t="s">
        <v>15</v>
      </c>
      <c r="G527" s="226">
        <f t="shared" si="96"/>
        <v>8</v>
      </c>
      <c r="H527" s="226" t="s">
        <v>16</v>
      </c>
      <c r="I527" s="227" t="s">
        <v>28</v>
      </c>
      <c r="J527" s="226" t="s">
        <v>29</v>
      </c>
      <c r="K527" s="226" t="s">
        <v>19</v>
      </c>
      <c r="L527" s="226">
        <v>1</v>
      </c>
      <c r="M527" s="228" t="str">
        <f t="shared" si="98"/>
        <v>A1638150HY</v>
      </c>
      <c r="N527" s="229">
        <v>1</v>
      </c>
      <c r="O527" s="229"/>
    </row>
    <row r="528" spans="1:15" x14ac:dyDescent="0.2">
      <c r="A528" s="226">
        <v>527</v>
      </c>
      <c r="B528" s="226" t="str">
        <f t="shared" si="95"/>
        <v>MAIN RESERVETANK SIZE 8LFM-2001-9</v>
      </c>
      <c r="C528" s="226">
        <f t="shared" si="97"/>
        <v>1</v>
      </c>
      <c r="D528" s="226" t="s">
        <v>117</v>
      </c>
      <c r="E528" s="226" t="s">
        <v>14</v>
      </c>
      <c r="F528" s="226" t="s">
        <v>15</v>
      </c>
      <c r="G528" s="226">
        <f t="shared" si="96"/>
        <v>9</v>
      </c>
      <c r="H528" s="226" t="s">
        <v>16</v>
      </c>
      <c r="I528" s="227" t="s">
        <v>30</v>
      </c>
      <c r="J528" s="226" t="s">
        <v>31</v>
      </c>
      <c r="K528" s="226" t="s">
        <v>19</v>
      </c>
      <c r="L528" s="226">
        <f>L521</f>
        <v>1</v>
      </c>
      <c r="M528" s="228" t="str">
        <f t="shared" si="98"/>
        <v>570085-R2</v>
      </c>
      <c r="N528" s="229">
        <v>1</v>
      </c>
      <c r="O528" s="229"/>
    </row>
    <row r="529" spans="1:15" x14ac:dyDescent="0.2">
      <c r="A529" s="226">
        <v>528</v>
      </c>
      <c r="B529" s="226" t="str">
        <f t="shared" si="95"/>
        <v>MAIN RESERVETANK SIZE 8LFM-2001-10</v>
      </c>
      <c r="C529" s="226">
        <f t="shared" si="97"/>
        <v>1</v>
      </c>
      <c r="D529" s="226" t="s">
        <v>117</v>
      </c>
      <c r="E529" s="226" t="s">
        <v>14</v>
      </c>
      <c r="F529" s="226" t="s">
        <v>15</v>
      </c>
      <c r="G529" s="226">
        <f t="shared" si="96"/>
        <v>10</v>
      </c>
      <c r="H529" s="226" t="s">
        <v>16</v>
      </c>
      <c r="I529" s="227">
        <v>76496</v>
      </c>
      <c r="J529" s="226" t="s">
        <v>118</v>
      </c>
      <c r="K529" s="226" t="s">
        <v>19</v>
      </c>
      <c r="L529" s="226">
        <v>1</v>
      </c>
      <c r="M529" s="228">
        <f t="shared" si="98"/>
        <v>76496</v>
      </c>
      <c r="N529" s="229">
        <v>1</v>
      </c>
      <c r="O529" s="229"/>
    </row>
    <row r="530" spans="1:15" x14ac:dyDescent="0.2">
      <c r="A530" s="226">
        <v>529</v>
      </c>
      <c r="B530" s="226" t="str">
        <f t="shared" si="95"/>
        <v>MAIN RESERVETANK SIZE 8LFM-2001-11</v>
      </c>
      <c r="C530" s="226">
        <f t="shared" si="97"/>
        <v>1</v>
      </c>
      <c r="D530" s="226" t="s">
        <v>117</v>
      </c>
      <c r="E530" s="226" t="s">
        <v>14</v>
      </c>
      <c r="F530" s="226" t="s">
        <v>15</v>
      </c>
      <c r="G530" s="226">
        <f t="shared" si="96"/>
        <v>11</v>
      </c>
      <c r="H530" s="226" t="s">
        <v>16</v>
      </c>
      <c r="I530" s="227">
        <v>570566</v>
      </c>
      <c r="J530" s="226" t="s">
        <v>119</v>
      </c>
      <c r="K530" s="226" t="s">
        <v>19</v>
      </c>
      <c r="L530" s="226">
        <f>L521+L521</f>
        <v>2</v>
      </c>
      <c r="M530" s="228">
        <f t="shared" si="98"/>
        <v>570566</v>
      </c>
      <c r="N530" s="229">
        <v>1</v>
      </c>
      <c r="O530" s="229"/>
    </row>
    <row r="531" spans="1:15" x14ac:dyDescent="0.2">
      <c r="A531" s="226">
        <v>530</v>
      </c>
      <c r="B531" s="226" t="str">
        <f t="shared" si="95"/>
        <v>MAIN RESERVETANK SIZE 8LFM-2001-12</v>
      </c>
      <c r="C531" s="226">
        <f t="shared" si="97"/>
        <v>1</v>
      </c>
      <c r="D531" s="226" t="s">
        <v>117</v>
      </c>
      <c r="E531" s="226" t="s">
        <v>14</v>
      </c>
      <c r="F531" s="226" t="s">
        <v>15</v>
      </c>
      <c r="G531" s="226">
        <f t="shared" si="96"/>
        <v>12</v>
      </c>
      <c r="H531" s="226" t="s">
        <v>16</v>
      </c>
      <c r="I531" s="227" t="s">
        <v>44</v>
      </c>
      <c r="J531" s="226" t="s">
        <v>45</v>
      </c>
      <c r="K531" s="226" t="s">
        <v>19</v>
      </c>
      <c r="L531" s="226">
        <f>L521+L521</f>
        <v>2</v>
      </c>
      <c r="M531" s="228" t="str">
        <f t="shared" si="98"/>
        <v>570539-R2</v>
      </c>
      <c r="N531" s="229">
        <v>1</v>
      </c>
      <c r="O531" s="229"/>
    </row>
    <row r="532" spans="1:15" x14ac:dyDescent="0.2">
      <c r="A532" s="226">
        <v>531</v>
      </c>
      <c r="B532" s="226" t="str">
        <f t="shared" si="95"/>
        <v>MAIN RESERVETANK SIZE 8LFM-2001-13</v>
      </c>
      <c r="C532" s="226">
        <f t="shared" si="97"/>
        <v>1</v>
      </c>
      <c r="D532" s="226" t="s">
        <v>117</v>
      </c>
      <c r="E532" s="226" t="s">
        <v>14</v>
      </c>
      <c r="F532" s="226" t="s">
        <v>15</v>
      </c>
      <c r="G532" s="226">
        <f t="shared" si="96"/>
        <v>13</v>
      </c>
      <c r="N532" s="229">
        <v>1</v>
      </c>
      <c r="O532" s="229"/>
    </row>
    <row r="533" spans="1:15" x14ac:dyDescent="0.2">
      <c r="A533" s="226">
        <v>532</v>
      </c>
      <c r="B533" s="226" t="str">
        <f t="shared" si="95"/>
        <v>MAIN RESERVETANK SIZE 8LFM-2001-14</v>
      </c>
      <c r="C533" s="226">
        <f t="shared" si="97"/>
        <v>1</v>
      </c>
      <c r="D533" s="226" t="s">
        <v>117</v>
      </c>
      <c r="E533" s="226" t="s">
        <v>14</v>
      </c>
      <c r="F533" s="226" t="s">
        <v>15</v>
      </c>
      <c r="G533" s="226">
        <f t="shared" si="96"/>
        <v>14</v>
      </c>
      <c r="H533" s="226" t="s">
        <v>16</v>
      </c>
      <c r="I533" s="227">
        <v>570550</v>
      </c>
      <c r="J533" s="226" t="s">
        <v>120</v>
      </c>
      <c r="K533" s="226" t="s">
        <v>19</v>
      </c>
      <c r="L533" s="226">
        <f>L521-1</f>
        <v>0</v>
      </c>
      <c r="M533" s="228">
        <f t="shared" si="98"/>
        <v>570550</v>
      </c>
      <c r="N533" s="229">
        <v>1</v>
      </c>
      <c r="O533" s="229"/>
    </row>
    <row r="534" spans="1:15" x14ac:dyDescent="0.2">
      <c r="A534" s="226">
        <v>533</v>
      </c>
      <c r="B534" s="226" t="str">
        <f t="shared" si="95"/>
        <v>MAIN RESERVETANK SIZE 8LFM-2001-15</v>
      </c>
      <c r="C534" s="226">
        <f t="shared" si="97"/>
        <v>1</v>
      </c>
      <c r="D534" s="226" t="s">
        <v>117</v>
      </c>
      <c r="E534" s="226" t="s">
        <v>14</v>
      </c>
      <c r="F534" s="226" t="s">
        <v>15</v>
      </c>
      <c r="G534" s="226">
        <f t="shared" si="96"/>
        <v>15</v>
      </c>
      <c r="H534" s="226" t="s">
        <v>16</v>
      </c>
      <c r="I534" s="227">
        <v>32338</v>
      </c>
      <c r="J534" s="226" t="s">
        <v>42</v>
      </c>
      <c r="K534" s="226" t="s">
        <v>19</v>
      </c>
      <c r="L534" s="226">
        <f>IF(L521&gt;1,1,0)</f>
        <v>0</v>
      </c>
      <c r="M534" s="228">
        <f t="shared" si="98"/>
        <v>32338</v>
      </c>
      <c r="N534" s="229">
        <v>1</v>
      </c>
      <c r="O534" s="229"/>
    </row>
    <row r="535" spans="1:15" x14ac:dyDescent="0.2">
      <c r="A535" s="226">
        <v>534</v>
      </c>
      <c r="B535" s="226" t="str">
        <f t="shared" si="95"/>
        <v>MAIN RESERVETANK SIZE 8LFM-2001-16</v>
      </c>
      <c r="C535" s="226">
        <f t="shared" si="97"/>
        <v>1</v>
      </c>
      <c r="D535" s="226" t="s">
        <v>117</v>
      </c>
      <c r="E535" s="226" t="s">
        <v>14</v>
      </c>
      <c r="F535" s="226" t="s">
        <v>15</v>
      </c>
      <c r="G535" s="226">
        <f t="shared" si="96"/>
        <v>16</v>
      </c>
      <c r="H535" s="226" t="s">
        <v>16</v>
      </c>
      <c r="I535" s="227">
        <v>31810</v>
      </c>
      <c r="J535" s="226" t="s">
        <v>121</v>
      </c>
      <c r="K535" s="226" t="s">
        <v>19</v>
      </c>
      <c r="L535" s="226">
        <f>IF(L521&gt;1,1,0)</f>
        <v>0</v>
      </c>
      <c r="M535" s="228">
        <f t="shared" si="98"/>
        <v>31810</v>
      </c>
      <c r="N535" s="229">
        <v>1</v>
      </c>
      <c r="O535" s="229"/>
    </row>
    <row r="536" spans="1:15" x14ac:dyDescent="0.2">
      <c r="A536" s="226">
        <v>535</v>
      </c>
      <c r="B536" s="226" t="str">
        <f t="shared" si="95"/>
        <v>MAIN RESERVETANK SIZE 8LFM-2001-17</v>
      </c>
      <c r="C536" s="226">
        <f t="shared" si="97"/>
        <v>1</v>
      </c>
      <c r="D536" s="226" t="s">
        <v>117</v>
      </c>
      <c r="E536" s="226" t="s">
        <v>14</v>
      </c>
      <c r="F536" s="226" t="s">
        <v>15</v>
      </c>
      <c r="G536" s="226">
        <f t="shared" si="96"/>
        <v>17</v>
      </c>
      <c r="H536" s="226" t="s">
        <v>16</v>
      </c>
      <c r="I536" s="227">
        <v>32336</v>
      </c>
      <c r="J536" s="226" t="s">
        <v>122</v>
      </c>
      <c r="K536" s="226" t="s">
        <v>19</v>
      </c>
      <c r="L536" s="226">
        <f>L521-1</f>
        <v>0</v>
      </c>
      <c r="M536" s="228">
        <f t="shared" si="98"/>
        <v>32336</v>
      </c>
      <c r="N536" s="229">
        <v>1</v>
      </c>
      <c r="O536" s="229"/>
    </row>
    <row r="537" spans="1:15" x14ac:dyDescent="0.2">
      <c r="A537" s="226">
        <v>536</v>
      </c>
      <c r="B537" s="226" t="str">
        <f t="shared" si="95"/>
        <v>MAIN RESERVETANK SIZE 8LFM-2001-18</v>
      </c>
      <c r="C537" s="226">
        <f t="shared" si="97"/>
        <v>1</v>
      </c>
      <c r="D537" s="226" t="s">
        <v>117</v>
      </c>
      <c r="E537" s="226" t="s">
        <v>14</v>
      </c>
      <c r="F537" s="226" t="s">
        <v>15</v>
      </c>
      <c r="G537" s="226">
        <f t="shared" si="96"/>
        <v>18</v>
      </c>
      <c r="H537" s="226" t="s">
        <v>16</v>
      </c>
      <c r="I537" s="227">
        <v>31811</v>
      </c>
      <c r="J537" s="226" t="s">
        <v>123</v>
      </c>
      <c r="K537" s="226" t="s">
        <v>19</v>
      </c>
      <c r="L537" s="226">
        <f>IF(L521&gt;1,L521-1,0)</f>
        <v>0</v>
      </c>
      <c r="M537" s="228">
        <f t="shared" si="98"/>
        <v>31811</v>
      </c>
      <c r="N537" s="229">
        <v>1</v>
      </c>
      <c r="O537" s="229"/>
    </row>
    <row r="538" spans="1:15" x14ac:dyDescent="0.2">
      <c r="A538" s="226">
        <v>537</v>
      </c>
      <c r="B538" s="226" t="str">
        <f t="shared" si="95"/>
        <v>-</v>
      </c>
      <c r="M538" s="228">
        <f t="shared" si="98"/>
        <v>0</v>
      </c>
      <c r="N538" s="229">
        <v>1</v>
      </c>
      <c r="O538" s="229"/>
    </row>
    <row r="539" spans="1:15" x14ac:dyDescent="0.2">
      <c r="A539" s="226">
        <v>538</v>
      </c>
      <c r="B539" s="226" t="str">
        <f t="shared" si="95"/>
        <v>MAIN RESERVETANK SIZE 16LFM-2001-1</v>
      </c>
      <c r="C539" s="226">
        <f>L539</f>
        <v>1</v>
      </c>
      <c r="D539" s="226" t="s">
        <v>117</v>
      </c>
      <c r="E539" s="226" t="s">
        <v>47</v>
      </c>
      <c r="F539" s="226" t="s">
        <v>15</v>
      </c>
      <c r="G539" s="226">
        <v>1</v>
      </c>
      <c r="H539" s="226" t="s">
        <v>16</v>
      </c>
      <c r="I539" s="227" t="s">
        <v>17</v>
      </c>
      <c r="J539" s="226" t="s">
        <v>48</v>
      </c>
      <c r="K539" s="226" t="s">
        <v>19</v>
      </c>
      <c r="L539" s="226">
        <f>'COT AGENTES'!$H$3</f>
        <v>1</v>
      </c>
      <c r="M539" s="228" t="s">
        <v>49</v>
      </c>
      <c r="N539" s="229">
        <v>1</v>
      </c>
      <c r="O539" s="229"/>
    </row>
    <row r="540" spans="1:15" x14ac:dyDescent="0.2">
      <c r="A540" s="226">
        <v>539</v>
      </c>
      <c r="B540" s="226" t="str">
        <f t="shared" si="95"/>
        <v>MAIN RESERVETANK SIZE 16LFM-2001-2</v>
      </c>
      <c r="C540" s="226">
        <f>C539</f>
        <v>1</v>
      </c>
      <c r="D540" s="226" t="s">
        <v>117</v>
      </c>
      <c r="E540" s="226" t="s">
        <v>47</v>
      </c>
      <c r="F540" s="226" t="s">
        <v>15</v>
      </c>
      <c r="G540" s="226">
        <f>+G539+1</f>
        <v>2</v>
      </c>
      <c r="H540" s="226" t="s">
        <v>16</v>
      </c>
      <c r="I540" s="227">
        <v>445733</v>
      </c>
      <c r="J540" s="226" t="s">
        <v>50</v>
      </c>
      <c r="K540" s="226" t="s">
        <v>19</v>
      </c>
      <c r="L540" s="226">
        <f>'COT AGENTES'!$H$3</f>
        <v>1</v>
      </c>
      <c r="M540" s="228">
        <f t="shared" si="98"/>
        <v>445733</v>
      </c>
      <c r="N540" s="229">
        <v>1</v>
      </c>
      <c r="O540" s="229"/>
    </row>
    <row r="541" spans="1:15" x14ac:dyDescent="0.2">
      <c r="A541" s="226">
        <v>540</v>
      </c>
      <c r="B541" s="226" t="str">
        <f t="shared" si="95"/>
        <v>MAIN RESERVETANK SIZE 16LFM-2001-3</v>
      </c>
      <c r="C541" s="226">
        <f t="shared" ref="C541:C556" si="99">C540</f>
        <v>1</v>
      </c>
      <c r="D541" s="226" t="s">
        <v>117</v>
      </c>
      <c r="E541" s="226" t="s">
        <v>47</v>
      </c>
      <c r="F541" s="226" t="s">
        <v>15</v>
      </c>
      <c r="G541" s="226">
        <f t="shared" ref="G541:G556" si="100">+G540+1</f>
        <v>3</v>
      </c>
      <c r="H541" s="226" t="s">
        <v>16</v>
      </c>
      <c r="I541" s="227" t="s">
        <v>22</v>
      </c>
      <c r="J541" s="226" t="s">
        <v>23</v>
      </c>
      <c r="K541" s="226" t="s">
        <v>19</v>
      </c>
      <c r="L541" s="230">
        <f>'COT AGENTES'!$H$5</f>
        <v>2</v>
      </c>
      <c r="M541" s="228">
        <v>453646</v>
      </c>
      <c r="N541" s="229">
        <v>1</v>
      </c>
      <c r="O541" s="229"/>
    </row>
    <row r="542" spans="1:15" x14ac:dyDescent="0.2">
      <c r="A542" s="226">
        <v>541</v>
      </c>
      <c r="B542" s="226" t="str">
        <f t="shared" si="95"/>
        <v>MAIN RESERVETANK SIZE 16LFM-2001-4</v>
      </c>
      <c r="C542" s="226">
        <f t="shared" si="99"/>
        <v>1</v>
      </c>
      <c r="D542" s="226" t="s">
        <v>117</v>
      </c>
      <c r="E542" s="226" t="s">
        <v>47</v>
      </c>
      <c r="F542" s="226" t="s">
        <v>15</v>
      </c>
      <c r="G542" s="226">
        <f t="shared" si="100"/>
        <v>4</v>
      </c>
      <c r="H542" s="226" t="s">
        <v>16</v>
      </c>
      <c r="I542" s="227">
        <v>570055</v>
      </c>
      <c r="J542" s="226" t="s">
        <v>24</v>
      </c>
      <c r="K542" s="226" t="s">
        <v>19</v>
      </c>
      <c r="L542" s="226">
        <f>L540</f>
        <v>1</v>
      </c>
      <c r="M542" s="228">
        <f t="shared" si="98"/>
        <v>570055</v>
      </c>
      <c r="N542" s="229">
        <v>1</v>
      </c>
      <c r="O542" s="229"/>
    </row>
    <row r="543" spans="1:15" x14ac:dyDescent="0.2">
      <c r="A543" s="226">
        <v>542</v>
      </c>
      <c r="B543" s="226" t="str">
        <f t="shared" si="95"/>
        <v>MAIN RESERVETANK SIZE 16LFM-2001-5</v>
      </c>
      <c r="C543" s="226">
        <f t="shared" si="99"/>
        <v>1</v>
      </c>
      <c r="D543" s="226" t="s">
        <v>117</v>
      </c>
      <c r="E543" s="226" t="s">
        <v>47</v>
      </c>
      <c r="F543" s="226" t="s">
        <v>15</v>
      </c>
      <c r="G543" s="226">
        <f t="shared" si="100"/>
        <v>5</v>
      </c>
      <c r="H543" s="226" t="s">
        <v>16</v>
      </c>
      <c r="I543" s="227">
        <v>314205321</v>
      </c>
      <c r="J543" s="226" t="s">
        <v>25</v>
      </c>
      <c r="K543" s="226" t="s">
        <v>19</v>
      </c>
      <c r="L543" s="226">
        <f>L540</f>
        <v>1</v>
      </c>
      <c r="M543" s="228">
        <f t="shared" si="98"/>
        <v>314205321</v>
      </c>
      <c r="N543" s="229">
        <v>1</v>
      </c>
      <c r="O543" s="229"/>
    </row>
    <row r="544" spans="1:15" x14ac:dyDescent="0.2">
      <c r="A544" s="226">
        <v>543</v>
      </c>
      <c r="B544" s="226" t="str">
        <f t="shared" si="95"/>
        <v>MAIN RESERVETANK SIZE 16LFM-2001-6</v>
      </c>
      <c r="C544" s="226">
        <f t="shared" si="99"/>
        <v>1</v>
      </c>
      <c r="D544" s="226" t="s">
        <v>117</v>
      </c>
      <c r="E544" s="226" t="s">
        <v>47</v>
      </c>
      <c r="F544" s="226" t="s">
        <v>15</v>
      </c>
      <c r="G544" s="226">
        <f t="shared" si="100"/>
        <v>6</v>
      </c>
      <c r="H544" s="226" t="s">
        <v>16</v>
      </c>
      <c r="I544" s="227">
        <v>570585</v>
      </c>
      <c r="J544" s="226" t="s">
        <v>26</v>
      </c>
      <c r="K544" s="226" t="s">
        <v>19</v>
      </c>
      <c r="L544" s="226">
        <f>L540</f>
        <v>1</v>
      </c>
      <c r="M544" s="228">
        <f t="shared" si="98"/>
        <v>570585</v>
      </c>
      <c r="N544" s="229">
        <v>1</v>
      </c>
      <c r="O544" s="229"/>
    </row>
    <row r="545" spans="1:15" x14ac:dyDescent="0.2">
      <c r="A545" s="226">
        <v>544</v>
      </c>
      <c r="B545" s="226" t="str">
        <f t="shared" si="95"/>
        <v>MAIN RESERVETANK SIZE 16LFM-2001-7</v>
      </c>
      <c r="C545" s="226">
        <f t="shared" si="99"/>
        <v>1</v>
      </c>
      <c r="D545" s="226" t="s">
        <v>117</v>
      </c>
      <c r="E545" s="226" t="s">
        <v>47</v>
      </c>
      <c r="F545" s="226" t="s">
        <v>15</v>
      </c>
      <c r="G545" s="226">
        <f t="shared" si="100"/>
        <v>7</v>
      </c>
      <c r="H545" s="226" t="s">
        <v>16</v>
      </c>
      <c r="I545" s="227">
        <v>304205030</v>
      </c>
      <c r="J545" s="226" t="s">
        <v>27</v>
      </c>
      <c r="K545" s="226" t="s">
        <v>19</v>
      </c>
      <c r="L545" s="226">
        <v>1</v>
      </c>
      <c r="M545" s="228">
        <f t="shared" si="98"/>
        <v>304205030</v>
      </c>
      <c r="N545" s="229">
        <v>1</v>
      </c>
      <c r="O545" s="229"/>
    </row>
    <row r="546" spans="1:15" x14ac:dyDescent="0.2">
      <c r="A546" s="226">
        <v>545</v>
      </c>
      <c r="B546" s="226" t="str">
        <f t="shared" si="95"/>
        <v>MAIN RESERVETANK SIZE 16LFM-2001-8</v>
      </c>
      <c r="C546" s="226">
        <f t="shared" si="99"/>
        <v>1</v>
      </c>
      <c r="D546" s="226" t="s">
        <v>117</v>
      </c>
      <c r="E546" s="226" t="s">
        <v>47</v>
      </c>
      <c r="F546" s="226" t="s">
        <v>15</v>
      </c>
      <c r="G546" s="226">
        <f t="shared" si="100"/>
        <v>8</v>
      </c>
      <c r="H546" s="226" t="s">
        <v>16</v>
      </c>
      <c r="I546" s="227" t="s">
        <v>28</v>
      </c>
      <c r="J546" s="226" t="s">
        <v>29</v>
      </c>
      <c r="K546" s="226" t="s">
        <v>19</v>
      </c>
      <c r="L546" s="226">
        <v>1</v>
      </c>
      <c r="M546" s="228" t="str">
        <f t="shared" si="98"/>
        <v>A1638150HY</v>
      </c>
      <c r="N546" s="229">
        <v>1</v>
      </c>
      <c r="O546" s="229"/>
    </row>
    <row r="547" spans="1:15" x14ac:dyDescent="0.2">
      <c r="A547" s="226">
        <v>546</v>
      </c>
      <c r="B547" s="226" t="str">
        <f t="shared" si="95"/>
        <v>MAIN RESERVETANK SIZE 16LFM-2001-9</v>
      </c>
      <c r="C547" s="226">
        <f t="shared" si="99"/>
        <v>1</v>
      </c>
      <c r="D547" s="226" t="s">
        <v>117</v>
      </c>
      <c r="E547" s="226" t="s">
        <v>47</v>
      </c>
      <c r="F547" s="226" t="s">
        <v>15</v>
      </c>
      <c r="G547" s="226">
        <f t="shared" si="100"/>
        <v>9</v>
      </c>
      <c r="H547" s="226" t="s">
        <v>16</v>
      </c>
      <c r="I547" s="227" t="s">
        <v>30</v>
      </c>
      <c r="J547" s="226" t="s">
        <v>31</v>
      </c>
      <c r="K547" s="226" t="s">
        <v>19</v>
      </c>
      <c r="L547" s="226">
        <f>L540*2</f>
        <v>2</v>
      </c>
      <c r="M547" s="228" t="str">
        <f t="shared" si="98"/>
        <v>570085-R2</v>
      </c>
      <c r="N547" s="229">
        <v>1</v>
      </c>
      <c r="O547" s="229"/>
    </row>
    <row r="548" spans="1:15" x14ac:dyDescent="0.2">
      <c r="A548" s="226">
        <v>547</v>
      </c>
      <c r="B548" s="226" t="str">
        <f t="shared" si="95"/>
        <v>MAIN RESERVETANK SIZE 16LFM-2001-10</v>
      </c>
      <c r="C548" s="226">
        <f t="shared" si="99"/>
        <v>1</v>
      </c>
      <c r="D548" s="226" t="s">
        <v>117</v>
      </c>
      <c r="E548" s="226" t="s">
        <v>47</v>
      </c>
      <c r="F548" s="226" t="s">
        <v>15</v>
      </c>
      <c r="G548" s="226">
        <f t="shared" si="100"/>
        <v>10</v>
      </c>
      <c r="H548" s="226" t="s">
        <v>16</v>
      </c>
      <c r="I548" s="227">
        <v>76496</v>
      </c>
      <c r="J548" s="226" t="s">
        <v>118</v>
      </c>
      <c r="K548" s="226" t="s">
        <v>19</v>
      </c>
      <c r="L548" s="226">
        <v>1</v>
      </c>
      <c r="M548" s="228">
        <f t="shared" si="98"/>
        <v>76496</v>
      </c>
      <c r="N548" s="229">
        <v>1</v>
      </c>
      <c r="O548" s="229"/>
    </row>
    <row r="549" spans="1:15" x14ac:dyDescent="0.2">
      <c r="A549" s="226">
        <v>548</v>
      </c>
      <c r="B549" s="226" t="str">
        <f t="shared" si="95"/>
        <v>MAIN RESERVETANK SIZE 16LFM-2001-11</v>
      </c>
      <c r="C549" s="226">
        <f t="shared" si="99"/>
        <v>1</v>
      </c>
      <c r="D549" s="226" t="s">
        <v>117</v>
      </c>
      <c r="E549" s="226" t="s">
        <v>47</v>
      </c>
      <c r="F549" s="226" t="s">
        <v>15</v>
      </c>
      <c r="G549" s="226">
        <f t="shared" si="100"/>
        <v>11</v>
      </c>
      <c r="H549" s="226" t="s">
        <v>16</v>
      </c>
      <c r="I549" s="227">
        <v>570566</v>
      </c>
      <c r="J549" s="226" t="s">
        <v>119</v>
      </c>
      <c r="K549" s="226" t="s">
        <v>19</v>
      </c>
      <c r="L549" s="226">
        <f>L540+L540</f>
        <v>2</v>
      </c>
      <c r="M549" s="228">
        <f t="shared" si="98"/>
        <v>570566</v>
      </c>
      <c r="N549" s="229">
        <v>1</v>
      </c>
      <c r="O549" s="229"/>
    </row>
    <row r="550" spans="1:15" x14ac:dyDescent="0.2">
      <c r="A550" s="226">
        <v>549</v>
      </c>
      <c r="B550" s="226" t="str">
        <f t="shared" si="95"/>
        <v>MAIN RESERVETANK SIZE 16LFM-2001-12</v>
      </c>
      <c r="C550" s="226">
        <f t="shared" si="99"/>
        <v>1</v>
      </c>
      <c r="D550" s="226" t="s">
        <v>117</v>
      </c>
      <c r="E550" s="226" t="s">
        <v>47</v>
      </c>
      <c r="F550" s="226" t="s">
        <v>15</v>
      </c>
      <c r="G550" s="226">
        <f t="shared" si="100"/>
        <v>12</v>
      </c>
      <c r="H550" s="226" t="s">
        <v>16</v>
      </c>
      <c r="I550" s="227" t="s">
        <v>44</v>
      </c>
      <c r="J550" s="226" t="s">
        <v>45</v>
      </c>
      <c r="K550" s="226" t="s">
        <v>19</v>
      </c>
      <c r="L550" s="226">
        <f>L540+L540</f>
        <v>2</v>
      </c>
      <c r="M550" s="228" t="str">
        <f t="shared" si="98"/>
        <v>570539-R2</v>
      </c>
      <c r="N550" s="229">
        <v>1</v>
      </c>
      <c r="O550" s="229"/>
    </row>
    <row r="551" spans="1:15" x14ac:dyDescent="0.2">
      <c r="A551" s="226">
        <v>550</v>
      </c>
      <c r="B551" s="226" t="str">
        <f t="shared" si="95"/>
        <v>MAIN RESERVETANK SIZE 16LFM-2001-13</v>
      </c>
      <c r="C551" s="226">
        <f t="shared" si="99"/>
        <v>1</v>
      </c>
      <c r="D551" s="226" t="s">
        <v>117</v>
      </c>
      <c r="E551" s="226" t="s">
        <v>47</v>
      </c>
      <c r="F551" s="226" t="s">
        <v>15</v>
      </c>
      <c r="G551" s="226">
        <f t="shared" si="100"/>
        <v>13</v>
      </c>
      <c r="N551" s="229">
        <v>1</v>
      </c>
      <c r="O551" s="229"/>
    </row>
    <row r="552" spans="1:15" x14ac:dyDescent="0.2">
      <c r="A552" s="226">
        <v>551</v>
      </c>
      <c r="B552" s="226" t="str">
        <f t="shared" si="95"/>
        <v>MAIN RESERVETANK SIZE 16LFM-2001-14</v>
      </c>
      <c r="C552" s="226">
        <f t="shared" si="99"/>
        <v>1</v>
      </c>
      <c r="D552" s="226" t="s">
        <v>117</v>
      </c>
      <c r="E552" s="226" t="s">
        <v>47</v>
      </c>
      <c r="F552" s="226" t="s">
        <v>15</v>
      </c>
      <c r="G552" s="226">
        <f t="shared" si="100"/>
        <v>14</v>
      </c>
      <c r="H552" s="226" t="s">
        <v>16</v>
      </c>
      <c r="I552" s="227">
        <v>570550</v>
      </c>
      <c r="J552" s="226" t="s">
        <v>120</v>
      </c>
      <c r="K552" s="226" t="s">
        <v>19</v>
      </c>
      <c r="L552" s="226">
        <f>L540-1</f>
        <v>0</v>
      </c>
      <c r="M552" s="228">
        <f t="shared" ref="M552:M556" si="101">I552</f>
        <v>570550</v>
      </c>
      <c r="N552" s="229">
        <v>1</v>
      </c>
      <c r="O552" s="229"/>
    </row>
    <row r="553" spans="1:15" x14ac:dyDescent="0.2">
      <c r="A553" s="226">
        <v>552</v>
      </c>
      <c r="B553" s="226" t="str">
        <f t="shared" si="95"/>
        <v>MAIN RESERVETANK SIZE 16LFM-2001-15</v>
      </c>
      <c r="C553" s="226">
        <f t="shared" si="99"/>
        <v>1</v>
      </c>
      <c r="D553" s="226" t="s">
        <v>117</v>
      </c>
      <c r="E553" s="226" t="s">
        <v>47</v>
      </c>
      <c r="F553" s="226" t="s">
        <v>15</v>
      </c>
      <c r="G553" s="226">
        <f t="shared" si="100"/>
        <v>15</v>
      </c>
      <c r="H553" s="226" t="s">
        <v>16</v>
      </c>
      <c r="I553" s="227">
        <v>32338</v>
      </c>
      <c r="J553" s="226" t="s">
        <v>42</v>
      </c>
      <c r="K553" s="226" t="s">
        <v>19</v>
      </c>
      <c r="L553" s="226">
        <f>IF(L540&gt;1,1,0)</f>
        <v>0</v>
      </c>
      <c r="M553" s="228">
        <f t="shared" si="101"/>
        <v>32338</v>
      </c>
      <c r="N553" s="229">
        <v>1</v>
      </c>
      <c r="O553" s="229"/>
    </row>
    <row r="554" spans="1:15" x14ac:dyDescent="0.2">
      <c r="A554" s="226">
        <v>553</v>
      </c>
      <c r="B554" s="226" t="str">
        <f t="shared" si="95"/>
        <v>MAIN RESERVETANK SIZE 16LFM-2001-16</v>
      </c>
      <c r="C554" s="226">
        <f t="shared" si="99"/>
        <v>1</v>
      </c>
      <c r="D554" s="226" t="s">
        <v>117</v>
      </c>
      <c r="E554" s="226" t="s">
        <v>47</v>
      </c>
      <c r="F554" s="226" t="s">
        <v>15</v>
      </c>
      <c r="G554" s="226">
        <f t="shared" si="100"/>
        <v>16</v>
      </c>
      <c r="H554" s="226" t="s">
        <v>16</v>
      </c>
      <c r="I554" s="227">
        <v>31810</v>
      </c>
      <c r="J554" s="226" t="s">
        <v>121</v>
      </c>
      <c r="K554" s="226" t="s">
        <v>19</v>
      </c>
      <c r="L554" s="226">
        <f>IF(L540&gt;1,1,0)</f>
        <v>0</v>
      </c>
      <c r="M554" s="228">
        <f t="shared" si="101"/>
        <v>31810</v>
      </c>
      <c r="N554" s="229">
        <v>1</v>
      </c>
      <c r="O554" s="229"/>
    </row>
    <row r="555" spans="1:15" x14ac:dyDescent="0.2">
      <c r="A555" s="226">
        <v>554</v>
      </c>
      <c r="B555" s="226" t="str">
        <f t="shared" si="95"/>
        <v>MAIN RESERVETANK SIZE 16LFM-2001-17</v>
      </c>
      <c r="C555" s="226">
        <f t="shared" si="99"/>
        <v>1</v>
      </c>
      <c r="D555" s="226" t="s">
        <v>117</v>
      </c>
      <c r="E555" s="226" t="s">
        <v>47</v>
      </c>
      <c r="F555" s="226" t="s">
        <v>15</v>
      </c>
      <c r="G555" s="226">
        <f t="shared" si="100"/>
        <v>17</v>
      </c>
      <c r="H555" s="226" t="s">
        <v>16</v>
      </c>
      <c r="I555" s="227">
        <v>32336</v>
      </c>
      <c r="J555" s="226" t="s">
        <v>122</v>
      </c>
      <c r="K555" s="226" t="s">
        <v>19</v>
      </c>
      <c r="L555" s="226">
        <f>L540-1</f>
        <v>0</v>
      </c>
      <c r="M555" s="228">
        <f t="shared" si="101"/>
        <v>32336</v>
      </c>
      <c r="N555" s="229">
        <v>1</v>
      </c>
      <c r="O555" s="229"/>
    </row>
    <row r="556" spans="1:15" x14ac:dyDescent="0.2">
      <c r="A556" s="226">
        <v>555</v>
      </c>
      <c r="B556" s="226" t="str">
        <f t="shared" si="95"/>
        <v>MAIN RESERVETANK SIZE 16LFM-2001-18</v>
      </c>
      <c r="C556" s="226">
        <f t="shared" si="99"/>
        <v>1</v>
      </c>
      <c r="D556" s="226" t="s">
        <v>117</v>
      </c>
      <c r="E556" s="226" t="s">
        <v>47</v>
      </c>
      <c r="F556" s="226" t="s">
        <v>15</v>
      </c>
      <c r="G556" s="226">
        <f t="shared" si="100"/>
        <v>18</v>
      </c>
      <c r="H556" s="226" t="s">
        <v>16</v>
      </c>
      <c r="I556" s="227">
        <v>31811</v>
      </c>
      <c r="J556" s="226" t="s">
        <v>123</v>
      </c>
      <c r="K556" s="226" t="s">
        <v>19</v>
      </c>
      <c r="L556" s="226">
        <f>IF(L540&gt;1,L540-1,0)</f>
        <v>0</v>
      </c>
      <c r="M556" s="228">
        <f t="shared" si="101"/>
        <v>31811</v>
      </c>
      <c r="N556" s="229">
        <v>1</v>
      </c>
      <c r="O556" s="229"/>
    </row>
    <row r="557" spans="1:15" x14ac:dyDescent="0.2">
      <c r="A557" s="226">
        <v>556</v>
      </c>
      <c r="B557" s="226" t="str">
        <f t="shared" si="95"/>
        <v>-</v>
      </c>
      <c r="M557" s="228">
        <f t="shared" si="98"/>
        <v>0</v>
      </c>
      <c r="N557" s="229">
        <v>1</v>
      </c>
      <c r="O557" s="229"/>
    </row>
    <row r="558" spans="1:15" x14ac:dyDescent="0.2">
      <c r="A558" s="226">
        <v>557</v>
      </c>
      <c r="B558" s="226" t="str">
        <f t="shared" si="95"/>
        <v>MAIN RESERVETANK SIZE 32LFM-2001-1</v>
      </c>
      <c r="C558" s="226">
        <f>L558</f>
        <v>1</v>
      </c>
      <c r="D558" s="226" t="s">
        <v>117</v>
      </c>
      <c r="E558" s="226" t="s">
        <v>52</v>
      </c>
      <c r="F558" s="226" t="s">
        <v>15</v>
      </c>
      <c r="G558" s="226">
        <v>1</v>
      </c>
      <c r="H558" s="226" t="s">
        <v>16</v>
      </c>
      <c r="I558" s="227" t="s">
        <v>17</v>
      </c>
      <c r="J558" s="226" t="s">
        <v>53</v>
      </c>
      <c r="K558" s="226" t="s">
        <v>19</v>
      </c>
      <c r="L558" s="226">
        <f>'COT AGENTES'!$H$3</f>
        <v>1</v>
      </c>
      <c r="M558" s="228" t="s">
        <v>54</v>
      </c>
      <c r="N558" s="229">
        <v>1</v>
      </c>
      <c r="O558" s="229"/>
    </row>
    <row r="559" spans="1:15" x14ac:dyDescent="0.2">
      <c r="A559" s="226">
        <v>558</v>
      </c>
      <c r="B559" s="226" t="str">
        <f t="shared" si="95"/>
        <v>MAIN RESERVETANK SIZE 32LFM-2001-2</v>
      </c>
      <c r="C559" s="226">
        <f>C558</f>
        <v>1</v>
      </c>
      <c r="D559" s="226" t="s">
        <v>117</v>
      </c>
      <c r="E559" s="226" t="s">
        <v>52</v>
      </c>
      <c r="F559" s="226" t="s">
        <v>15</v>
      </c>
      <c r="G559" s="226">
        <f>+G558+1</f>
        <v>2</v>
      </c>
      <c r="H559" s="226" t="s">
        <v>16</v>
      </c>
      <c r="I559" s="227">
        <v>445734</v>
      </c>
      <c r="J559" s="226" t="s">
        <v>55</v>
      </c>
      <c r="K559" s="226" t="s">
        <v>19</v>
      </c>
      <c r="L559" s="226">
        <f>'COT AGENTES'!$H$3</f>
        <v>1</v>
      </c>
      <c r="M559" s="228">
        <f t="shared" si="98"/>
        <v>445734</v>
      </c>
      <c r="N559" s="229">
        <v>1</v>
      </c>
      <c r="O559" s="229"/>
    </row>
    <row r="560" spans="1:15" x14ac:dyDescent="0.2">
      <c r="A560" s="226">
        <v>559</v>
      </c>
      <c r="B560" s="226" t="str">
        <f t="shared" si="95"/>
        <v>MAIN RESERVETANK SIZE 32LFM-2001-3</v>
      </c>
      <c r="C560" s="226">
        <f t="shared" ref="C560:C575" si="102">C559</f>
        <v>1</v>
      </c>
      <c r="D560" s="226" t="s">
        <v>117</v>
      </c>
      <c r="E560" s="226" t="s">
        <v>52</v>
      </c>
      <c r="F560" s="226" t="s">
        <v>15</v>
      </c>
      <c r="G560" s="226">
        <f t="shared" ref="G560:G575" si="103">+G559+1</f>
        <v>3</v>
      </c>
      <c r="H560" s="226" t="s">
        <v>16</v>
      </c>
      <c r="I560" s="227" t="s">
        <v>22</v>
      </c>
      <c r="J560" s="226" t="s">
        <v>23</v>
      </c>
      <c r="K560" s="226" t="s">
        <v>19</v>
      </c>
      <c r="L560" s="230">
        <f>'COT AGENTES'!$H$5</f>
        <v>2</v>
      </c>
      <c r="M560" s="228">
        <v>453646</v>
      </c>
      <c r="N560" s="229">
        <v>1</v>
      </c>
      <c r="O560" s="229"/>
    </row>
    <row r="561" spans="1:15" x14ac:dyDescent="0.2">
      <c r="A561" s="226">
        <v>560</v>
      </c>
      <c r="B561" s="226" t="str">
        <f t="shared" si="95"/>
        <v>MAIN RESERVETANK SIZE 32LFM-2001-4</v>
      </c>
      <c r="C561" s="226">
        <f t="shared" si="102"/>
        <v>1</v>
      </c>
      <c r="D561" s="226" t="s">
        <v>117</v>
      </c>
      <c r="E561" s="226" t="s">
        <v>52</v>
      </c>
      <c r="F561" s="226" t="s">
        <v>15</v>
      </c>
      <c r="G561" s="226">
        <f t="shared" si="103"/>
        <v>4</v>
      </c>
      <c r="H561" s="226" t="s">
        <v>16</v>
      </c>
      <c r="I561" s="227">
        <v>570055</v>
      </c>
      <c r="J561" s="226" t="s">
        <v>24</v>
      </c>
      <c r="K561" s="226" t="s">
        <v>19</v>
      </c>
      <c r="L561" s="226">
        <f>L559</f>
        <v>1</v>
      </c>
      <c r="M561" s="228">
        <f t="shared" si="98"/>
        <v>570055</v>
      </c>
      <c r="N561" s="229">
        <v>1</v>
      </c>
      <c r="O561" s="229"/>
    </row>
    <row r="562" spans="1:15" x14ac:dyDescent="0.2">
      <c r="A562" s="226">
        <v>561</v>
      </c>
      <c r="B562" s="226" t="str">
        <f t="shared" si="95"/>
        <v>MAIN RESERVETANK SIZE 32LFM-2001-5</v>
      </c>
      <c r="C562" s="226">
        <f t="shared" si="102"/>
        <v>1</v>
      </c>
      <c r="D562" s="226" t="s">
        <v>117</v>
      </c>
      <c r="E562" s="226" t="s">
        <v>52</v>
      </c>
      <c r="F562" s="226" t="s">
        <v>15</v>
      </c>
      <c r="G562" s="226">
        <f t="shared" si="103"/>
        <v>5</v>
      </c>
      <c r="H562" s="226" t="s">
        <v>16</v>
      </c>
      <c r="I562" s="227">
        <v>314205314</v>
      </c>
      <c r="J562" s="226" t="s">
        <v>56</v>
      </c>
      <c r="K562" s="226" t="s">
        <v>19</v>
      </c>
      <c r="L562" s="226">
        <f>L559</f>
        <v>1</v>
      </c>
      <c r="M562" s="228">
        <f t="shared" si="98"/>
        <v>314205314</v>
      </c>
      <c r="N562" s="229">
        <v>1</v>
      </c>
      <c r="O562" s="229"/>
    </row>
    <row r="563" spans="1:15" x14ac:dyDescent="0.2">
      <c r="A563" s="226">
        <v>562</v>
      </c>
      <c r="B563" s="226" t="str">
        <f t="shared" si="95"/>
        <v>MAIN RESERVETANK SIZE 32LFM-2001-6</v>
      </c>
      <c r="C563" s="226">
        <f t="shared" si="102"/>
        <v>1</v>
      </c>
      <c r="D563" s="226" t="s">
        <v>117</v>
      </c>
      <c r="E563" s="226" t="s">
        <v>52</v>
      </c>
      <c r="F563" s="226" t="s">
        <v>15</v>
      </c>
      <c r="G563" s="226">
        <f t="shared" si="103"/>
        <v>6</v>
      </c>
      <c r="H563" s="226" t="s">
        <v>16</v>
      </c>
      <c r="I563" s="227">
        <v>570585</v>
      </c>
      <c r="J563" s="226" t="s">
        <v>26</v>
      </c>
      <c r="K563" s="226" t="s">
        <v>19</v>
      </c>
      <c r="L563" s="226">
        <f>L559</f>
        <v>1</v>
      </c>
      <c r="M563" s="228">
        <f t="shared" si="98"/>
        <v>570585</v>
      </c>
      <c r="N563" s="229">
        <v>1</v>
      </c>
      <c r="O563" s="229"/>
    </row>
    <row r="564" spans="1:15" x14ac:dyDescent="0.2">
      <c r="A564" s="226">
        <v>563</v>
      </c>
      <c r="B564" s="226" t="str">
        <f t="shared" si="95"/>
        <v>MAIN RESERVETANK SIZE 32LFM-2001-7</v>
      </c>
      <c r="C564" s="226">
        <f t="shared" si="102"/>
        <v>1</v>
      </c>
      <c r="D564" s="226" t="s">
        <v>117</v>
      </c>
      <c r="E564" s="226" t="s">
        <v>52</v>
      </c>
      <c r="F564" s="226" t="s">
        <v>15</v>
      </c>
      <c r="G564" s="226">
        <f t="shared" si="103"/>
        <v>7</v>
      </c>
      <c r="H564" s="226" t="s">
        <v>16</v>
      </c>
      <c r="I564" s="227">
        <v>304205030</v>
      </c>
      <c r="J564" s="226" t="s">
        <v>27</v>
      </c>
      <c r="K564" s="226" t="s">
        <v>19</v>
      </c>
      <c r="L564" s="226">
        <v>1</v>
      </c>
      <c r="M564" s="228">
        <f t="shared" si="98"/>
        <v>304205030</v>
      </c>
      <c r="N564" s="229">
        <v>1</v>
      </c>
      <c r="O564" s="229"/>
    </row>
    <row r="565" spans="1:15" x14ac:dyDescent="0.2">
      <c r="A565" s="226">
        <v>564</v>
      </c>
      <c r="B565" s="226" t="str">
        <f t="shared" si="95"/>
        <v>MAIN RESERVETANK SIZE 32LFM-2001-8</v>
      </c>
      <c r="C565" s="226">
        <f t="shared" si="102"/>
        <v>1</v>
      </c>
      <c r="D565" s="226" t="s">
        <v>117</v>
      </c>
      <c r="E565" s="226" t="s">
        <v>52</v>
      </c>
      <c r="F565" s="226" t="s">
        <v>15</v>
      </c>
      <c r="G565" s="226">
        <f t="shared" si="103"/>
        <v>8</v>
      </c>
      <c r="H565" s="226" t="s">
        <v>16</v>
      </c>
      <c r="I565" s="227" t="s">
        <v>28</v>
      </c>
      <c r="J565" s="226" t="s">
        <v>29</v>
      </c>
      <c r="K565" s="226" t="s">
        <v>19</v>
      </c>
      <c r="L565" s="226">
        <v>1</v>
      </c>
      <c r="M565" s="228" t="str">
        <f t="shared" si="98"/>
        <v>A1638150HY</v>
      </c>
      <c r="N565" s="229">
        <v>1</v>
      </c>
      <c r="O565" s="229"/>
    </row>
    <row r="566" spans="1:15" x14ac:dyDescent="0.2">
      <c r="A566" s="226">
        <v>565</v>
      </c>
      <c r="B566" s="226" t="str">
        <f t="shared" si="95"/>
        <v>MAIN RESERVETANK SIZE 32LFM-2001-9</v>
      </c>
      <c r="C566" s="226">
        <f t="shared" si="102"/>
        <v>1</v>
      </c>
      <c r="D566" s="226" t="s">
        <v>117</v>
      </c>
      <c r="E566" s="226" t="s">
        <v>52</v>
      </c>
      <c r="F566" s="226" t="s">
        <v>15</v>
      </c>
      <c r="G566" s="226">
        <f t="shared" si="103"/>
        <v>9</v>
      </c>
      <c r="H566" s="226" t="s">
        <v>16</v>
      </c>
      <c r="I566" s="227" t="s">
        <v>30</v>
      </c>
      <c r="J566" s="226" t="s">
        <v>31</v>
      </c>
      <c r="K566" s="226" t="s">
        <v>19</v>
      </c>
      <c r="L566" s="226">
        <f>L559*2</f>
        <v>2</v>
      </c>
      <c r="M566" s="228" t="str">
        <f t="shared" si="98"/>
        <v>570085-R2</v>
      </c>
      <c r="N566" s="229">
        <v>1</v>
      </c>
      <c r="O566" s="229"/>
    </row>
    <row r="567" spans="1:15" x14ac:dyDescent="0.2">
      <c r="A567" s="226">
        <v>566</v>
      </c>
      <c r="B567" s="226" t="str">
        <f t="shared" si="95"/>
        <v>MAIN RESERVETANK SIZE 32LFM-2001-10</v>
      </c>
      <c r="C567" s="226">
        <f t="shared" si="102"/>
        <v>1</v>
      </c>
      <c r="D567" s="226" t="s">
        <v>117</v>
      </c>
      <c r="E567" s="226" t="s">
        <v>52</v>
      </c>
      <c r="F567" s="226" t="s">
        <v>15</v>
      </c>
      <c r="G567" s="226">
        <f t="shared" si="103"/>
        <v>10</v>
      </c>
      <c r="H567" s="226" t="s">
        <v>16</v>
      </c>
      <c r="I567" s="227">
        <v>76496</v>
      </c>
      <c r="J567" s="226" t="s">
        <v>118</v>
      </c>
      <c r="K567" s="226" t="s">
        <v>19</v>
      </c>
      <c r="L567" s="226">
        <v>1</v>
      </c>
      <c r="M567" s="228">
        <f t="shared" si="98"/>
        <v>76496</v>
      </c>
      <c r="N567" s="229">
        <v>1</v>
      </c>
      <c r="O567" s="229"/>
    </row>
    <row r="568" spans="1:15" x14ac:dyDescent="0.2">
      <c r="A568" s="226">
        <v>567</v>
      </c>
      <c r="B568" s="226" t="str">
        <f t="shared" si="95"/>
        <v>MAIN RESERVETANK SIZE 32LFM-2001-11</v>
      </c>
      <c r="C568" s="226">
        <f t="shared" si="102"/>
        <v>1</v>
      </c>
      <c r="D568" s="226" t="s">
        <v>117</v>
      </c>
      <c r="E568" s="226" t="s">
        <v>52</v>
      </c>
      <c r="F568" s="226" t="s">
        <v>15</v>
      </c>
      <c r="G568" s="226">
        <f t="shared" si="103"/>
        <v>11</v>
      </c>
      <c r="H568" s="226" t="s">
        <v>16</v>
      </c>
      <c r="I568" s="227">
        <v>570566</v>
      </c>
      <c r="J568" s="226" t="s">
        <v>119</v>
      </c>
      <c r="K568" s="226" t="s">
        <v>19</v>
      </c>
      <c r="L568" s="226">
        <f>L559+L559</f>
        <v>2</v>
      </c>
      <c r="M568" s="228">
        <f t="shared" si="98"/>
        <v>570566</v>
      </c>
      <c r="N568" s="229">
        <v>1</v>
      </c>
      <c r="O568" s="229"/>
    </row>
    <row r="569" spans="1:15" x14ac:dyDescent="0.2">
      <c r="A569" s="226">
        <v>568</v>
      </c>
      <c r="B569" s="226" t="str">
        <f t="shared" si="95"/>
        <v>MAIN RESERVETANK SIZE 32LFM-2001-12</v>
      </c>
      <c r="C569" s="226">
        <f t="shared" si="102"/>
        <v>1</v>
      </c>
      <c r="D569" s="226" t="s">
        <v>117</v>
      </c>
      <c r="E569" s="226" t="s">
        <v>52</v>
      </c>
      <c r="F569" s="226" t="s">
        <v>15</v>
      </c>
      <c r="G569" s="226">
        <f t="shared" si="103"/>
        <v>12</v>
      </c>
      <c r="H569" s="226" t="s">
        <v>16</v>
      </c>
      <c r="I569" s="227" t="s">
        <v>44</v>
      </c>
      <c r="J569" s="226" t="s">
        <v>45</v>
      </c>
      <c r="K569" s="226" t="s">
        <v>19</v>
      </c>
      <c r="L569" s="226">
        <f>L559+L559</f>
        <v>2</v>
      </c>
      <c r="M569" s="228" t="str">
        <f t="shared" si="98"/>
        <v>570539-R2</v>
      </c>
      <c r="N569" s="229">
        <v>1</v>
      </c>
      <c r="O569" s="229"/>
    </row>
    <row r="570" spans="1:15" x14ac:dyDescent="0.2">
      <c r="A570" s="226">
        <v>569</v>
      </c>
      <c r="B570" s="226" t="str">
        <f t="shared" si="95"/>
        <v>MAIN RESERVETANK SIZE 32LFM-2001-13</v>
      </c>
      <c r="C570" s="226">
        <f t="shared" si="102"/>
        <v>1</v>
      </c>
      <c r="D570" s="226" t="s">
        <v>117</v>
      </c>
      <c r="E570" s="226" t="s">
        <v>52</v>
      </c>
      <c r="F570" s="226" t="s">
        <v>15</v>
      </c>
      <c r="G570" s="226">
        <f t="shared" si="103"/>
        <v>13</v>
      </c>
      <c r="N570" s="229">
        <v>1</v>
      </c>
      <c r="O570" s="229"/>
    </row>
    <row r="571" spans="1:15" x14ac:dyDescent="0.2">
      <c r="A571" s="226">
        <v>570</v>
      </c>
      <c r="B571" s="226" t="str">
        <f t="shared" si="95"/>
        <v>MAIN RESERVETANK SIZE 32LFM-2001-14</v>
      </c>
      <c r="C571" s="226">
        <f t="shared" si="102"/>
        <v>1</v>
      </c>
      <c r="D571" s="226" t="s">
        <v>117</v>
      </c>
      <c r="E571" s="226" t="s">
        <v>52</v>
      </c>
      <c r="F571" s="226" t="s">
        <v>15</v>
      </c>
      <c r="G571" s="226">
        <f t="shared" si="103"/>
        <v>14</v>
      </c>
      <c r="H571" s="226" t="s">
        <v>16</v>
      </c>
      <c r="I571" s="227">
        <v>570550</v>
      </c>
      <c r="J571" s="226" t="s">
        <v>120</v>
      </c>
      <c r="K571" s="226" t="s">
        <v>19</v>
      </c>
      <c r="L571" s="226">
        <f>L559-1</f>
        <v>0</v>
      </c>
      <c r="M571" s="228">
        <f t="shared" ref="M571:M575" si="104">I571</f>
        <v>570550</v>
      </c>
      <c r="N571" s="229">
        <v>1</v>
      </c>
      <c r="O571" s="229"/>
    </row>
    <row r="572" spans="1:15" x14ac:dyDescent="0.2">
      <c r="A572" s="226">
        <v>571</v>
      </c>
      <c r="B572" s="226" t="str">
        <f t="shared" si="95"/>
        <v>MAIN RESERVETANK SIZE 32LFM-2001-15</v>
      </c>
      <c r="C572" s="226">
        <f t="shared" si="102"/>
        <v>1</v>
      </c>
      <c r="D572" s="226" t="s">
        <v>117</v>
      </c>
      <c r="E572" s="226" t="s">
        <v>52</v>
      </c>
      <c r="F572" s="226" t="s">
        <v>15</v>
      </c>
      <c r="G572" s="226">
        <f t="shared" si="103"/>
        <v>15</v>
      </c>
      <c r="H572" s="226" t="s">
        <v>16</v>
      </c>
      <c r="I572" s="227">
        <v>32338</v>
      </c>
      <c r="J572" s="226" t="s">
        <v>42</v>
      </c>
      <c r="K572" s="226" t="s">
        <v>19</v>
      </c>
      <c r="L572" s="226">
        <f>IF(L559&gt;1,1,0)</f>
        <v>0</v>
      </c>
      <c r="M572" s="228">
        <f t="shared" si="104"/>
        <v>32338</v>
      </c>
      <c r="N572" s="229">
        <v>1</v>
      </c>
      <c r="O572" s="229"/>
    </row>
    <row r="573" spans="1:15" x14ac:dyDescent="0.2">
      <c r="A573" s="226">
        <v>572</v>
      </c>
      <c r="B573" s="226" t="str">
        <f t="shared" si="95"/>
        <v>MAIN RESERVETANK SIZE 32LFM-2001-16</v>
      </c>
      <c r="C573" s="226">
        <f t="shared" si="102"/>
        <v>1</v>
      </c>
      <c r="D573" s="226" t="s">
        <v>117</v>
      </c>
      <c r="E573" s="226" t="s">
        <v>52</v>
      </c>
      <c r="F573" s="226" t="s">
        <v>15</v>
      </c>
      <c r="G573" s="226">
        <f t="shared" si="103"/>
        <v>16</v>
      </c>
      <c r="H573" s="226" t="s">
        <v>16</v>
      </c>
      <c r="I573" s="227">
        <v>31810</v>
      </c>
      <c r="J573" s="226" t="s">
        <v>121</v>
      </c>
      <c r="K573" s="226" t="s">
        <v>19</v>
      </c>
      <c r="L573" s="226">
        <f>IF(L559&gt;1,1,0)</f>
        <v>0</v>
      </c>
      <c r="M573" s="228">
        <f t="shared" si="104"/>
        <v>31810</v>
      </c>
      <c r="N573" s="229">
        <v>1</v>
      </c>
      <c r="O573" s="229"/>
    </row>
    <row r="574" spans="1:15" x14ac:dyDescent="0.2">
      <c r="A574" s="226">
        <v>573</v>
      </c>
      <c r="B574" s="226" t="str">
        <f t="shared" si="95"/>
        <v>MAIN RESERVETANK SIZE 32LFM-2001-17</v>
      </c>
      <c r="C574" s="226">
        <f t="shared" si="102"/>
        <v>1</v>
      </c>
      <c r="D574" s="226" t="s">
        <v>117</v>
      </c>
      <c r="E574" s="226" t="s">
        <v>52</v>
      </c>
      <c r="F574" s="226" t="s">
        <v>15</v>
      </c>
      <c r="G574" s="226">
        <f t="shared" si="103"/>
        <v>17</v>
      </c>
      <c r="H574" s="226" t="s">
        <v>16</v>
      </c>
      <c r="I574" s="227">
        <v>32336</v>
      </c>
      <c r="J574" s="226" t="s">
        <v>122</v>
      </c>
      <c r="K574" s="226" t="s">
        <v>19</v>
      </c>
      <c r="L574" s="226">
        <f>L559-1</f>
        <v>0</v>
      </c>
      <c r="M574" s="228">
        <f t="shared" si="104"/>
        <v>32336</v>
      </c>
      <c r="N574" s="229">
        <v>1</v>
      </c>
      <c r="O574" s="229"/>
    </row>
    <row r="575" spans="1:15" x14ac:dyDescent="0.2">
      <c r="A575" s="226">
        <v>574</v>
      </c>
      <c r="B575" s="226" t="str">
        <f t="shared" si="95"/>
        <v>MAIN RESERVETANK SIZE 32LFM-2001-18</v>
      </c>
      <c r="C575" s="226">
        <f t="shared" si="102"/>
        <v>1</v>
      </c>
      <c r="D575" s="226" t="s">
        <v>117</v>
      </c>
      <c r="E575" s="226" t="s">
        <v>52</v>
      </c>
      <c r="F575" s="226" t="s">
        <v>15</v>
      </c>
      <c r="G575" s="226">
        <f t="shared" si="103"/>
        <v>18</v>
      </c>
      <c r="H575" s="226" t="s">
        <v>16</v>
      </c>
      <c r="I575" s="227">
        <v>31811</v>
      </c>
      <c r="J575" s="226" t="s">
        <v>123</v>
      </c>
      <c r="K575" s="226" t="s">
        <v>19</v>
      </c>
      <c r="L575" s="226">
        <f>IF(L559&gt;1,L559-1,0)</f>
        <v>0</v>
      </c>
      <c r="M575" s="228">
        <f t="shared" si="104"/>
        <v>31811</v>
      </c>
      <c r="N575" s="229">
        <v>1</v>
      </c>
      <c r="O575" s="229"/>
    </row>
    <row r="576" spans="1:15" x14ac:dyDescent="0.2">
      <c r="A576" s="226">
        <v>575</v>
      </c>
      <c r="B576" s="226" t="str">
        <f t="shared" si="95"/>
        <v>-</v>
      </c>
      <c r="M576" s="228">
        <f t="shared" si="98"/>
        <v>0</v>
      </c>
      <c r="N576" s="229">
        <v>1</v>
      </c>
      <c r="O576" s="229"/>
    </row>
    <row r="577" spans="1:15" x14ac:dyDescent="0.2">
      <c r="A577" s="226">
        <v>576</v>
      </c>
      <c r="B577" s="226" t="str">
        <f t="shared" si="95"/>
        <v>MAIN RESERVETANK SIZE 52LFM-2001-1</v>
      </c>
      <c r="C577" s="226">
        <f>L577</f>
        <v>1</v>
      </c>
      <c r="D577" s="226" t="s">
        <v>117</v>
      </c>
      <c r="E577" s="226" t="s">
        <v>58</v>
      </c>
      <c r="F577" s="226" t="s">
        <v>15</v>
      </c>
      <c r="G577" s="226">
        <v>1</v>
      </c>
      <c r="H577" s="226" t="s">
        <v>16</v>
      </c>
      <c r="I577" s="227" t="s">
        <v>17</v>
      </c>
      <c r="J577" s="226" t="s">
        <v>59</v>
      </c>
      <c r="K577" s="226" t="s">
        <v>19</v>
      </c>
      <c r="L577" s="226">
        <f>'COT AGENTES'!$H$3</f>
        <v>1</v>
      </c>
      <c r="M577" s="228" t="s">
        <v>60</v>
      </c>
      <c r="N577" s="229">
        <v>1</v>
      </c>
      <c r="O577" s="229"/>
    </row>
    <row r="578" spans="1:15" x14ac:dyDescent="0.2">
      <c r="A578" s="226">
        <v>577</v>
      </c>
      <c r="B578" s="226" t="str">
        <f t="shared" si="95"/>
        <v>MAIN RESERVETANK SIZE 52LFM-2001-2</v>
      </c>
      <c r="C578" s="226">
        <f>C577</f>
        <v>1</v>
      </c>
      <c r="D578" s="226" t="s">
        <v>117</v>
      </c>
      <c r="E578" s="226" t="s">
        <v>58</v>
      </c>
      <c r="F578" s="226" t="s">
        <v>15</v>
      </c>
      <c r="G578" s="226">
        <f>+G577+1</f>
        <v>2</v>
      </c>
      <c r="H578" s="226" t="s">
        <v>16</v>
      </c>
      <c r="I578" s="227">
        <v>445735</v>
      </c>
      <c r="J578" s="226" t="s">
        <v>61</v>
      </c>
      <c r="K578" s="226" t="s">
        <v>19</v>
      </c>
      <c r="L578" s="226">
        <f>'COT AGENTES'!$H$3</f>
        <v>1</v>
      </c>
      <c r="M578" s="228">
        <f t="shared" si="98"/>
        <v>445735</v>
      </c>
      <c r="N578" s="229">
        <v>1</v>
      </c>
      <c r="O578" s="229"/>
    </row>
    <row r="579" spans="1:15" x14ac:dyDescent="0.2">
      <c r="A579" s="226">
        <v>578</v>
      </c>
      <c r="B579" s="226" t="str">
        <f t="shared" si="95"/>
        <v>MAIN RESERVETANK SIZE 52LFM-2001-3</v>
      </c>
      <c r="C579" s="226">
        <f t="shared" ref="C579:C594" si="105">C578</f>
        <v>1</v>
      </c>
      <c r="D579" s="226" t="s">
        <v>117</v>
      </c>
      <c r="E579" s="226" t="s">
        <v>58</v>
      </c>
      <c r="F579" s="226" t="s">
        <v>15</v>
      </c>
      <c r="G579" s="226">
        <f t="shared" ref="G579:G594" si="106">+G578+1</f>
        <v>3</v>
      </c>
      <c r="H579" s="226" t="s">
        <v>16</v>
      </c>
      <c r="I579" s="227" t="s">
        <v>22</v>
      </c>
      <c r="J579" s="226" t="s">
        <v>23</v>
      </c>
      <c r="K579" s="226" t="s">
        <v>19</v>
      </c>
      <c r="L579" s="230">
        <f>'COT AGENTES'!$H$5</f>
        <v>2</v>
      </c>
      <c r="M579" s="228">
        <v>453646</v>
      </c>
      <c r="N579" s="229">
        <v>1</v>
      </c>
      <c r="O579" s="229"/>
    </row>
    <row r="580" spans="1:15" x14ac:dyDescent="0.2">
      <c r="A580" s="226">
        <v>579</v>
      </c>
      <c r="B580" s="226" t="str">
        <f t="shared" si="95"/>
        <v>MAIN RESERVETANK SIZE 52LFM-2001-4</v>
      </c>
      <c r="C580" s="226">
        <f t="shared" si="105"/>
        <v>1</v>
      </c>
      <c r="D580" s="226" t="s">
        <v>117</v>
      </c>
      <c r="E580" s="226" t="s">
        <v>58</v>
      </c>
      <c r="F580" s="226" t="s">
        <v>15</v>
      </c>
      <c r="G580" s="226">
        <f t="shared" si="106"/>
        <v>4</v>
      </c>
      <c r="H580" s="226" t="s">
        <v>16</v>
      </c>
      <c r="I580" s="227">
        <v>570055</v>
      </c>
      <c r="J580" s="226" t="s">
        <v>24</v>
      </c>
      <c r="K580" s="226" t="s">
        <v>19</v>
      </c>
      <c r="L580" s="226">
        <f>L578</f>
        <v>1</v>
      </c>
      <c r="M580" s="228">
        <f t="shared" si="98"/>
        <v>570055</v>
      </c>
      <c r="N580" s="229">
        <v>1</v>
      </c>
      <c r="O580" s="229"/>
    </row>
    <row r="581" spans="1:15" x14ac:dyDescent="0.2">
      <c r="A581" s="226">
        <v>580</v>
      </c>
      <c r="B581" s="226" t="str">
        <f t="shared" si="95"/>
        <v>MAIN RESERVETANK SIZE 52LFM-2001-5</v>
      </c>
      <c r="C581" s="226">
        <f t="shared" si="105"/>
        <v>1</v>
      </c>
      <c r="D581" s="226" t="s">
        <v>117</v>
      </c>
      <c r="E581" s="226" t="s">
        <v>58</v>
      </c>
      <c r="F581" s="226" t="s">
        <v>15</v>
      </c>
      <c r="G581" s="226">
        <f t="shared" si="106"/>
        <v>5</v>
      </c>
      <c r="H581" s="226" t="s">
        <v>16</v>
      </c>
      <c r="I581" s="227">
        <v>314205321</v>
      </c>
      <c r="J581" s="226" t="s">
        <v>25</v>
      </c>
      <c r="K581" s="226" t="s">
        <v>19</v>
      </c>
      <c r="L581" s="226">
        <f>L578</f>
        <v>1</v>
      </c>
      <c r="M581" s="228">
        <f t="shared" si="98"/>
        <v>314205321</v>
      </c>
      <c r="N581" s="229">
        <v>1</v>
      </c>
      <c r="O581" s="229"/>
    </row>
    <row r="582" spans="1:15" x14ac:dyDescent="0.2">
      <c r="A582" s="226">
        <v>581</v>
      </c>
      <c r="B582" s="226" t="str">
        <f t="shared" si="95"/>
        <v>MAIN RESERVETANK SIZE 52LFM-2001-6</v>
      </c>
      <c r="C582" s="226">
        <f t="shared" si="105"/>
        <v>1</v>
      </c>
      <c r="D582" s="226" t="s">
        <v>117</v>
      </c>
      <c r="E582" s="226" t="s">
        <v>58</v>
      </c>
      <c r="F582" s="226" t="s">
        <v>15</v>
      </c>
      <c r="G582" s="226">
        <f t="shared" si="106"/>
        <v>6</v>
      </c>
      <c r="H582" s="226" t="s">
        <v>16</v>
      </c>
      <c r="I582" s="227">
        <v>570585</v>
      </c>
      <c r="J582" s="226" t="s">
        <v>26</v>
      </c>
      <c r="K582" s="226" t="s">
        <v>19</v>
      </c>
      <c r="L582" s="226">
        <f>L578</f>
        <v>1</v>
      </c>
      <c r="M582" s="228">
        <f t="shared" si="98"/>
        <v>570585</v>
      </c>
      <c r="N582" s="229">
        <v>1</v>
      </c>
      <c r="O582" s="229"/>
    </row>
    <row r="583" spans="1:15" x14ac:dyDescent="0.2">
      <c r="A583" s="226">
        <v>582</v>
      </c>
      <c r="B583" s="226" t="str">
        <f t="shared" si="95"/>
        <v>MAIN RESERVETANK SIZE 52LFM-2001-7</v>
      </c>
      <c r="C583" s="226">
        <f t="shared" si="105"/>
        <v>1</v>
      </c>
      <c r="D583" s="226" t="s">
        <v>117</v>
      </c>
      <c r="E583" s="226" t="s">
        <v>58</v>
      </c>
      <c r="F583" s="226" t="s">
        <v>15</v>
      </c>
      <c r="G583" s="226">
        <f t="shared" si="106"/>
        <v>7</v>
      </c>
      <c r="H583" s="226" t="s">
        <v>16</v>
      </c>
      <c r="I583" s="227">
        <v>304205030</v>
      </c>
      <c r="J583" s="226" t="s">
        <v>27</v>
      </c>
      <c r="K583" s="226" t="s">
        <v>19</v>
      </c>
      <c r="L583" s="226">
        <v>1</v>
      </c>
      <c r="M583" s="228">
        <f t="shared" si="98"/>
        <v>304205030</v>
      </c>
      <c r="N583" s="229">
        <v>1</v>
      </c>
      <c r="O583" s="229"/>
    </row>
    <row r="584" spans="1:15" x14ac:dyDescent="0.2">
      <c r="A584" s="226">
        <v>583</v>
      </c>
      <c r="B584" s="226" t="str">
        <f t="shared" si="95"/>
        <v>MAIN RESERVETANK SIZE 52LFM-2001-8</v>
      </c>
      <c r="C584" s="226">
        <f t="shared" si="105"/>
        <v>1</v>
      </c>
      <c r="D584" s="226" t="s">
        <v>117</v>
      </c>
      <c r="E584" s="226" t="s">
        <v>58</v>
      </c>
      <c r="F584" s="226" t="s">
        <v>15</v>
      </c>
      <c r="G584" s="226">
        <f t="shared" si="106"/>
        <v>8</v>
      </c>
      <c r="H584" s="226" t="s">
        <v>16</v>
      </c>
      <c r="I584" s="227" t="s">
        <v>28</v>
      </c>
      <c r="J584" s="226" t="s">
        <v>29</v>
      </c>
      <c r="K584" s="226" t="s">
        <v>19</v>
      </c>
      <c r="L584" s="226">
        <v>1</v>
      </c>
      <c r="M584" s="228" t="str">
        <f t="shared" si="98"/>
        <v>A1638150HY</v>
      </c>
      <c r="N584" s="229">
        <v>1</v>
      </c>
      <c r="O584" s="229"/>
    </row>
    <row r="585" spans="1:15" x14ac:dyDescent="0.2">
      <c r="A585" s="226">
        <v>584</v>
      </c>
      <c r="B585" s="226" t="str">
        <f t="shared" si="95"/>
        <v>MAIN RESERVETANK SIZE 52LFM-2001-9</v>
      </c>
      <c r="C585" s="226">
        <f t="shared" si="105"/>
        <v>1</v>
      </c>
      <c r="D585" s="226" t="s">
        <v>117</v>
      </c>
      <c r="E585" s="226" t="s">
        <v>58</v>
      </c>
      <c r="F585" s="226" t="s">
        <v>15</v>
      </c>
      <c r="G585" s="226">
        <f t="shared" si="106"/>
        <v>9</v>
      </c>
      <c r="H585" s="226" t="s">
        <v>16</v>
      </c>
      <c r="I585" s="227" t="s">
        <v>62</v>
      </c>
      <c r="J585" s="226" t="s">
        <v>63</v>
      </c>
      <c r="K585" s="226" t="s">
        <v>19</v>
      </c>
      <c r="L585" s="226">
        <f>L578*2</f>
        <v>2</v>
      </c>
      <c r="M585" s="228" t="str">
        <f t="shared" si="98"/>
        <v>570092-R2</v>
      </c>
      <c r="N585" s="229">
        <v>1</v>
      </c>
      <c r="O585" s="229"/>
    </row>
    <row r="586" spans="1:15" x14ac:dyDescent="0.2">
      <c r="A586" s="226">
        <v>585</v>
      </c>
      <c r="B586" s="226" t="str">
        <f t="shared" si="95"/>
        <v>MAIN RESERVETANK SIZE 52LFM-2001-10</v>
      </c>
      <c r="C586" s="226">
        <f t="shared" si="105"/>
        <v>1</v>
      </c>
      <c r="D586" s="226" t="s">
        <v>117</v>
      </c>
      <c r="E586" s="226" t="s">
        <v>58</v>
      </c>
      <c r="F586" s="226" t="s">
        <v>15</v>
      </c>
      <c r="G586" s="226">
        <f t="shared" si="106"/>
        <v>10</v>
      </c>
      <c r="H586" s="226" t="s">
        <v>16</v>
      </c>
      <c r="I586" s="227">
        <v>76496</v>
      </c>
      <c r="J586" s="226" t="s">
        <v>118</v>
      </c>
      <c r="K586" s="226" t="s">
        <v>19</v>
      </c>
      <c r="L586" s="226">
        <v>1</v>
      </c>
      <c r="M586" s="228">
        <f t="shared" si="98"/>
        <v>76496</v>
      </c>
      <c r="N586" s="229">
        <v>1</v>
      </c>
      <c r="O586" s="229"/>
    </row>
    <row r="587" spans="1:15" x14ac:dyDescent="0.2">
      <c r="A587" s="226">
        <v>586</v>
      </c>
      <c r="B587" s="226" t="str">
        <f t="shared" si="95"/>
        <v>MAIN RESERVETANK SIZE 52LFM-2001-11</v>
      </c>
      <c r="C587" s="226">
        <f t="shared" si="105"/>
        <v>1</v>
      </c>
      <c r="D587" s="226" t="s">
        <v>117</v>
      </c>
      <c r="E587" s="226" t="s">
        <v>58</v>
      </c>
      <c r="F587" s="226" t="s">
        <v>15</v>
      </c>
      <c r="G587" s="226">
        <f t="shared" si="106"/>
        <v>11</v>
      </c>
      <c r="H587" s="226" t="s">
        <v>16</v>
      </c>
      <c r="I587" s="227">
        <v>570568</v>
      </c>
      <c r="J587" s="226" t="s">
        <v>124</v>
      </c>
      <c r="K587" s="226" t="s">
        <v>19</v>
      </c>
      <c r="L587" s="226">
        <f>L578+L578</f>
        <v>2</v>
      </c>
      <c r="M587" s="228">
        <f t="shared" si="98"/>
        <v>570568</v>
      </c>
      <c r="N587" s="229">
        <v>1</v>
      </c>
      <c r="O587" s="229"/>
    </row>
    <row r="588" spans="1:15" x14ac:dyDescent="0.2">
      <c r="A588" s="226">
        <v>587</v>
      </c>
      <c r="B588" s="226" t="str">
        <f t="shared" si="95"/>
        <v>MAIN RESERVETANK SIZE 52LFM-2001-12</v>
      </c>
      <c r="C588" s="226">
        <f t="shared" si="105"/>
        <v>1</v>
      </c>
      <c r="D588" s="226" t="s">
        <v>117</v>
      </c>
      <c r="E588" s="226" t="s">
        <v>58</v>
      </c>
      <c r="F588" s="226" t="s">
        <v>15</v>
      </c>
      <c r="G588" s="226">
        <f t="shared" si="106"/>
        <v>12</v>
      </c>
      <c r="H588" s="226" t="s">
        <v>16</v>
      </c>
      <c r="I588" s="227" t="s">
        <v>67</v>
      </c>
      <c r="J588" s="226" t="s">
        <v>68</v>
      </c>
      <c r="K588" s="226" t="s">
        <v>19</v>
      </c>
      <c r="L588" s="226">
        <f>L578+L578</f>
        <v>2</v>
      </c>
      <c r="M588" s="228" t="str">
        <f t="shared" si="98"/>
        <v>570538-R2</v>
      </c>
      <c r="N588" s="229">
        <v>1</v>
      </c>
      <c r="O588" s="229"/>
    </row>
    <row r="589" spans="1:15" x14ac:dyDescent="0.2">
      <c r="A589" s="226">
        <v>588</v>
      </c>
      <c r="B589" s="226" t="str">
        <f t="shared" si="95"/>
        <v>MAIN RESERVETANK SIZE 52LFM-2001-13</v>
      </c>
      <c r="C589" s="226">
        <f t="shared" si="105"/>
        <v>1</v>
      </c>
      <c r="D589" s="226" t="s">
        <v>117</v>
      </c>
      <c r="E589" s="226" t="s">
        <v>58</v>
      </c>
      <c r="F589" s="226" t="s">
        <v>15</v>
      </c>
      <c r="G589" s="226">
        <f t="shared" si="106"/>
        <v>13</v>
      </c>
      <c r="N589" s="229">
        <v>1</v>
      </c>
      <c r="O589" s="229"/>
    </row>
    <row r="590" spans="1:15" x14ac:dyDescent="0.2">
      <c r="A590" s="226">
        <v>589</v>
      </c>
      <c r="B590" s="226" t="str">
        <f t="shared" si="95"/>
        <v>MAIN RESERVETANK SIZE 52LFM-2001-14</v>
      </c>
      <c r="C590" s="226">
        <f t="shared" si="105"/>
        <v>1</v>
      </c>
      <c r="D590" s="226" t="s">
        <v>117</v>
      </c>
      <c r="E590" s="226" t="s">
        <v>58</v>
      </c>
      <c r="F590" s="226" t="s">
        <v>15</v>
      </c>
      <c r="G590" s="226">
        <f t="shared" si="106"/>
        <v>14</v>
      </c>
      <c r="H590" s="226" t="s">
        <v>16</v>
      </c>
      <c r="I590" s="227">
        <v>570550</v>
      </c>
      <c r="J590" s="226" t="s">
        <v>120</v>
      </c>
      <c r="K590" s="226" t="s">
        <v>19</v>
      </c>
      <c r="L590" s="226">
        <f>L578-1</f>
        <v>0</v>
      </c>
      <c r="M590" s="228">
        <f t="shared" ref="M590:M594" si="107">I590</f>
        <v>570550</v>
      </c>
      <c r="N590" s="229">
        <v>1</v>
      </c>
      <c r="O590" s="229"/>
    </row>
    <row r="591" spans="1:15" x14ac:dyDescent="0.2">
      <c r="A591" s="226">
        <v>590</v>
      </c>
      <c r="B591" s="226" t="str">
        <f t="shared" si="95"/>
        <v>MAIN RESERVETANK SIZE 52LFM-2001-15</v>
      </c>
      <c r="C591" s="226">
        <f t="shared" si="105"/>
        <v>1</v>
      </c>
      <c r="D591" s="226" t="s">
        <v>117</v>
      </c>
      <c r="E591" s="226" t="s">
        <v>58</v>
      </c>
      <c r="F591" s="226" t="s">
        <v>15</v>
      </c>
      <c r="G591" s="226">
        <f t="shared" si="106"/>
        <v>15</v>
      </c>
      <c r="H591" s="226" t="s">
        <v>16</v>
      </c>
      <c r="I591" s="227">
        <v>32338</v>
      </c>
      <c r="J591" s="226" t="s">
        <v>42</v>
      </c>
      <c r="K591" s="226" t="s">
        <v>19</v>
      </c>
      <c r="L591" s="226">
        <f>IF(L578&gt;1,1,0)</f>
        <v>0</v>
      </c>
      <c r="M591" s="228">
        <f t="shared" si="107"/>
        <v>32338</v>
      </c>
      <c r="N591" s="229">
        <v>1</v>
      </c>
      <c r="O591" s="229"/>
    </row>
    <row r="592" spans="1:15" x14ac:dyDescent="0.2">
      <c r="A592" s="226">
        <v>591</v>
      </c>
      <c r="B592" s="226" t="str">
        <f t="shared" si="95"/>
        <v>MAIN RESERVETANK SIZE 52LFM-2001-16</v>
      </c>
      <c r="C592" s="226">
        <f t="shared" si="105"/>
        <v>1</v>
      </c>
      <c r="D592" s="226" t="s">
        <v>117</v>
      </c>
      <c r="E592" s="226" t="s">
        <v>58</v>
      </c>
      <c r="F592" s="226" t="s">
        <v>15</v>
      </c>
      <c r="G592" s="226">
        <f t="shared" si="106"/>
        <v>16</v>
      </c>
      <c r="H592" s="226" t="s">
        <v>16</v>
      </c>
      <c r="I592" s="227">
        <v>31810</v>
      </c>
      <c r="J592" s="226" t="s">
        <v>121</v>
      </c>
      <c r="K592" s="226" t="s">
        <v>19</v>
      </c>
      <c r="L592" s="226">
        <f>IF(L578&gt;1,1,0)</f>
        <v>0</v>
      </c>
      <c r="M592" s="228">
        <f t="shared" si="107"/>
        <v>31810</v>
      </c>
      <c r="N592" s="229">
        <v>1</v>
      </c>
      <c r="O592" s="229"/>
    </row>
    <row r="593" spans="1:15" x14ac:dyDescent="0.2">
      <c r="A593" s="226">
        <v>592</v>
      </c>
      <c r="B593" s="226" t="str">
        <f t="shared" si="95"/>
        <v>MAIN RESERVETANK SIZE 52LFM-2001-17</v>
      </c>
      <c r="C593" s="226">
        <f t="shared" si="105"/>
        <v>1</v>
      </c>
      <c r="D593" s="226" t="s">
        <v>117</v>
      </c>
      <c r="E593" s="226" t="s">
        <v>58</v>
      </c>
      <c r="F593" s="226" t="s">
        <v>15</v>
      </c>
      <c r="G593" s="226">
        <f t="shared" si="106"/>
        <v>17</v>
      </c>
      <c r="H593" s="226" t="s">
        <v>16</v>
      </c>
      <c r="I593" s="227">
        <v>32336</v>
      </c>
      <c r="J593" s="226" t="s">
        <v>122</v>
      </c>
      <c r="K593" s="226" t="s">
        <v>19</v>
      </c>
      <c r="L593" s="226">
        <f>L578-1</f>
        <v>0</v>
      </c>
      <c r="M593" s="228">
        <f t="shared" si="107"/>
        <v>32336</v>
      </c>
      <c r="N593" s="229">
        <v>1</v>
      </c>
      <c r="O593" s="229"/>
    </row>
    <row r="594" spans="1:15" x14ac:dyDescent="0.2">
      <c r="A594" s="226">
        <v>593</v>
      </c>
      <c r="B594" s="226" t="str">
        <f t="shared" si="95"/>
        <v>MAIN RESERVETANK SIZE 52LFM-2001-18</v>
      </c>
      <c r="C594" s="226">
        <f t="shared" si="105"/>
        <v>1</v>
      </c>
      <c r="D594" s="226" t="s">
        <v>117</v>
      </c>
      <c r="E594" s="226" t="s">
        <v>58</v>
      </c>
      <c r="F594" s="226" t="s">
        <v>15</v>
      </c>
      <c r="G594" s="226">
        <f t="shared" si="106"/>
        <v>18</v>
      </c>
      <c r="H594" s="226" t="s">
        <v>16</v>
      </c>
      <c r="I594" s="227">
        <v>31811</v>
      </c>
      <c r="J594" s="226" t="s">
        <v>123</v>
      </c>
      <c r="K594" s="226" t="s">
        <v>19</v>
      </c>
      <c r="L594" s="226">
        <f>IF(L578&gt;1,L578-1,0)</f>
        <v>0</v>
      </c>
      <c r="M594" s="228">
        <f t="shared" si="107"/>
        <v>31811</v>
      </c>
      <c r="N594" s="229">
        <v>1</v>
      </c>
      <c r="O594" s="229"/>
    </row>
    <row r="595" spans="1:15" x14ac:dyDescent="0.2">
      <c r="A595" s="226">
        <v>594</v>
      </c>
      <c r="B595" s="226" t="str">
        <f t="shared" si="95"/>
        <v>-</v>
      </c>
      <c r="M595" s="228">
        <f t="shared" si="98"/>
        <v>0</v>
      </c>
      <c r="N595" s="229">
        <v>1</v>
      </c>
      <c r="O595" s="229"/>
    </row>
    <row r="596" spans="1:15" x14ac:dyDescent="0.2">
      <c r="A596" s="226">
        <v>595</v>
      </c>
      <c r="B596" s="226" t="str">
        <f t="shared" si="95"/>
        <v>MAIN RESERVETANK SIZE 106LFM-2001-1</v>
      </c>
      <c r="C596" s="226">
        <f>L596</f>
        <v>1</v>
      </c>
      <c r="D596" s="226" t="s">
        <v>117</v>
      </c>
      <c r="E596" s="226" t="s">
        <v>69</v>
      </c>
      <c r="F596" s="226" t="s">
        <v>15</v>
      </c>
      <c r="G596" s="226">
        <v>1</v>
      </c>
      <c r="H596" s="226" t="s">
        <v>16</v>
      </c>
      <c r="I596" s="227" t="s">
        <v>17</v>
      </c>
      <c r="J596" s="226" t="s">
        <v>70</v>
      </c>
      <c r="K596" s="226" t="s">
        <v>19</v>
      </c>
      <c r="L596" s="226">
        <f>'COT AGENTES'!$H$3</f>
        <v>1</v>
      </c>
      <c r="M596" s="228" t="s">
        <v>71</v>
      </c>
      <c r="N596" s="229">
        <v>1</v>
      </c>
      <c r="O596" s="229"/>
    </row>
    <row r="597" spans="1:15" x14ac:dyDescent="0.2">
      <c r="A597" s="226">
        <v>596</v>
      </c>
      <c r="B597" s="226" t="str">
        <f t="shared" si="95"/>
        <v>MAIN RESERVETANK SIZE 106LFM-2001-2</v>
      </c>
      <c r="C597" s="226">
        <f>C596</f>
        <v>1</v>
      </c>
      <c r="D597" s="226" t="s">
        <v>117</v>
      </c>
      <c r="E597" s="226" t="s">
        <v>69</v>
      </c>
      <c r="F597" s="226" t="s">
        <v>15</v>
      </c>
      <c r="G597" s="226">
        <f>+G596+1</f>
        <v>2</v>
      </c>
      <c r="H597" s="226" t="s">
        <v>16</v>
      </c>
      <c r="I597" s="227">
        <v>445736</v>
      </c>
      <c r="J597" s="226" t="s">
        <v>72</v>
      </c>
      <c r="K597" s="226" t="s">
        <v>19</v>
      </c>
      <c r="L597" s="226">
        <f>'COT AGENTES'!$H$3</f>
        <v>1</v>
      </c>
      <c r="M597" s="228">
        <f t="shared" si="98"/>
        <v>445736</v>
      </c>
      <c r="N597" s="229">
        <v>1</v>
      </c>
      <c r="O597" s="229"/>
    </row>
    <row r="598" spans="1:15" x14ac:dyDescent="0.2">
      <c r="A598" s="226">
        <v>597</v>
      </c>
      <c r="B598" s="226" t="str">
        <f t="shared" si="95"/>
        <v>MAIN RESERVETANK SIZE 106LFM-2001-3</v>
      </c>
      <c r="C598" s="226">
        <f t="shared" ref="C598:C615" si="108">C597</f>
        <v>1</v>
      </c>
      <c r="D598" s="226" t="s">
        <v>117</v>
      </c>
      <c r="E598" s="226" t="s">
        <v>69</v>
      </c>
      <c r="F598" s="226" t="s">
        <v>15</v>
      </c>
      <c r="G598" s="226">
        <f t="shared" ref="G598:G615" si="109">+G597+1</f>
        <v>3</v>
      </c>
      <c r="H598" s="226" t="s">
        <v>16</v>
      </c>
      <c r="I598" s="227" t="s">
        <v>22</v>
      </c>
      <c r="J598" s="226" t="s">
        <v>23</v>
      </c>
      <c r="K598" s="226" t="s">
        <v>19</v>
      </c>
      <c r="L598" s="230">
        <f>'COT AGENTES'!$H$5</f>
        <v>2</v>
      </c>
      <c r="M598" s="228">
        <v>453646</v>
      </c>
      <c r="N598" s="229">
        <v>1</v>
      </c>
      <c r="O598" s="229"/>
    </row>
    <row r="599" spans="1:15" x14ac:dyDescent="0.2">
      <c r="A599" s="226">
        <v>598</v>
      </c>
      <c r="B599" s="226" t="str">
        <f t="shared" si="95"/>
        <v>MAIN RESERVETANK SIZE 106LFM-2001-4</v>
      </c>
      <c r="C599" s="226">
        <f t="shared" si="108"/>
        <v>1</v>
      </c>
      <c r="D599" s="226" t="s">
        <v>117</v>
      </c>
      <c r="E599" s="226" t="s">
        <v>69</v>
      </c>
      <c r="F599" s="226" t="s">
        <v>15</v>
      </c>
      <c r="G599" s="226">
        <f t="shared" si="109"/>
        <v>4</v>
      </c>
      <c r="H599" s="226" t="s">
        <v>16</v>
      </c>
      <c r="I599" s="227">
        <v>570055</v>
      </c>
      <c r="J599" s="226" t="s">
        <v>24</v>
      </c>
      <c r="K599" s="226" t="s">
        <v>19</v>
      </c>
      <c r="L599" s="226">
        <f>L597</f>
        <v>1</v>
      </c>
      <c r="M599" s="228">
        <f t="shared" si="98"/>
        <v>570055</v>
      </c>
      <c r="N599" s="229">
        <v>1</v>
      </c>
      <c r="O599" s="229"/>
    </row>
    <row r="600" spans="1:15" x14ac:dyDescent="0.2">
      <c r="A600" s="226">
        <v>599</v>
      </c>
      <c r="B600" s="226" t="str">
        <f t="shared" si="95"/>
        <v>MAIN RESERVETANK SIZE 106LFM-2001-5</v>
      </c>
      <c r="C600" s="226">
        <f t="shared" si="108"/>
        <v>1</v>
      </c>
      <c r="D600" s="226" t="s">
        <v>117</v>
      </c>
      <c r="E600" s="226" t="s">
        <v>69</v>
      </c>
      <c r="F600" s="226" t="s">
        <v>15</v>
      </c>
      <c r="G600" s="226">
        <f t="shared" si="109"/>
        <v>5</v>
      </c>
      <c r="H600" s="226" t="s">
        <v>16</v>
      </c>
      <c r="I600" s="227">
        <v>314205314</v>
      </c>
      <c r="J600" s="226" t="s">
        <v>56</v>
      </c>
      <c r="K600" s="226" t="s">
        <v>19</v>
      </c>
      <c r="L600" s="226">
        <f>L597</f>
        <v>1</v>
      </c>
      <c r="M600" s="228">
        <f t="shared" si="98"/>
        <v>314205314</v>
      </c>
      <c r="N600" s="229">
        <v>1</v>
      </c>
      <c r="O600" s="229"/>
    </row>
    <row r="601" spans="1:15" x14ac:dyDescent="0.2">
      <c r="A601" s="226">
        <v>600</v>
      </c>
      <c r="B601" s="226" t="str">
        <f t="shared" si="95"/>
        <v>MAIN RESERVETANK SIZE 106LFM-2001-6</v>
      </c>
      <c r="C601" s="226">
        <f t="shared" si="108"/>
        <v>1</v>
      </c>
      <c r="D601" s="226" t="s">
        <v>117</v>
      </c>
      <c r="E601" s="226" t="s">
        <v>69</v>
      </c>
      <c r="F601" s="226" t="s">
        <v>15</v>
      </c>
      <c r="G601" s="226">
        <f t="shared" si="109"/>
        <v>6</v>
      </c>
      <c r="H601" s="226" t="s">
        <v>16</v>
      </c>
      <c r="I601" s="227">
        <v>570585</v>
      </c>
      <c r="J601" s="226" t="s">
        <v>26</v>
      </c>
      <c r="K601" s="226" t="s">
        <v>19</v>
      </c>
      <c r="L601" s="226">
        <f>L597</f>
        <v>1</v>
      </c>
      <c r="M601" s="228">
        <f t="shared" si="98"/>
        <v>570585</v>
      </c>
      <c r="N601" s="229">
        <v>1</v>
      </c>
      <c r="O601" s="229"/>
    </row>
    <row r="602" spans="1:15" x14ac:dyDescent="0.2">
      <c r="A602" s="226">
        <v>601</v>
      </c>
      <c r="B602" s="226" t="str">
        <f t="shared" si="95"/>
        <v>MAIN RESERVETANK SIZE 106LFM-2001-7</v>
      </c>
      <c r="C602" s="226">
        <f t="shared" si="108"/>
        <v>1</v>
      </c>
      <c r="D602" s="226" t="s">
        <v>117</v>
      </c>
      <c r="E602" s="226" t="s">
        <v>69</v>
      </c>
      <c r="F602" s="226" t="s">
        <v>15</v>
      </c>
      <c r="G602" s="226">
        <f t="shared" si="109"/>
        <v>7</v>
      </c>
      <c r="H602" s="226" t="s">
        <v>16</v>
      </c>
      <c r="I602" s="227">
        <v>304205030</v>
      </c>
      <c r="J602" s="226" t="s">
        <v>27</v>
      </c>
      <c r="K602" s="226" t="s">
        <v>19</v>
      </c>
      <c r="L602" s="226">
        <v>1</v>
      </c>
      <c r="M602" s="228">
        <f t="shared" si="98"/>
        <v>304205030</v>
      </c>
      <c r="N602" s="229">
        <v>1</v>
      </c>
      <c r="O602" s="229"/>
    </row>
    <row r="603" spans="1:15" x14ac:dyDescent="0.2">
      <c r="A603" s="226">
        <v>602</v>
      </c>
      <c r="B603" s="226" t="str">
        <f t="shared" si="95"/>
        <v>MAIN RESERVETANK SIZE 106LFM-2001-8</v>
      </c>
      <c r="C603" s="226">
        <f t="shared" si="108"/>
        <v>1</v>
      </c>
      <c r="D603" s="226" t="s">
        <v>117</v>
      </c>
      <c r="E603" s="226" t="s">
        <v>69</v>
      </c>
      <c r="F603" s="226" t="s">
        <v>15</v>
      </c>
      <c r="G603" s="226">
        <f t="shared" si="109"/>
        <v>8</v>
      </c>
      <c r="H603" s="226" t="s">
        <v>16</v>
      </c>
      <c r="I603" s="227" t="s">
        <v>28</v>
      </c>
      <c r="J603" s="226" t="s">
        <v>29</v>
      </c>
      <c r="K603" s="226" t="s">
        <v>19</v>
      </c>
      <c r="L603" s="226">
        <v>1</v>
      </c>
      <c r="M603" s="228" t="str">
        <f t="shared" si="98"/>
        <v>A1638150HY</v>
      </c>
      <c r="N603" s="229">
        <v>1</v>
      </c>
      <c r="O603" s="229"/>
    </row>
    <row r="604" spans="1:15" x14ac:dyDescent="0.2">
      <c r="A604" s="226">
        <v>603</v>
      </c>
      <c r="B604" s="226" t="str">
        <f t="shared" si="95"/>
        <v>MAIN RESERVETANK SIZE 106LFM-2001-9</v>
      </c>
      <c r="C604" s="226">
        <f t="shared" si="108"/>
        <v>1</v>
      </c>
      <c r="D604" s="226" t="s">
        <v>117</v>
      </c>
      <c r="E604" s="226" t="s">
        <v>69</v>
      </c>
      <c r="F604" s="226" t="s">
        <v>15</v>
      </c>
      <c r="G604" s="226">
        <f t="shared" si="109"/>
        <v>9</v>
      </c>
      <c r="H604" s="226" t="s">
        <v>16</v>
      </c>
      <c r="I604" s="227" t="s">
        <v>62</v>
      </c>
      <c r="J604" s="226" t="s">
        <v>63</v>
      </c>
      <c r="K604" s="226" t="s">
        <v>19</v>
      </c>
      <c r="L604" s="226">
        <f>L597*2</f>
        <v>2</v>
      </c>
      <c r="M604" s="228" t="str">
        <f t="shared" si="98"/>
        <v>570092-R2</v>
      </c>
      <c r="N604" s="229">
        <v>1</v>
      </c>
      <c r="O604" s="229"/>
    </row>
    <row r="605" spans="1:15" x14ac:dyDescent="0.2">
      <c r="A605" s="226">
        <v>604</v>
      </c>
      <c r="B605" s="226" t="str">
        <f t="shared" si="95"/>
        <v>MAIN RESERVETANK SIZE 106LFM-2001-10</v>
      </c>
      <c r="C605" s="226">
        <f t="shared" si="108"/>
        <v>1</v>
      </c>
      <c r="D605" s="226" t="s">
        <v>117</v>
      </c>
      <c r="E605" s="226" t="s">
        <v>69</v>
      </c>
      <c r="F605" s="226" t="s">
        <v>15</v>
      </c>
      <c r="G605" s="226">
        <f t="shared" si="109"/>
        <v>10</v>
      </c>
      <c r="H605" s="226" t="s">
        <v>16</v>
      </c>
      <c r="I605" s="227">
        <v>76496</v>
      </c>
      <c r="J605" s="226" t="s">
        <v>118</v>
      </c>
      <c r="K605" s="226" t="s">
        <v>19</v>
      </c>
      <c r="L605" s="226">
        <v>1</v>
      </c>
      <c r="M605" s="228">
        <f t="shared" si="98"/>
        <v>76496</v>
      </c>
      <c r="N605" s="229">
        <v>1</v>
      </c>
      <c r="O605" s="229"/>
    </row>
    <row r="606" spans="1:15" x14ac:dyDescent="0.2">
      <c r="A606" s="226">
        <v>605</v>
      </c>
      <c r="B606" s="226" t="str">
        <f t="shared" si="95"/>
        <v>MAIN RESERVETANK SIZE 106LFM-2001-11</v>
      </c>
      <c r="C606" s="226">
        <f t="shared" si="108"/>
        <v>1</v>
      </c>
      <c r="D606" s="226" t="s">
        <v>117</v>
      </c>
      <c r="E606" s="226" t="s">
        <v>69</v>
      </c>
      <c r="F606" s="226" t="s">
        <v>15</v>
      </c>
      <c r="G606" s="226">
        <f t="shared" si="109"/>
        <v>11</v>
      </c>
      <c r="H606" s="226" t="s">
        <v>16</v>
      </c>
      <c r="I606" s="227">
        <v>570568</v>
      </c>
      <c r="J606" s="226" t="s">
        <v>124</v>
      </c>
      <c r="K606" s="226" t="s">
        <v>19</v>
      </c>
      <c r="L606" s="226">
        <f>L597+L597</f>
        <v>2</v>
      </c>
      <c r="M606" s="228">
        <f t="shared" si="98"/>
        <v>570568</v>
      </c>
      <c r="N606" s="229">
        <v>1</v>
      </c>
      <c r="O606" s="229"/>
    </row>
    <row r="607" spans="1:15" x14ac:dyDescent="0.2">
      <c r="A607" s="226">
        <v>606</v>
      </c>
      <c r="B607" s="226" t="str">
        <f t="shared" si="95"/>
        <v>MAIN RESERVETANK SIZE 106LFM-2001-12</v>
      </c>
      <c r="C607" s="226">
        <f t="shared" si="108"/>
        <v>1</v>
      </c>
      <c r="D607" s="226" t="s">
        <v>117</v>
      </c>
      <c r="E607" s="226" t="s">
        <v>69</v>
      </c>
      <c r="F607" s="226" t="s">
        <v>15</v>
      </c>
      <c r="G607" s="226">
        <f t="shared" si="109"/>
        <v>12</v>
      </c>
      <c r="H607" s="226" t="s">
        <v>16</v>
      </c>
      <c r="I607" s="227" t="s">
        <v>67</v>
      </c>
      <c r="J607" s="226" t="s">
        <v>68</v>
      </c>
      <c r="K607" s="226" t="s">
        <v>19</v>
      </c>
      <c r="L607" s="226">
        <f>L597+L597</f>
        <v>2</v>
      </c>
      <c r="M607" s="228" t="str">
        <f t="shared" si="98"/>
        <v>570538-R2</v>
      </c>
      <c r="N607" s="229">
        <v>1</v>
      </c>
      <c r="O607" s="229"/>
    </row>
    <row r="608" spans="1:15" x14ac:dyDescent="0.2">
      <c r="A608" s="226">
        <v>607</v>
      </c>
      <c r="B608" s="226" t="str">
        <f t="shared" ref="B608:B614" si="110">D608&amp;E608&amp;F608&amp;C608&amp;"-"&amp;G608&amp;IF(M608&lt;&gt;"",O608,"")</f>
        <v>MAIN RESERVETANK SIZE 106LFM-2001-13</v>
      </c>
      <c r="C608" s="226">
        <f t="shared" si="108"/>
        <v>1</v>
      </c>
      <c r="D608" s="226" t="s">
        <v>117</v>
      </c>
      <c r="E608" s="226" t="s">
        <v>69</v>
      </c>
      <c r="F608" s="226" t="s">
        <v>15</v>
      </c>
      <c r="G608" s="226">
        <f t="shared" si="109"/>
        <v>13</v>
      </c>
      <c r="N608" s="229">
        <v>1</v>
      </c>
      <c r="O608" s="229"/>
    </row>
    <row r="609" spans="1:15" x14ac:dyDescent="0.2">
      <c r="A609" s="226">
        <v>608</v>
      </c>
      <c r="B609" s="226" t="str">
        <f t="shared" si="110"/>
        <v>MAIN RESERVETANK SIZE 106LFM-2001-14</v>
      </c>
      <c r="C609" s="226">
        <f t="shared" si="108"/>
        <v>1</v>
      </c>
      <c r="D609" s="226" t="s">
        <v>117</v>
      </c>
      <c r="E609" s="226" t="s">
        <v>69</v>
      </c>
      <c r="F609" s="226" t="s">
        <v>15</v>
      </c>
      <c r="G609" s="226">
        <f t="shared" si="109"/>
        <v>14</v>
      </c>
      <c r="H609" s="226" t="s">
        <v>16</v>
      </c>
      <c r="I609" s="227">
        <v>570550</v>
      </c>
      <c r="J609" s="226" t="s">
        <v>120</v>
      </c>
      <c r="K609" s="226" t="s">
        <v>19</v>
      </c>
      <c r="L609" s="226">
        <f>L597-1</f>
        <v>0</v>
      </c>
      <c r="M609" s="228">
        <f t="shared" ref="M609:M613" si="111">I609</f>
        <v>570550</v>
      </c>
      <c r="N609" s="229">
        <v>1</v>
      </c>
      <c r="O609" s="229"/>
    </row>
    <row r="610" spans="1:15" x14ac:dyDescent="0.2">
      <c r="A610" s="226">
        <v>609</v>
      </c>
      <c r="B610" s="226" t="str">
        <f t="shared" si="110"/>
        <v>MAIN RESERVETANK SIZE 106LFM-2001-15</v>
      </c>
      <c r="C610" s="226">
        <f t="shared" si="108"/>
        <v>1</v>
      </c>
      <c r="D610" s="226" t="s">
        <v>117</v>
      </c>
      <c r="E610" s="226" t="s">
        <v>69</v>
      </c>
      <c r="F610" s="226" t="s">
        <v>15</v>
      </c>
      <c r="G610" s="226">
        <f t="shared" si="109"/>
        <v>15</v>
      </c>
      <c r="H610" s="226" t="s">
        <v>16</v>
      </c>
      <c r="I610" s="227">
        <v>32338</v>
      </c>
      <c r="J610" s="226" t="s">
        <v>42</v>
      </c>
      <c r="K610" s="226" t="s">
        <v>19</v>
      </c>
      <c r="L610" s="226">
        <f>IF(L597&gt;1,1,0)</f>
        <v>0</v>
      </c>
      <c r="M610" s="228">
        <f t="shared" si="111"/>
        <v>32338</v>
      </c>
      <c r="N610" s="229">
        <v>1</v>
      </c>
      <c r="O610" s="229"/>
    </row>
    <row r="611" spans="1:15" x14ac:dyDescent="0.2">
      <c r="A611" s="226">
        <v>610</v>
      </c>
      <c r="B611" s="226" t="str">
        <f t="shared" si="110"/>
        <v>MAIN RESERVETANK SIZE 106LFM-2001-16</v>
      </c>
      <c r="C611" s="226">
        <f t="shared" si="108"/>
        <v>1</v>
      </c>
      <c r="D611" s="226" t="s">
        <v>117</v>
      </c>
      <c r="E611" s="226" t="s">
        <v>69</v>
      </c>
      <c r="F611" s="226" t="s">
        <v>15</v>
      </c>
      <c r="G611" s="226">
        <f t="shared" si="109"/>
        <v>16</v>
      </c>
      <c r="H611" s="226" t="s">
        <v>16</v>
      </c>
      <c r="I611" s="227">
        <v>31810</v>
      </c>
      <c r="J611" s="226" t="s">
        <v>121</v>
      </c>
      <c r="K611" s="226" t="s">
        <v>19</v>
      </c>
      <c r="L611" s="226">
        <f>IF(L597&gt;1,1,0)</f>
        <v>0</v>
      </c>
      <c r="M611" s="228">
        <f t="shared" si="111"/>
        <v>31810</v>
      </c>
      <c r="N611" s="229">
        <v>1</v>
      </c>
      <c r="O611" s="229"/>
    </row>
    <row r="612" spans="1:15" x14ac:dyDescent="0.2">
      <c r="A612" s="226">
        <v>611</v>
      </c>
      <c r="B612" s="226" t="str">
        <f t="shared" si="110"/>
        <v>MAIN RESERVETANK SIZE 106LFM-2001-17</v>
      </c>
      <c r="C612" s="226">
        <f t="shared" si="108"/>
        <v>1</v>
      </c>
      <c r="D612" s="226" t="s">
        <v>117</v>
      </c>
      <c r="E612" s="226" t="s">
        <v>69</v>
      </c>
      <c r="F612" s="226" t="s">
        <v>15</v>
      </c>
      <c r="G612" s="226">
        <f t="shared" si="109"/>
        <v>17</v>
      </c>
      <c r="H612" s="226" t="s">
        <v>16</v>
      </c>
      <c r="I612" s="227">
        <v>32336</v>
      </c>
      <c r="J612" s="226" t="s">
        <v>122</v>
      </c>
      <c r="K612" s="226" t="s">
        <v>19</v>
      </c>
      <c r="L612" s="226">
        <f>L597-1</f>
        <v>0</v>
      </c>
      <c r="M612" s="228">
        <f t="shared" si="111"/>
        <v>32336</v>
      </c>
      <c r="N612" s="229">
        <v>1</v>
      </c>
      <c r="O612" s="229"/>
    </row>
    <row r="613" spans="1:15" x14ac:dyDescent="0.2">
      <c r="A613" s="226">
        <v>612</v>
      </c>
      <c r="B613" s="226" t="str">
        <f t="shared" si="110"/>
        <v>MAIN RESERVETANK SIZE 106LFM-2001-18</v>
      </c>
      <c r="C613" s="226">
        <f t="shared" si="108"/>
        <v>1</v>
      </c>
      <c r="D613" s="226" t="s">
        <v>117</v>
      </c>
      <c r="E613" s="226" t="s">
        <v>69</v>
      </c>
      <c r="F613" s="226" t="s">
        <v>15</v>
      </c>
      <c r="G613" s="226">
        <f t="shared" si="109"/>
        <v>18</v>
      </c>
      <c r="H613" s="226" t="s">
        <v>16</v>
      </c>
      <c r="I613" s="227">
        <v>31811</v>
      </c>
      <c r="J613" s="226" t="s">
        <v>123</v>
      </c>
      <c r="K613" s="226" t="s">
        <v>19</v>
      </c>
      <c r="L613" s="226">
        <f>IF(L597&gt;1,L597-1,0)</f>
        <v>0</v>
      </c>
      <c r="M613" s="228">
        <f t="shared" si="111"/>
        <v>31811</v>
      </c>
      <c r="N613" s="229">
        <v>1</v>
      </c>
      <c r="O613" s="229"/>
    </row>
    <row r="614" spans="1:15" x14ac:dyDescent="0.2">
      <c r="A614" s="226">
        <v>613</v>
      </c>
      <c r="B614" s="226" t="str">
        <f t="shared" si="110"/>
        <v>MAIN RESERVETANK SIZE 106LFM-2001-19</v>
      </c>
      <c r="C614" s="226">
        <f t="shared" si="108"/>
        <v>1</v>
      </c>
      <c r="D614" s="226" t="s">
        <v>117</v>
      </c>
      <c r="E614" s="226" t="s">
        <v>69</v>
      </c>
      <c r="F614" s="226" t="s">
        <v>15</v>
      </c>
      <c r="G614" s="226">
        <f t="shared" si="109"/>
        <v>19</v>
      </c>
      <c r="N614" s="229">
        <v>1</v>
      </c>
      <c r="O614" s="229"/>
    </row>
    <row r="615" spans="1:15" x14ac:dyDescent="0.2">
      <c r="A615" s="226">
        <v>614</v>
      </c>
      <c r="B615" s="226" t="str">
        <f>D615&amp;E615&amp;F615&amp;C615&amp;"-"&amp;G615&amp;IF(M615&lt;&gt;"",O615,"")</f>
        <v>MAIN RESERVETANK SIZE 106LFM-2001-20</v>
      </c>
      <c r="C615" s="226">
        <f t="shared" si="108"/>
        <v>1</v>
      </c>
      <c r="D615" s="226" t="s">
        <v>117</v>
      </c>
      <c r="E615" s="226" t="s">
        <v>69</v>
      </c>
      <c r="F615" s="226" t="s">
        <v>15</v>
      </c>
      <c r="G615" s="226">
        <f t="shared" si="109"/>
        <v>20</v>
      </c>
      <c r="H615" s="226" t="s">
        <v>16</v>
      </c>
      <c r="I615" s="227">
        <v>570277</v>
      </c>
      <c r="J615" s="226" t="s">
        <v>74</v>
      </c>
      <c r="K615" s="226" t="s">
        <v>19</v>
      </c>
      <c r="L615" s="226">
        <f>L597</f>
        <v>1</v>
      </c>
      <c r="M615" s="228">
        <f>I615</f>
        <v>570277</v>
      </c>
      <c r="N615" s="229">
        <v>1</v>
      </c>
      <c r="O615" s="229"/>
    </row>
    <row r="616" spans="1:15" x14ac:dyDescent="0.2">
      <c r="A616" s="226">
        <v>615</v>
      </c>
      <c r="B616" s="226" t="str">
        <f t="shared" ref="B616:B705" si="112">D616&amp;E616&amp;F616&amp;C616&amp;"-"&amp;G616&amp;IF(M616&lt;&gt;"",O616,"")</f>
        <v>-</v>
      </c>
      <c r="M616" s="228">
        <f t="shared" si="98"/>
        <v>0</v>
      </c>
      <c r="N616" s="229">
        <v>1</v>
      </c>
      <c r="O616" s="229"/>
    </row>
    <row r="617" spans="1:15" x14ac:dyDescent="0.2">
      <c r="A617" s="226">
        <v>616</v>
      </c>
      <c r="B617" s="226" t="str">
        <f t="shared" si="112"/>
        <v>MAIN RESERVETANK SIZE 147LFM-2001-1</v>
      </c>
      <c r="C617" s="226">
        <f>L617</f>
        <v>1</v>
      </c>
      <c r="D617" s="226" t="s">
        <v>117</v>
      </c>
      <c r="E617" s="226" t="s">
        <v>75</v>
      </c>
      <c r="F617" s="226" t="s">
        <v>15</v>
      </c>
      <c r="G617" s="226">
        <v>1</v>
      </c>
      <c r="H617" s="226" t="s">
        <v>16</v>
      </c>
      <c r="I617" s="227" t="s">
        <v>17</v>
      </c>
      <c r="J617" s="226" t="s">
        <v>76</v>
      </c>
      <c r="K617" s="226" t="s">
        <v>19</v>
      </c>
      <c r="L617" s="226">
        <f>'COT AGENTES'!$H$3</f>
        <v>1</v>
      </c>
      <c r="M617" s="228" t="s">
        <v>77</v>
      </c>
      <c r="N617" s="229">
        <v>1</v>
      </c>
      <c r="O617" s="229"/>
    </row>
    <row r="618" spans="1:15" x14ac:dyDescent="0.2">
      <c r="A618" s="226">
        <v>617</v>
      </c>
      <c r="B618" s="226" t="str">
        <f t="shared" si="112"/>
        <v>MAIN RESERVETANK SIZE 147LFM-2001-2</v>
      </c>
      <c r="C618" s="226">
        <f>C617</f>
        <v>1</v>
      </c>
      <c r="D618" s="226" t="s">
        <v>117</v>
      </c>
      <c r="E618" s="226" t="s">
        <v>75</v>
      </c>
      <c r="F618" s="226" t="s">
        <v>15</v>
      </c>
      <c r="G618" s="226">
        <f>+G617+1</f>
        <v>2</v>
      </c>
      <c r="H618" s="226" t="s">
        <v>16</v>
      </c>
      <c r="I618" s="227">
        <v>445737</v>
      </c>
      <c r="J618" s="226" t="s">
        <v>78</v>
      </c>
      <c r="K618" s="226" t="s">
        <v>19</v>
      </c>
      <c r="L618" s="226">
        <f>'COT AGENTES'!$H$3</f>
        <v>1</v>
      </c>
      <c r="M618" s="228">
        <f t="shared" ref="M618:M706" si="113">I618</f>
        <v>445737</v>
      </c>
      <c r="N618" s="229">
        <v>1</v>
      </c>
      <c r="O618" s="229"/>
    </row>
    <row r="619" spans="1:15" x14ac:dyDescent="0.2">
      <c r="A619" s="226">
        <v>618</v>
      </c>
      <c r="B619" s="226" t="str">
        <f t="shared" si="112"/>
        <v>MAIN RESERVETANK SIZE 147LFM-2001-3</v>
      </c>
      <c r="C619" s="226">
        <f t="shared" ref="C619:C636" si="114">C618</f>
        <v>1</v>
      </c>
      <c r="D619" s="226" t="s">
        <v>117</v>
      </c>
      <c r="E619" s="226" t="s">
        <v>75</v>
      </c>
      <c r="F619" s="226" t="s">
        <v>15</v>
      </c>
      <c r="G619" s="226">
        <f t="shared" ref="G619:G636" si="115">+G618+1</f>
        <v>3</v>
      </c>
      <c r="H619" s="226" t="s">
        <v>16</v>
      </c>
      <c r="I619" s="227" t="s">
        <v>22</v>
      </c>
      <c r="J619" s="226" t="s">
        <v>23</v>
      </c>
      <c r="K619" s="226" t="s">
        <v>19</v>
      </c>
      <c r="L619" s="230">
        <f>'COT AGENTES'!$H$5</f>
        <v>2</v>
      </c>
      <c r="M619" s="228">
        <v>453646</v>
      </c>
      <c r="N619" s="229">
        <v>1</v>
      </c>
      <c r="O619" s="229"/>
    </row>
    <row r="620" spans="1:15" x14ac:dyDescent="0.2">
      <c r="A620" s="226">
        <v>619</v>
      </c>
      <c r="B620" s="226" t="str">
        <f t="shared" si="112"/>
        <v>MAIN RESERVETANK SIZE 147LFM-2001-4</v>
      </c>
      <c r="C620" s="226">
        <f t="shared" si="114"/>
        <v>1</v>
      </c>
      <c r="D620" s="226" t="s">
        <v>117</v>
      </c>
      <c r="E620" s="226" t="s">
        <v>75</v>
      </c>
      <c r="F620" s="226" t="s">
        <v>15</v>
      </c>
      <c r="G620" s="226">
        <f t="shared" si="115"/>
        <v>4</v>
      </c>
      <c r="H620" s="226" t="s">
        <v>16</v>
      </c>
      <c r="I620" s="227">
        <v>570055</v>
      </c>
      <c r="J620" s="226" t="s">
        <v>24</v>
      </c>
      <c r="K620" s="226" t="s">
        <v>19</v>
      </c>
      <c r="L620" s="226">
        <f>L618</f>
        <v>1</v>
      </c>
      <c r="M620" s="228">
        <f t="shared" si="113"/>
        <v>570055</v>
      </c>
      <c r="N620" s="229">
        <v>1</v>
      </c>
      <c r="O620" s="229"/>
    </row>
    <row r="621" spans="1:15" x14ac:dyDescent="0.2">
      <c r="A621" s="226">
        <v>620</v>
      </c>
      <c r="B621" s="226" t="str">
        <f t="shared" si="112"/>
        <v>MAIN RESERVETANK SIZE 147LFM-2001-5</v>
      </c>
      <c r="C621" s="226">
        <f t="shared" si="114"/>
        <v>1</v>
      </c>
      <c r="D621" s="226" t="s">
        <v>117</v>
      </c>
      <c r="E621" s="226" t="s">
        <v>75</v>
      </c>
      <c r="F621" s="226" t="s">
        <v>15</v>
      </c>
      <c r="G621" s="226">
        <f t="shared" si="115"/>
        <v>5</v>
      </c>
      <c r="H621" s="226" t="s">
        <v>16</v>
      </c>
      <c r="I621" s="227">
        <v>314205314</v>
      </c>
      <c r="J621" s="226" t="s">
        <v>56</v>
      </c>
      <c r="K621" s="226" t="s">
        <v>19</v>
      </c>
      <c r="L621" s="226">
        <f>L618</f>
        <v>1</v>
      </c>
      <c r="M621" s="228">
        <f t="shared" si="113"/>
        <v>314205314</v>
      </c>
      <c r="N621" s="229">
        <v>1</v>
      </c>
      <c r="O621" s="229"/>
    </row>
    <row r="622" spans="1:15" x14ac:dyDescent="0.2">
      <c r="A622" s="226">
        <v>621</v>
      </c>
      <c r="B622" s="226" t="str">
        <f t="shared" si="112"/>
        <v>MAIN RESERVETANK SIZE 147LFM-2001-6</v>
      </c>
      <c r="C622" s="226">
        <f t="shared" si="114"/>
        <v>1</v>
      </c>
      <c r="D622" s="226" t="s">
        <v>117</v>
      </c>
      <c r="E622" s="226" t="s">
        <v>75</v>
      </c>
      <c r="F622" s="226" t="s">
        <v>15</v>
      </c>
      <c r="G622" s="226">
        <f t="shared" si="115"/>
        <v>6</v>
      </c>
      <c r="H622" s="226" t="s">
        <v>16</v>
      </c>
      <c r="I622" s="227">
        <v>570585</v>
      </c>
      <c r="J622" s="226" t="s">
        <v>26</v>
      </c>
      <c r="K622" s="226" t="s">
        <v>19</v>
      </c>
      <c r="L622" s="226">
        <f>L618</f>
        <v>1</v>
      </c>
      <c r="M622" s="228">
        <f t="shared" si="113"/>
        <v>570585</v>
      </c>
      <c r="N622" s="229">
        <v>1</v>
      </c>
      <c r="O622" s="229"/>
    </row>
    <row r="623" spans="1:15" x14ac:dyDescent="0.2">
      <c r="A623" s="226">
        <v>622</v>
      </c>
      <c r="B623" s="226" t="str">
        <f t="shared" si="112"/>
        <v>MAIN RESERVETANK SIZE 147LFM-2001-7</v>
      </c>
      <c r="C623" s="226">
        <f t="shared" si="114"/>
        <v>1</v>
      </c>
      <c r="D623" s="226" t="s">
        <v>117</v>
      </c>
      <c r="E623" s="226" t="s">
        <v>75</v>
      </c>
      <c r="F623" s="226" t="s">
        <v>15</v>
      </c>
      <c r="G623" s="226">
        <f t="shared" si="115"/>
        <v>7</v>
      </c>
      <c r="H623" s="226" t="s">
        <v>16</v>
      </c>
      <c r="I623" s="227">
        <v>304205030</v>
      </c>
      <c r="J623" s="226" t="s">
        <v>27</v>
      </c>
      <c r="K623" s="226" t="s">
        <v>19</v>
      </c>
      <c r="L623" s="226">
        <v>1</v>
      </c>
      <c r="M623" s="228">
        <f t="shared" si="113"/>
        <v>304205030</v>
      </c>
      <c r="N623" s="229">
        <v>1</v>
      </c>
      <c r="O623" s="229"/>
    </row>
    <row r="624" spans="1:15" x14ac:dyDescent="0.2">
      <c r="A624" s="226">
        <v>623</v>
      </c>
      <c r="B624" s="226" t="str">
        <f t="shared" si="112"/>
        <v>MAIN RESERVETANK SIZE 147LFM-2001-8</v>
      </c>
      <c r="C624" s="226">
        <f t="shared" si="114"/>
        <v>1</v>
      </c>
      <c r="D624" s="226" t="s">
        <v>117</v>
      </c>
      <c r="E624" s="226" t="s">
        <v>75</v>
      </c>
      <c r="F624" s="226" t="s">
        <v>15</v>
      </c>
      <c r="G624" s="226">
        <f t="shared" si="115"/>
        <v>8</v>
      </c>
      <c r="H624" s="226" t="s">
        <v>16</v>
      </c>
      <c r="I624" s="227" t="s">
        <v>28</v>
      </c>
      <c r="J624" s="226" t="s">
        <v>29</v>
      </c>
      <c r="K624" s="226" t="s">
        <v>19</v>
      </c>
      <c r="L624" s="226">
        <v>1</v>
      </c>
      <c r="M624" s="228" t="str">
        <f t="shared" si="113"/>
        <v>A1638150HY</v>
      </c>
      <c r="N624" s="229">
        <v>1</v>
      </c>
      <c r="O624" s="229"/>
    </row>
    <row r="625" spans="1:15" x14ac:dyDescent="0.2">
      <c r="A625" s="226">
        <v>624</v>
      </c>
      <c r="B625" s="226" t="str">
        <f t="shared" si="112"/>
        <v>MAIN RESERVETANK SIZE 147LFM-2001-9</v>
      </c>
      <c r="C625" s="226">
        <f t="shared" si="114"/>
        <v>1</v>
      </c>
      <c r="D625" s="226" t="s">
        <v>117</v>
      </c>
      <c r="E625" s="226" t="s">
        <v>75</v>
      </c>
      <c r="F625" s="226" t="s">
        <v>15</v>
      </c>
      <c r="G625" s="226">
        <f t="shared" si="115"/>
        <v>9</v>
      </c>
      <c r="H625" s="226" t="s">
        <v>16</v>
      </c>
      <c r="I625" s="227" t="s">
        <v>62</v>
      </c>
      <c r="J625" s="226" t="s">
        <v>63</v>
      </c>
      <c r="K625" s="226" t="s">
        <v>19</v>
      </c>
      <c r="L625" s="226">
        <f>L618*2</f>
        <v>2</v>
      </c>
      <c r="M625" s="228" t="str">
        <f t="shared" si="113"/>
        <v>570092-R2</v>
      </c>
      <c r="N625" s="229">
        <v>1</v>
      </c>
      <c r="O625" s="229"/>
    </row>
    <row r="626" spans="1:15" x14ac:dyDescent="0.2">
      <c r="A626" s="226">
        <v>625</v>
      </c>
      <c r="B626" s="226" t="str">
        <f t="shared" si="112"/>
        <v>MAIN RESERVETANK SIZE 147LFM-2001-10</v>
      </c>
      <c r="C626" s="226">
        <f t="shared" si="114"/>
        <v>1</v>
      </c>
      <c r="D626" s="226" t="s">
        <v>117</v>
      </c>
      <c r="E626" s="226" t="s">
        <v>75</v>
      </c>
      <c r="F626" s="226" t="s">
        <v>15</v>
      </c>
      <c r="G626" s="226">
        <f t="shared" si="115"/>
        <v>10</v>
      </c>
      <c r="H626" s="226" t="s">
        <v>16</v>
      </c>
      <c r="I626" s="227">
        <v>76496</v>
      </c>
      <c r="J626" s="226" t="s">
        <v>118</v>
      </c>
      <c r="K626" s="226" t="s">
        <v>19</v>
      </c>
      <c r="L626" s="226">
        <v>1</v>
      </c>
      <c r="M626" s="228">
        <f t="shared" si="113"/>
        <v>76496</v>
      </c>
      <c r="N626" s="229">
        <v>1</v>
      </c>
      <c r="O626" s="229"/>
    </row>
    <row r="627" spans="1:15" x14ac:dyDescent="0.2">
      <c r="A627" s="226">
        <v>626</v>
      </c>
      <c r="B627" s="226" t="str">
        <f t="shared" si="112"/>
        <v>MAIN RESERVETANK SIZE 147LFM-2001-11</v>
      </c>
      <c r="C627" s="226">
        <f t="shared" si="114"/>
        <v>1</v>
      </c>
      <c r="D627" s="226" t="s">
        <v>117</v>
      </c>
      <c r="E627" s="226" t="s">
        <v>75</v>
      </c>
      <c r="F627" s="226" t="s">
        <v>15</v>
      </c>
      <c r="G627" s="226">
        <f t="shared" si="115"/>
        <v>11</v>
      </c>
      <c r="H627" s="226" t="s">
        <v>16</v>
      </c>
      <c r="I627" s="227">
        <v>570568</v>
      </c>
      <c r="J627" s="226" t="s">
        <v>124</v>
      </c>
      <c r="K627" s="226" t="s">
        <v>19</v>
      </c>
      <c r="L627" s="226">
        <f>L618+L618</f>
        <v>2</v>
      </c>
      <c r="M627" s="228">
        <f t="shared" si="113"/>
        <v>570568</v>
      </c>
      <c r="N627" s="229">
        <v>1</v>
      </c>
      <c r="O627" s="229"/>
    </row>
    <row r="628" spans="1:15" x14ac:dyDescent="0.2">
      <c r="A628" s="226">
        <v>627</v>
      </c>
      <c r="B628" s="226" t="str">
        <f t="shared" si="112"/>
        <v>MAIN RESERVETANK SIZE 147LFM-2001-12</v>
      </c>
      <c r="C628" s="226">
        <f t="shared" si="114"/>
        <v>1</v>
      </c>
      <c r="D628" s="226" t="s">
        <v>117</v>
      </c>
      <c r="E628" s="226" t="s">
        <v>75</v>
      </c>
      <c r="F628" s="226" t="s">
        <v>15</v>
      </c>
      <c r="G628" s="226">
        <f t="shared" si="115"/>
        <v>12</v>
      </c>
      <c r="H628" s="226" t="s">
        <v>16</v>
      </c>
      <c r="I628" s="227" t="s">
        <v>67</v>
      </c>
      <c r="J628" s="226" t="s">
        <v>68</v>
      </c>
      <c r="K628" s="226" t="s">
        <v>19</v>
      </c>
      <c r="L628" s="226">
        <f>L618+L618</f>
        <v>2</v>
      </c>
      <c r="M628" s="228" t="str">
        <f t="shared" si="113"/>
        <v>570538-R2</v>
      </c>
      <c r="N628" s="229">
        <v>1</v>
      </c>
      <c r="O628" s="229"/>
    </row>
    <row r="629" spans="1:15" x14ac:dyDescent="0.2">
      <c r="A629" s="226">
        <v>628</v>
      </c>
      <c r="B629" s="226" t="str">
        <f t="shared" si="112"/>
        <v>MAIN RESERVETANK SIZE 147LFM-2001-13</v>
      </c>
      <c r="C629" s="226">
        <f t="shared" si="114"/>
        <v>1</v>
      </c>
      <c r="D629" s="226" t="s">
        <v>117</v>
      </c>
      <c r="E629" s="226" t="s">
        <v>75</v>
      </c>
      <c r="F629" s="226" t="s">
        <v>15</v>
      </c>
      <c r="G629" s="226">
        <f t="shared" si="115"/>
        <v>13</v>
      </c>
      <c r="N629" s="229">
        <v>1</v>
      </c>
      <c r="O629" s="229"/>
    </row>
    <row r="630" spans="1:15" x14ac:dyDescent="0.2">
      <c r="A630" s="226">
        <v>629</v>
      </c>
      <c r="B630" s="226" t="str">
        <f t="shared" si="112"/>
        <v>MAIN RESERVETANK SIZE 147LFM-2001-14</v>
      </c>
      <c r="C630" s="226">
        <f t="shared" si="114"/>
        <v>1</v>
      </c>
      <c r="D630" s="226" t="s">
        <v>117</v>
      </c>
      <c r="E630" s="226" t="s">
        <v>75</v>
      </c>
      <c r="F630" s="226" t="s">
        <v>15</v>
      </c>
      <c r="G630" s="226">
        <f t="shared" si="115"/>
        <v>14</v>
      </c>
      <c r="H630" s="226" t="s">
        <v>16</v>
      </c>
      <c r="I630" s="227">
        <v>570550</v>
      </c>
      <c r="J630" s="226" t="s">
        <v>120</v>
      </c>
      <c r="K630" s="226" t="s">
        <v>19</v>
      </c>
      <c r="L630" s="226">
        <f>L618-1</f>
        <v>0</v>
      </c>
      <c r="M630" s="228">
        <f t="shared" ref="M630:M634" si="116">I630</f>
        <v>570550</v>
      </c>
      <c r="N630" s="229">
        <v>1</v>
      </c>
      <c r="O630" s="229"/>
    </row>
    <row r="631" spans="1:15" x14ac:dyDescent="0.2">
      <c r="A631" s="226">
        <v>630</v>
      </c>
      <c r="B631" s="226" t="str">
        <f t="shared" si="112"/>
        <v>MAIN RESERVETANK SIZE 147LFM-2001-15</v>
      </c>
      <c r="C631" s="226">
        <f t="shared" si="114"/>
        <v>1</v>
      </c>
      <c r="D631" s="226" t="s">
        <v>117</v>
      </c>
      <c r="E631" s="226" t="s">
        <v>75</v>
      </c>
      <c r="F631" s="226" t="s">
        <v>15</v>
      </c>
      <c r="G631" s="226">
        <f t="shared" si="115"/>
        <v>15</v>
      </c>
      <c r="H631" s="226" t="s">
        <v>16</v>
      </c>
      <c r="I631" s="227">
        <v>32338</v>
      </c>
      <c r="J631" s="226" t="s">
        <v>42</v>
      </c>
      <c r="K631" s="226" t="s">
        <v>19</v>
      </c>
      <c r="L631" s="226">
        <f>IF(L618&gt;1,1,0)</f>
        <v>0</v>
      </c>
      <c r="M631" s="228">
        <f t="shared" si="116"/>
        <v>32338</v>
      </c>
      <c r="N631" s="229">
        <v>1</v>
      </c>
      <c r="O631" s="229"/>
    </row>
    <row r="632" spans="1:15" x14ac:dyDescent="0.2">
      <c r="A632" s="226">
        <v>631</v>
      </c>
      <c r="B632" s="226" t="str">
        <f t="shared" si="112"/>
        <v>MAIN RESERVETANK SIZE 147LFM-2001-16</v>
      </c>
      <c r="C632" s="226">
        <f t="shared" si="114"/>
        <v>1</v>
      </c>
      <c r="D632" s="226" t="s">
        <v>117</v>
      </c>
      <c r="E632" s="226" t="s">
        <v>75</v>
      </c>
      <c r="F632" s="226" t="s">
        <v>15</v>
      </c>
      <c r="G632" s="226">
        <f t="shared" si="115"/>
        <v>16</v>
      </c>
      <c r="H632" s="226" t="s">
        <v>16</v>
      </c>
      <c r="I632" s="227">
        <v>31810</v>
      </c>
      <c r="J632" s="226" t="s">
        <v>121</v>
      </c>
      <c r="K632" s="226" t="s">
        <v>19</v>
      </c>
      <c r="L632" s="226">
        <f>IF(L618&gt;1,1,0)</f>
        <v>0</v>
      </c>
      <c r="M632" s="228">
        <f t="shared" si="116"/>
        <v>31810</v>
      </c>
      <c r="N632" s="229">
        <v>1</v>
      </c>
      <c r="O632" s="229"/>
    </row>
    <row r="633" spans="1:15" x14ac:dyDescent="0.2">
      <c r="A633" s="226">
        <v>632</v>
      </c>
      <c r="B633" s="226" t="str">
        <f t="shared" si="112"/>
        <v>MAIN RESERVETANK SIZE 147LFM-2001-17</v>
      </c>
      <c r="C633" s="226">
        <f t="shared" si="114"/>
        <v>1</v>
      </c>
      <c r="D633" s="226" t="s">
        <v>117</v>
      </c>
      <c r="E633" s="226" t="s">
        <v>75</v>
      </c>
      <c r="F633" s="226" t="s">
        <v>15</v>
      </c>
      <c r="G633" s="226">
        <f t="shared" si="115"/>
        <v>17</v>
      </c>
      <c r="H633" s="226" t="s">
        <v>16</v>
      </c>
      <c r="I633" s="227">
        <v>32336</v>
      </c>
      <c r="J633" s="226" t="s">
        <v>122</v>
      </c>
      <c r="K633" s="226" t="s">
        <v>19</v>
      </c>
      <c r="L633" s="226">
        <f>L618-1</f>
        <v>0</v>
      </c>
      <c r="M633" s="228">
        <f t="shared" si="116"/>
        <v>32336</v>
      </c>
      <c r="N633" s="229">
        <v>1</v>
      </c>
      <c r="O633" s="229"/>
    </row>
    <row r="634" spans="1:15" x14ac:dyDescent="0.2">
      <c r="A634" s="226">
        <v>633</v>
      </c>
      <c r="B634" s="226" t="str">
        <f t="shared" si="112"/>
        <v>MAIN RESERVETANK SIZE 147LFM-2001-18</v>
      </c>
      <c r="C634" s="226">
        <f t="shared" si="114"/>
        <v>1</v>
      </c>
      <c r="D634" s="226" t="s">
        <v>117</v>
      </c>
      <c r="E634" s="226" t="s">
        <v>75</v>
      </c>
      <c r="F634" s="226" t="s">
        <v>15</v>
      </c>
      <c r="G634" s="226">
        <f t="shared" si="115"/>
        <v>18</v>
      </c>
      <c r="H634" s="226" t="s">
        <v>16</v>
      </c>
      <c r="I634" s="227">
        <v>31811</v>
      </c>
      <c r="J634" s="226" t="s">
        <v>123</v>
      </c>
      <c r="K634" s="226" t="s">
        <v>19</v>
      </c>
      <c r="L634" s="226">
        <f>IF(L618&gt;1,L618-1,0)</f>
        <v>0</v>
      </c>
      <c r="M634" s="228">
        <f t="shared" si="116"/>
        <v>31811</v>
      </c>
      <c r="N634" s="229">
        <v>1</v>
      </c>
      <c r="O634" s="229"/>
    </row>
    <row r="635" spans="1:15" x14ac:dyDescent="0.2">
      <c r="A635" s="226">
        <v>634</v>
      </c>
      <c r="B635" s="226" t="str">
        <f t="shared" si="112"/>
        <v>MAIN RESERVETANK SIZE 147LFM-2001-19</v>
      </c>
      <c r="C635" s="226">
        <f t="shared" si="114"/>
        <v>1</v>
      </c>
      <c r="D635" s="226" t="s">
        <v>117</v>
      </c>
      <c r="E635" s="226" t="s">
        <v>75</v>
      </c>
      <c r="F635" s="226" t="s">
        <v>15</v>
      </c>
      <c r="G635" s="226">
        <f t="shared" si="115"/>
        <v>19</v>
      </c>
      <c r="N635" s="229">
        <v>1</v>
      </c>
      <c r="O635" s="229"/>
    </row>
    <row r="636" spans="1:15" x14ac:dyDescent="0.2">
      <c r="A636" s="226">
        <v>635</v>
      </c>
      <c r="B636" s="226" t="str">
        <f t="shared" si="112"/>
        <v>MAIN RESERVETANK SIZE 147LFM-2001-20</v>
      </c>
      <c r="C636" s="226">
        <f t="shared" si="114"/>
        <v>1</v>
      </c>
      <c r="D636" s="226" t="s">
        <v>117</v>
      </c>
      <c r="E636" s="226" t="s">
        <v>75</v>
      </c>
      <c r="F636" s="226" t="s">
        <v>15</v>
      </c>
      <c r="G636" s="226">
        <f t="shared" si="115"/>
        <v>20</v>
      </c>
      <c r="H636" s="226" t="s">
        <v>16</v>
      </c>
      <c r="I636" s="227">
        <v>570278</v>
      </c>
      <c r="J636" s="226" t="s">
        <v>80</v>
      </c>
      <c r="K636" s="226" t="s">
        <v>19</v>
      </c>
      <c r="L636" s="226">
        <f>L618</f>
        <v>1</v>
      </c>
      <c r="M636" s="228">
        <f t="shared" si="113"/>
        <v>570278</v>
      </c>
      <c r="N636" s="229">
        <v>1</v>
      </c>
      <c r="O636" s="229"/>
    </row>
    <row r="637" spans="1:15" x14ac:dyDescent="0.2">
      <c r="A637" s="226">
        <v>636</v>
      </c>
      <c r="B637" s="226" t="str">
        <f t="shared" si="112"/>
        <v>-</v>
      </c>
      <c r="M637" s="228">
        <f t="shared" si="113"/>
        <v>0</v>
      </c>
      <c r="N637" s="229">
        <v>1</v>
      </c>
      <c r="O637" s="229"/>
    </row>
    <row r="638" spans="1:15" x14ac:dyDescent="0.2">
      <c r="A638" s="226">
        <v>637</v>
      </c>
      <c r="B638" s="226" t="str">
        <f t="shared" si="112"/>
        <v>MAIN RESERVETANK SIZE 180LFM-2001-1</v>
      </c>
      <c r="C638" s="226">
        <f>L638</f>
        <v>1</v>
      </c>
      <c r="D638" s="226" t="s">
        <v>117</v>
      </c>
      <c r="E638" s="226" t="s">
        <v>81</v>
      </c>
      <c r="F638" s="226" t="s">
        <v>15</v>
      </c>
      <c r="G638" s="226">
        <v>1</v>
      </c>
      <c r="H638" s="226" t="s">
        <v>16</v>
      </c>
      <c r="I638" s="227" t="s">
        <v>17</v>
      </c>
      <c r="J638" s="226" t="s">
        <v>82</v>
      </c>
      <c r="K638" s="226" t="s">
        <v>19</v>
      </c>
      <c r="L638" s="226">
        <f>'COT AGENTES'!$H$3</f>
        <v>1</v>
      </c>
      <c r="M638" s="228" t="s">
        <v>83</v>
      </c>
      <c r="N638" s="229">
        <v>1</v>
      </c>
      <c r="O638" s="229"/>
    </row>
    <row r="639" spans="1:15" x14ac:dyDescent="0.2">
      <c r="A639" s="226">
        <v>638</v>
      </c>
      <c r="B639" s="226" t="str">
        <f t="shared" si="112"/>
        <v>MAIN RESERVETANK SIZE 180LFM-2001-2</v>
      </c>
      <c r="C639" s="226">
        <f>C638</f>
        <v>1</v>
      </c>
      <c r="D639" s="226" t="s">
        <v>117</v>
      </c>
      <c r="E639" s="226" t="s">
        <v>81</v>
      </c>
      <c r="F639" s="226" t="s">
        <v>15</v>
      </c>
      <c r="G639" s="226">
        <f>+G638+1</f>
        <v>2</v>
      </c>
      <c r="H639" s="226" t="s">
        <v>16</v>
      </c>
      <c r="I639" s="227">
        <v>445738</v>
      </c>
      <c r="J639" s="226" t="s">
        <v>84</v>
      </c>
      <c r="K639" s="226" t="s">
        <v>19</v>
      </c>
      <c r="L639" s="226">
        <f>'COT AGENTES'!$H$3</f>
        <v>1</v>
      </c>
      <c r="M639" s="228">
        <f t="shared" si="113"/>
        <v>445738</v>
      </c>
      <c r="N639" s="229">
        <v>1</v>
      </c>
      <c r="O639" s="229"/>
    </row>
    <row r="640" spans="1:15" x14ac:dyDescent="0.2">
      <c r="A640" s="226">
        <v>639</v>
      </c>
      <c r="B640" s="226" t="str">
        <f t="shared" si="112"/>
        <v>MAIN RESERVETANK SIZE 180LFM-2001-3</v>
      </c>
      <c r="C640" s="226">
        <f t="shared" ref="C640:C657" si="117">C639</f>
        <v>1</v>
      </c>
      <c r="D640" s="226" t="s">
        <v>117</v>
      </c>
      <c r="E640" s="226" t="s">
        <v>81</v>
      </c>
      <c r="F640" s="226" t="s">
        <v>15</v>
      </c>
      <c r="G640" s="226">
        <f t="shared" ref="G640:G657" si="118">+G639+1</f>
        <v>3</v>
      </c>
      <c r="H640" s="226" t="s">
        <v>16</v>
      </c>
      <c r="I640" s="227" t="s">
        <v>22</v>
      </c>
      <c r="J640" s="226" t="s">
        <v>23</v>
      </c>
      <c r="K640" s="226" t="s">
        <v>19</v>
      </c>
      <c r="L640" s="230">
        <f>'COT AGENTES'!$H$5</f>
        <v>2</v>
      </c>
      <c r="M640" s="228">
        <v>453646</v>
      </c>
      <c r="N640" s="229">
        <v>1</v>
      </c>
      <c r="O640" s="229"/>
    </row>
    <row r="641" spans="1:15" x14ac:dyDescent="0.2">
      <c r="A641" s="226">
        <v>640</v>
      </c>
      <c r="B641" s="226" t="str">
        <f t="shared" si="112"/>
        <v>MAIN RESERVETANK SIZE 180LFM-2001-4</v>
      </c>
      <c r="C641" s="226">
        <f t="shared" si="117"/>
        <v>1</v>
      </c>
      <c r="D641" s="226" t="s">
        <v>117</v>
      </c>
      <c r="E641" s="226" t="s">
        <v>81</v>
      </c>
      <c r="F641" s="226" t="s">
        <v>15</v>
      </c>
      <c r="G641" s="226">
        <f t="shared" si="118"/>
        <v>4</v>
      </c>
      <c r="H641" s="226" t="s">
        <v>16</v>
      </c>
      <c r="I641" s="227">
        <v>570055</v>
      </c>
      <c r="J641" s="226" t="s">
        <v>24</v>
      </c>
      <c r="K641" s="226" t="s">
        <v>19</v>
      </c>
      <c r="L641" s="226">
        <f>L639</f>
        <v>1</v>
      </c>
      <c r="M641" s="228">
        <f t="shared" si="113"/>
        <v>570055</v>
      </c>
      <c r="N641" s="229">
        <v>1</v>
      </c>
      <c r="O641" s="229"/>
    </row>
    <row r="642" spans="1:15" x14ac:dyDescent="0.2">
      <c r="A642" s="226">
        <v>641</v>
      </c>
      <c r="B642" s="226" t="str">
        <f t="shared" si="112"/>
        <v>MAIN RESERVETANK SIZE 180LFM-2001-5</v>
      </c>
      <c r="C642" s="226">
        <f t="shared" si="117"/>
        <v>1</v>
      </c>
      <c r="D642" s="226" t="s">
        <v>117</v>
      </c>
      <c r="E642" s="226" t="s">
        <v>81</v>
      </c>
      <c r="F642" s="226" t="s">
        <v>15</v>
      </c>
      <c r="G642" s="226">
        <f t="shared" si="118"/>
        <v>5</v>
      </c>
      <c r="H642" s="226" t="s">
        <v>16</v>
      </c>
      <c r="I642" s="227">
        <v>314205314</v>
      </c>
      <c r="J642" s="226" t="s">
        <v>56</v>
      </c>
      <c r="K642" s="226" t="s">
        <v>19</v>
      </c>
      <c r="L642" s="226">
        <f>L639</f>
        <v>1</v>
      </c>
      <c r="M642" s="228">
        <f t="shared" si="113"/>
        <v>314205314</v>
      </c>
      <c r="N642" s="229">
        <v>1</v>
      </c>
      <c r="O642" s="229"/>
    </row>
    <row r="643" spans="1:15" x14ac:dyDescent="0.2">
      <c r="A643" s="226">
        <v>642</v>
      </c>
      <c r="B643" s="226" t="str">
        <f t="shared" si="112"/>
        <v>MAIN RESERVETANK SIZE 180LFM-2001-6</v>
      </c>
      <c r="C643" s="226">
        <f t="shared" si="117"/>
        <v>1</v>
      </c>
      <c r="D643" s="226" t="s">
        <v>117</v>
      </c>
      <c r="E643" s="226" t="s">
        <v>81</v>
      </c>
      <c r="F643" s="226" t="s">
        <v>15</v>
      </c>
      <c r="G643" s="226">
        <f t="shared" si="118"/>
        <v>6</v>
      </c>
      <c r="H643" s="226" t="s">
        <v>16</v>
      </c>
      <c r="I643" s="227">
        <v>570585</v>
      </c>
      <c r="J643" s="226" t="s">
        <v>26</v>
      </c>
      <c r="K643" s="226" t="s">
        <v>19</v>
      </c>
      <c r="L643" s="226">
        <f>L639</f>
        <v>1</v>
      </c>
      <c r="M643" s="228">
        <f t="shared" si="113"/>
        <v>570585</v>
      </c>
      <c r="N643" s="229">
        <v>1</v>
      </c>
      <c r="O643" s="229"/>
    </row>
    <row r="644" spans="1:15" x14ac:dyDescent="0.2">
      <c r="A644" s="226">
        <v>643</v>
      </c>
      <c r="B644" s="226" t="str">
        <f t="shared" si="112"/>
        <v>MAIN RESERVETANK SIZE 180LFM-2001-7</v>
      </c>
      <c r="C644" s="226">
        <f t="shared" si="117"/>
        <v>1</v>
      </c>
      <c r="D644" s="226" t="s">
        <v>117</v>
      </c>
      <c r="E644" s="226" t="s">
        <v>81</v>
      </c>
      <c r="F644" s="226" t="s">
        <v>15</v>
      </c>
      <c r="G644" s="226">
        <f t="shared" si="118"/>
        <v>7</v>
      </c>
      <c r="H644" s="226" t="s">
        <v>16</v>
      </c>
      <c r="I644" s="227">
        <v>304205030</v>
      </c>
      <c r="J644" s="226" t="s">
        <v>27</v>
      </c>
      <c r="K644" s="226" t="s">
        <v>19</v>
      </c>
      <c r="L644" s="226">
        <v>1</v>
      </c>
      <c r="M644" s="228">
        <f t="shared" si="113"/>
        <v>304205030</v>
      </c>
      <c r="N644" s="229">
        <v>1</v>
      </c>
      <c r="O644" s="229"/>
    </row>
    <row r="645" spans="1:15" x14ac:dyDescent="0.2">
      <c r="A645" s="226">
        <v>644</v>
      </c>
      <c r="B645" s="226" t="str">
        <f t="shared" si="112"/>
        <v>MAIN RESERVETANK SIZE 180LFM-2001-8</v>
      </c>
      <c r="C645" s="226">
        <f t="shared" si="117"/>
        <v>1</v>
      </c>
      <c r="D645" s="226" t="s">
        <v>117</v>
      </c>
      <c r="E645" s="226" t="s">
        <v>81</v>
      </c>
      <c r="F645" s="226" t="s">
        <v>15</v>
      </c>
      <c r="G645" s="226">
        <f t="shared" si="118"/>
        <v>8</v>
      </c>
      <c r="H645" s="226" t="s">
        <v>16</v>
      </c>
      <c r="I645" s="227" t="s">
        <v>28</v>
      </c>
      <c r="J645" s="226" t="s">
        <v>29</v>
      </c>
      <c r="K645" s="226" t="s">
        <v>19</v>
      </c>
      <c r="L645" s="226">
        <v>1</v>
      </c>
      <c r="M645" s="228" t="str">
        <f t="shared" si="113"/>
        <v>A1638150HY</v>
      </c>
      <c r="N645" s="229">
        <v>1</v>
      </c>
      <c r="O645" s="229"/>
    </row>
    <row r="646" spans="1:15" x14ac:dyDescent="0.2">
      <c r="A646" s="226">
        <v>645</v>
      </c>
      <c r="B646" s="226" t="str">
        <f t="shared" si="112"/>
        <v>MAIN RESERVETANK SIZE 180LFM-2001-9</v>
      </c>
      <c r="C646" s="226">
        <f t="shared" si="117"/>
        <v>1</v>
      </c>
      <c r="D646" s="226" t="s">
        <v>117</v>
      </c>
      <c r="E646" s="226" t="s">
        <v>81</v>
      </c>
      <c r="F646" s="226" t="s">
        <v>15</v>
      </c>
      <c r="G646" s="226">
        <f t="shared" si="118"/>
        <v>9</v>
      </c>
      <c r="H646" s="226" t="s">
        <v>16</v>
      </c>
      <c r="I646" s="227" t="s">
        <v>62</v>
      </c>
      <c r="J646" s="226" t="s">
        <v>63</v>
      </c>
      <c r="K646" s="226" t="s">
        <v>19</v>
      </c>
      <c r="L646" s="226">
        <f>L639*2</f>
        <v>2</v>
      </c>
      <c r="M646" s="228" t="str">
        <f t="shared" si="113"/>
        <v>570092-R2</v>
      </c>
      <c r="N646" s="229">
        <v>1</v>
      </c>
      <c r="O646" s="229"/>
    </row>
    <row r="647" spans="1:15" x14ac:dyDescent="0.2">
      <c r="A647" s="226">
        <v>646</v>
      </c>
      <c r="B647" s="226" t="str">
        <f t="shared" si="112"/>
        <v>MAIN RESERVETANK SIZE 180LFM-2001-10</v>
      </c>
      <c r="C647" s="226">
        <f t="shared" si="117"/>
        <v>1</v>
      </c>
      <c r="D647" s="226" t="s">
        <v>117</v>
      </c>
      <c r="E647" s="226" t="s">
        <v>81</v>
      </c>
      <c r="F647" s="226" t="s">
        <v>15</v>
      </c>
      <c r="G647" s="226">
        <f t="shared" si="118"/>
        <v>10</v>
      </c>
      <c r="H647" s="226" t="s">
        <v>16</v>
      </c>
      <c r="I647" s="227">
        <v>76496</v>
      </c>
      <c r="J647" s="226" t="s">
        <v>118</v>
      </c>
      <c r="K647" s="226" t="s">
        <v>19</v>
      </c>
      <c r="L647" s="226">
        <v>1</v>
      </c>
      <c r="M647" s="228">
        <f t="shared" si="113"/>
        <v>76496</v>
      </c>
      <c r="N647" s="229">
        <v>1</v>
      </c>
      <c r="O647" s="229"/>
    </row>
    <row r="648" spans="1:15" x14ac:dyDescent="0.2">
      <c r="A648" s="226">
        <v>647</v>
      </c>
      <c r="B648" s="226" t="str">
        <f t="shared" si="112"/>
        <v>MAIN RESERVETANK SIZE 180LFM-2001-11</v>
      </c>
      <c r="C648" s="226">
        <f t="shared" si="117"/>
        <v>1</v>
      </c>
      <c r="D648" s="226" t="s">
        <v>117</v>
      </c>
      <c r="E648" s="226" t="s">
        <v>81</v>
      </c>
      <c r="F648" s="226" t="s">
        <v>15</v>
      </c>
      <c r="G648" s="226">
        <f t="shared" si="118"/>
        <v>11</v>
      </c>
      <c r="H648" s="226" t="s">
        <v>16</v>
      </c>
      <c r="I648" s="227">
        <v>570568</v>
      </c>
      <c r="J648" s="226" t="s">
        <v>124</v>
      </c>
      <c r="K648" s="226" t="s">
        <v>19</v>
      </c>
      <c r="L648" s="226">
        <f>L639+L639</f>
        <v>2</v>
      </c>
      <c r="M648" s="228">
        <f t="shared" si="113"/>
        <v>570568</v>
      </c>
      <c r="N648" s="229">
        <v>1</v>
      </c>
      <c r="O648" s="229"/>
    </row>
    <row r="649" spans="1:15" x14ac:dyDescent="0.2">
      <c r="A649" s="226">
        <v>648</v>
      </c>
      <c r="B649" s="226" t="str">
        <f t="shared" si="112"/>
        <v>MAIN RESERVETANK SIZE 180LFM-2001-12</v>
      </c>
      <c r="C649" s="226">
        <f t="shared" si="117"/>
        <v>1</v>
      </c>
      <c r="D649" s="226" t="s">
        <v>117</v>
      </c>
      <c r="E649" s="226" t="s">
        <v>81</v>
      </c>
      <c r="F649" s="226" t="s">
        <v>15</v>
      </c>
      <c r="G649" s="226">
        <f t="shared" si="118"/>
        <v>12</v>
      </c>
      <c r="H649" s="226" t="s">
        <v>16</v>
      </c>
      <c r="I649" s="227" t="s">
        <v>67</v>
      </c>
      <c r="J649" s="226" t="s">
        <v>68</v>
      </c>
      <c r="K649" s="226" t="s">
        <v>19</v>
      </c>
      <c r="L649" s="226">
        <f>L639+L639</f>
        <v>2</v>
      </c>
      <c r="M649" s="228" t="str">
        <f t="shared" si="113"/>
        <v>570538-R2</v>
      </c>
      <c r="N649" s="229">
        <v>1</v>
      </c>
      <c r="O649" s="229"/>
    </row>
    <row r="650" spans="1:15" x14ac:dyDescent="0.2">
      <c r="A650" s="226">
        <v>649</v>
      </c>
      <c r="B650" s="226" t="str">
        <f t="shared" si="112"/>
        <v>MAIN RESERVETANK SIZE 180LFM-2001-13</v>
      </c>
      <c r="C650" s="226">
        <f t="shared" si="117"/>
        <v>1</v>
      </c>
      <c r="D650" s="226" t="s">
        <v>117</v>
      </c>
      <c r="E650" s="226" t="s">
        <v>81</v>
      </c>
      <c r="F650" s="226" t="s">
        <v>15</v>
      </c>
      <c r="G650" s="226">
        <f t="shared" si="118"/>
        <v>13</v>
      </c>
      <c r="N650" s="229">
        <v>1</v>
      </c>
      <c r="O650" s="229"/>
    </row>
    <row r="651" spans="1:15" x14ac:dyDescent="0.2">
      <c r="A651" s="226">
        <v>650</v>
      </c>
      <c r="B651" s="226" t="str">
        <f t="shared" si="112"/>
        <v>MAIN RESERVETANK SIZE 180LFM-2001-14</v>
      </c>
      <c r="C651" s="226">
        <f t="shared" si="117"/>
        <v>1</v>
      </c>
      <c r="D651" s="226" t="s">
        <v>117</v>
      </c>
      <c r="E651" s="226" t="s">
        <v>81</v>
      </c>
      <c r="F651" s="226" t="s">
        <v>15</v>
      </c>
      <c r="G651" s="226">
        <f t="shared" si="118"/>
        <v>14</v>
      </c>
      <c r="H651" s="226" t="s">
        <v>16</v>
      </c>
      <c r="I651" s="227">
        <v>570550</v>
      </c>
      <c r="J651" s="226" t="s">
        <v>120</v>
      </c>
      <c r="K651" s="226" t="s">
        <v>19</v>
      </c>
      <c r="L651" s="226">
        <f>L639-1</f>
        <v>0</v>
      </c>
      <c r="M651" s="228">
        <f t="shared" ref="M651:M655" si="119">I651</f>
        <v>570550</v>
      </c>
      <c r="N651" s="229">
        <v>1</v>
      </c>
      <c r="O651" s="229"/>
    </row>
    <row r="652" spans="1:15" x14ac:dyDescent="0.2">
      <c r="A652" s="226">
        <v>651</v>
      </c>
      <c r="B652" s="226" t="str">
        <f t="shared" si="112"/>
        <v>MAIN RESERVETANK SIZE 180LFM-2001-15</v>
      </c>
      <c r="C652" s="226">
        <f t="shared" si="117"/>
        <v>1</v>
      </c>
      <c r="D652" s="226" t="s">
        <v>117</v>
      </c>
      <c r="E652" s="226" t="s">
        <v>81</v>
      </c>
      <c r="F652" s="226" t="s">
        <v>15</v>
      </c>
      <c r="G652" s="226">
        <f t="shared" si="118"/>
        <v>15</v>
      </c>
      <c r="H652" s="226" t="s">
        <v>16</v>
      </c>
      <c r="I652" s="227">
        <v>32338</v>
      </c>
      <c r="J652" s="226" t="s">
        <v>42</v>
      </c>
      <c r="K652" s="226" t="s">
        <v>19</v>
      </c>
      <c r="L652" s="226">
        <f>IF(L639&gt;1,1,0)</f>
        <v>0</v>
      </c>
      <c r="M652" s="228">
        <f t="shared" si="119"/>
        <v>32338</v>
      </c>
      <c r="N652" s="229">
        <v>1</v>
      </c>
      <c r="O652" s="229"/>
    </row>
    <row r="653" spans="1:15" x14ac:dyDescent="0.2">
      <c r="A653" s="226">
        <v>652</v>
      </c>
      <c r="B653" s="226" t="str">
        <f t="shared" si="112"/>
        <v>MAIN RESERVETANK SIZE 180LFM-2001-16</v>
      </c>
      <c r="C653" s="226">
        <f t="shared" si="117"/>
        <v>1</v>
      </c>
      <c r="D653" s="226" t="s">
        <v>117</v>
      </c>
      <c r="E653" s="226" t="s">
        <v>81</v>
      </c>
      <c r="F653" s="226" t="s">
        <v>15</v>
      </c>
      <c r="G653" s="226">
        <f t="shared" si="118"/>
        <v>16</v>
      </c>
      <c r="H653" s="226" t="s">
        <v>16</v>
      </c>
      <c r="I653" s="227">
        <v>31810</v>
      </c>
      <c r="J653" s="226" t="s">
        <v>121</v>
      </c>
      <c r="K653" s="226" t="s">
        <v>19</v>
      </c>
      <c r="L653" s="226">
        <f>IF(L639&gt;1,1,0)</f>
        <v>0</v>
      </c>
      <c r="M653" s="228">
        <f t="shared" si="119"/>
        <v>31810</v>
      </c>
      <c r="N653" s="229">
        <v>1</v>
      </c>
      <c r="O653" s="229"/>
    </row>
    <row r="654" spans="1:15" x14ac:dyDescent="0.2">
      <c r="A654" s="226">
        <v>653</v>
      </c>
      <c r="B654" s="226" t="str">
        <f t="shared" si="112"/>
        <v>MAIN RESERVETANK SIZE 180LFM-2001-17</v>
      </c>
      <c r="C654" s="226">
        <f t="shared" si="117"/>
        <v>1</v>
      </c>
      <c r="D654" s="226" t="s">
        <v>117</v>
      </c>
      <c r="E654" s="226" t="s">
        <v>81</v>
      </c>
      <c r="F654" s="226" t="s">
        <v>15</v>
      </c>
      <c r="G654" s="226">
        <f t="shared" si="118"/>
        <v>17</v>
      </c>
      <c r="H654" s="226" t="s">
        <v>16</v>
      </c>
      <c r="I654" s="227">
        <v>32336</v>
      </c>
      <c r="J654" s="226" t="s">
        <v>122</v>
      </c>
      <c r="K654" s="226" t="s">
        <v>19</v>
      </c>
      <c r="L654" s="226">
        <f>L639-1</f>
        <v>0</v>
      </c>
      <c r="M654" s="228">
        <f t="shared" si="119"/>
        <v>32336</v>
      </c>
      <c r="N654" s="229">
        <v>1</v>
      </c>
      <c r="O654" s="229"/>
    </row>
    <row r="655" spans="1:15" x14ac:dyDescent="0.2">
      <c r="A655" s="226">
        <v>654</v>
      </c>
      <c r="B655" s="226" t="str">
        <f t="shared" si="112"/>
        <v>MAIN RESERVETANK SIZE 180LFM-2001-18</v>
      </c>
      <c r="C655" s="226">
        <f t="shared" si="117"/>
        <v>1</v>
      </c>
      <c r="D655" s="226" t="s">
        <v>117</v>
      </c>
      <c r="E655" s="226" t="s">
        <v>81</v>
      </c>
      <c r="F655" s="226" t="s">
        <v>15</v>
      </c>
      <c r="G655" s="226">
        <f t="shared" si="118"/>
        <v>18</v>
      </c>
      <c r="H655" s="226" t="s">
        <v>16</v>
      </c>
      <c r="I655" s="227">
        <v>31811</v>
      </c>
      <c r="J655" s="226" t="s">
        <v>123</v>
      </c>
      <c r="K655" s="226" t="s">
        <v>19</v>
      </c>
      <c r="L655" s="226">
        <f>IF(L639&gt;1,L639-1,0)</f>
        <v>0</v>
      </c>
      <c r="M655" s="228">
        <f t="shared" si="119"/>
        <v>31811</v>
      </c>
      <c r="N655" s="229">
        <v>1</v>
      </c>
      <c r="O655" s="229"/>
    </row>
    <row r="656" spans="1:15" x14ac:dyDescent="0.2">
      <c r="A656" s="226">
        <v>655</v>
      </c>
      <c r="B656" s="226" t="str">
        <f t="shared" si="112"/>
        <v>MAIN RESERVETANK SIZE 180LFM-2001-19</v>
      </c>
      <c r="C656" s="226">
        <f t="shared" si="117"/>
        <v>1</v>
      </c>
      <c r="D656" s="226" t="s">
        <v>117</v>
      </c>
      <c r="E656" s="226" t="s">
        <v>81</v>
      </c>
      <c r="F656" s="226" t="s">
        <v>15</v>
      </c>
      <c r="G656" s="226">
        <f t="shared" si="118"/>
        <v>19</v>
      </c>
      <c r="N656" s="229">
        <v>1</v>
      </c>
      <c r="O656" s="229"/>
    </row>
    <row r="657" spans="1:15" x14ac:dyDescent="0.2">
      <c r="A657" s="226">
        <v>656</v>
      </c>
      <c r="B657" s="226" t="str">
        <f t="shared" si="112"/>
        <v>MAIN RESERVETANK SIZE 180LFM-2001-20</v>
      </c>
      <c r="C657" s="226">
        <f t="shared" si="117"/>
        <v>1</v>
      </c>
      <c r="D657" s="226" t="s">
        <v>117</v>
      </c>
      <c r="E657" s="226" t="s">
        <v>81</v>
      </c>
      <c r="F657" s="226" t="s">
        <v>15</v>
      </c>
      <c r="G657" s="226">
        <f t="shared" si="118"/>
        <v>20</v>
      </c>
      <c r="H657" s="226" t="s">
        <v>16</v>
      </c>
      <c r="I657" s="227">
        <v>570278</v>
      </c>
      <c r="J657" s="226" t="s">
        <v>80</v>
      </c>
      <c r="K657" s="226" t="s">
        <v>19</v>
      </c>
      <c r="L657" s="226">
        <f>L639</f>
        <v>1</v>
      </c>
      <c r="M657" s="228">
        <f>I657</f>
        <v>570278</v>
      </c>
      <c r="N657" s="229">
        <v>1</v>
      </c>
      <c r="O657" s="229"/>
    </row>
    <row r="658" spans="1:15" x14ac:dyDescent="0.2">
      <c r="A658" s="226">
        <v>657</v>
      </c>
      <c r="B658" s="226" t="str">
        <f t="shared" si="112"/>
        <v>-</v>
      </c>
      <c r="M658" s="228">
        <f t="shared" si="113"/>
        <v>0</v>
      </c>
      <c r="N658" s="229">
        <v>1</v>
      </c>
      <c r="O658" s="229"/>
    </row>
    <row r="659" spans="1:15" x14ac:dyDescent="0.2">
      <c r="A659" s="226">
        <v>658</v>
      </c>
      <c r="B659" s="226" t="str">
        <f t="shared" si="112"/>
        <v>MAIN RESERVETANK SIZE 343LFM-2001-1</v>
      </c>
      <c r="C659" s="226">
        <f>L659</f>
        <v>1</v>
      </c>
      <c r="D659" s="226" t="s">
        <v>117</v>
      </c>
      <c r="E659" s="226" t="s">
        <v>86</v>
      </c>
      <c r="F659" s="226" t="s">
        <v>15</v>
      </c>
      <c r="G659" s="226">
        <v>1</v>
      </c>
      <c r="H659" s="226" t="s">
        <v>16</v>
      </c>
      <c r="I659" s="227" t="s">
        <v>17</v>
      </c>
      <c r="J659" s="226" t="s">
        <v>87</v>
      </c>
      <c r="K659" s="226" t="s">
        <v>19</v>
      </c>
      <c r="L659" s="226">
        <f>'COT AGENTES'!$H$3</f>
        <v>1</v>
      </c>
      <c r="M659" s="228" t="s">
        <v>88</v>
      </c>
      <c r="N659" s="229">
        <v>1</v>
      </c>
      <c r="O659" s="229"/>
    </row>
    <row r="660" spans="1:15" x14ac:dyDescent="0.2">
      <c r="A660" s="226">
        <v>659</v>
      </c>
      <c r="B660" s="226" t="str">
        <f t="shared" si="112"/>
        <v>MAIN RESERVETANK SIZE 343LFM-2001-2</v>
      </c>
      <c r="C660" s="226">
        <f>C659</f>
        <v>1</v>
      </c>
      <c r="D660" s="226" t="s">
        <v>117</v>
      </c>
      <c r="E660" s="226" t="s">
        <v>86</v>
      </c>
      <c r="F660" s="226" t="s">
        <v>15</v>
      </c>
      <c r="G660" s="226">
        <f>+G659+1</f>
        <v>2</v>
      </c>
      <c r="H660" s="226" t="s">
        <v>16</v>
      </c>
      <c r="I660" s="227">
        <v>445739</v>
      </c>
      <c r="J660" s="226" t="s">
        <v>89</v>
      </c>
      <c r="K660" s="226" t="s">
        <v>19</v>
      </c>
      <c r="L660" s="226">
        <f>'COT AGENTES'!$H$3</f>
        <v>1</v>
      </c>
      <c r="M660" s="228">
        <f t="shared" si="113"/>
        <v>445739</v>
      </c>
      <c r="N660" s="229">
        <v>1</v>
      </c>
      <c r="O660" s="229"/>
    </row>
    <row r="661" spans="1:15" x14ac:dyDescent="0.2">
      <c r="A661" s="226">
        <v>660</v>
      </c>
      <c r="B661" s="226" t="str">
        <f t="shared" si="112"/>
        <v>MAIN RESERVETANK SIZE 343LFM-2001-3</v>
      </c>
      <c r="C661" s="226">
        <f t="shared" ref="C661:C677" si="120">C660</f>
        <v>1</v>
      </c>
      <c r="D661" s="226" t="s">
        <v>117</v>
      </c>
      <c r="E661" s="226" t="s">
        <v>86</v>
      </c>
      <c r="F661" s="226" t="s">
        <v>15</v>
      </c>
      <c r="G661" s="226">
        <f t="shared" ref="G661:G677" si="121">+G660+1</f>
        <v>3</v>
      </c>
      <c r="H661" s="226" t="s">
        <v>16</v>
      </c>
      <c r="I661" s="227" t="s">
        <v>22</v>
      </c>
      <c r="J661" s="226" t="s">
        <v>23</v>
      </c>
      <c r="K661" s="226" t="s">
        <v>19</v>
      </c>
      <c r="L661" s="230">
        <f>'COT AGENTES'!$H$5</f>
        <v>2</v>
      </c>
      <c r="M661" s="228">
        <v>453646</v>
      </c>
      <c r="N661" s="229">
        <v>1</v>
      </c>
      <c r="O661" s="229"/>
    </row>
    <row r="662" spans="1:15" x14ac:dyDescent="0.2">
      <c r="A662" s="226">
        <v>661</v>
      </c>
      <c r="B662" s="226" t="str">
        <f t="shared" si="112"/>
        <v>MAIN RESERVETANK SIZE 343LFM-2001-4</v>
      </c>
      <c r="C662" s="226">
        <f t="shared" si="120"/>
        <v>1</v>
      </c>
      <c r="D662" s="226" t="s">
        <v>117</v>
      </c>
      <c r="E662" s="226" t="s">
        <v>86</v>
      </c>
      <c r="F662" s="226" t="s">
        <v>15</v>
      </c>
      <c r="G662" s="226">
        <f t="shared" si="121"/>
        <v>4</v>
      </c>
      <c r="H662" s="226" t="s">
        <v>16</v>
      </c>
      <c r="I662" s="227">
        <v>570055</v>
      </c>
      <c r="J662" s="226" t="s">
        <v>24</v>
      </c>
      <c r="K662" s="226" t="s">
        <v>19</v>
      </c>
      <c r="L662" s="226">
        <f>L660</f>
        <v>1</v>
      </c>
      <c r="M662" s="228">
        <f t="shared" si="113"/>
        <v>570055</v>
      </c>
      <c r="N662" s="229">
        <v>1</v>
      </c>
      <c r="O662" s="229"/>
    </row>
    <row r="663" spans="1:15" x14ac:dyDescent="0.2">
      <c r="A663" s="226">
        <v>662</v>
      </c>
      <c r="B663" s="226" t="str">
        <f t="shared" si="112"/>
        <v>MAIN RESERVETANK SIZE 343LFM-2001-5</v>
      </c>
      <c r="C663" s="226">
        <f t="shared" si="120"/>
        <v>1</v>
      </c>
      <c r="D663" s="226" t="s">
        <v>117</v>
      </c>
      <c r="E663" s="226" t="s">
        <v>86</v>
      </c>
      <c r="F663" s="226" t="s">
        <v>15</v>
      </c>
      <c r="G663" s="226">
        <f t="shared" si="121"/>
        <v>5</v>
      </c>
      <c r="H663" s="226" t="s">
        <v>16</v>
      </c>
      <c r="I663" s="227">
        <v>314205314</v>
      </c>
      <c r="J663" s="226" t="s">
        <v>56</v>
      </c>
      <c r="K663" s="226" t="s">
        <v>19</v>
      </c>
      <c r="L663" s="226">
        <f>L660</f>
        <v>1</v>
      </c>
      <c r="M663" s="228">
        <f t="shared" si="113"/>
        <v>314205314</v>
      </c>
      <c r="N663" s="229">
        <v>1</v>
      </c>
      <c r="O663" s="229"/>
    </row>
    <row r="664" spans="1:15" x14ac:dyDescent="0.2">
      <c r="A664" s="226">
        <v>663</v>
      </c>
      <c r="B664" s="226" t="str">
        <f t="shared" si="112"/>
        <v>MAIN RESERVETANK SIZE 343LFM-2001-6</v>
      </c>
      <c r="C664" s="226">
        <f t="shared" si="120"/>
        <v>1</v>
      </c>
      <c r="D664" s="226" t="s">
        <v>117</v>
      </c>
      <c r="E664" s="226" t="s">
        <v>86</v>
      </c>
      <c r="F664" s="226" t="s">
        <v>15</v>
      </c>
      <c r="G664" s="226">
        <f t="shared" si="121"/>
        <v>6</v>
      </c>
      <c r="H664" s="226" t="s">
        <v>16</v>
      </c>
      <c r="I664" s="227">
        <v>570585</v>
      </c>
      <c r="J664" s="226" t="s">
        <v>26</v>
      </c>
      <c r="K664" s="226" t="s">
        <v>19</v>
      </c>
      <c r="L664" s="226">
        <f>L660</f>
        <v>1</v>
      </c>
      <c r="M664" s="228">
        <f t="shared" si="113"/>
        <v>570585</v>
      </c>
      <c r="N664" s="229">
        <v>1</v>
      </c>
      <c r="O664" s="229"/>
    </row>
    <row r="665" spans="1:15" x14ac:dyDescent="0.2">
      <c r="A665" s="226">
        <v>664</v>
      </c>
      <c r="B665" s="226" t="str">
        <f t="shared" si="112"/>
        <v>MAIN RESERVETANK SIZE 343LFM-2001-7</v>
      </c>
      <c r="C665" s="226">
        <f t="shared" si="120"/>
        <v>1</v>
      </c>
      <c r="D665" s="226" t="s">
        <v>117</v>
      </c>
      <c r="E665" s="226" t="s">
        <v>86</v>
      </c>
      <c r="F665" s="226" t="s">
        <v>15</v>
      </c>
      <c r="G665" s="226">
        <f t="shared" si="121"/>
        <v>7</v>
      </c>
      <c r="H665" s="226" t="s">
        <v>16</v>
      </c>
      <c r="I665" s="227">
        <v>304205030</v>
      </c>
      <c r="J665" s="226" t="s">
        <v>27</v>
      </c>
      <c r="K665" s="226" t="s">
        <v>19</v>
      </c>
      <c r="L665" s="226">
        <v>1</v>
      </c>
      <c r="M665" s="228">
        <f t="shared" si="113"/>
        <v>304205030</v>
      </c>
      <c r="N665" s="229">
        <v>1</v>
      </c>
      <c r="O665" s="229"/>
    </row>
    <row r="666" spans="1:15" x14ac:dyDescent="0.2">
      <c r="A666" s="226">
        <v>665</v>
      </c>
      <c r="B666" s="226" t="str">
        <f t="shared" si="112"/>
        <v>MAIN RESERVETANK SIZE 343LFM-2001-8</v>
      </c>
      <c r="C666" s="226">
        <f t="shared" si="120"/>
        <v>1</v>
      </c>
      <c r="D666" s="226" t="s">
        <v>117</v>
      </c>
      <c r="E666" s="226" t="s">
        <v>86</v>
      </c>
      <c r="F666" s="226" t="s">
        <v>15</v>
      </c>
      <c r="G666" s="226">
        <f t="shared" si="121"/>
        <v>8</v>
      </c>
      <c r="H666" s="226" t="s">
        <v>16</v>
      </c>
      <c r="I666" s="227" t="s">
        <v>28</v>
      </c>
      <c r="J666" s="226" t="s">
        <v>29</v>
      </c>
      <c r="K666" s="226" t="s">
        <v>19</v>
      </c>
      <c r="L666" s="226">
        <v>1</v>
      </c>
      <c r="M666" s="228" t="str">
        <f t="shared" si="113"/>
        <v>A1638150HY</v>
      </c>
      <c r="N666" s="229">
        <v>1</v>
      </c>
      <c r="O666" s="229"/>
    </row>
    <row r="667" spans="1:15" x14ac:dyDescent="0.2">
      <c r="A667" s="226">
        <v>666</v>
      </c>
      <c r="B667" s="226" t="str">
        <f t="shared" si="112"/>
        <v>MAIN RESERVETANK SIZE 343LFM-2001-9</v>
      </c>
      <c r="C667" s="226">
        <f t="shared" si="120"/>
        <v>1</v>
      </c>
      <c r="D667" s="226" t="s">
        <v>117</v>
      </c>
      <c r="E667" s="226" t="s">
        <v>86</v>
      </c>
      <c r="F667" s="226" t="s">
        <v>15</v>
      </c>
      <c r="G667" s="226">
        <f t="shared" si="121"/>
        <v>9</v>
      </c>
      <c r="H667" s="226" t="s">
        <v>16</v>
      </c>
      <c r="I667" s="227" t="s">
        <v>90</v>
      </c>
      <c r="J667" s="226" t="s">
        <v>91</v>
      </c>
      <c r="K667" s="226" t="s">
        <v>19</v>
      </c>
      <c r="L667" s="226">
        <f>$L$660*2</f>
        <v>2</v>
      </c>
      <c r="M667" s="228" t="str">
        <f t="shared" si="113"/>
        <v>570336-R2</v>
      </c>
      <c r="N667" s="229">
        <v>1</v>
      </c>
      <c r="O667" s="229"/>
    </row>
    <row r="668" spans="1:15" x14ac:dyDescent="0.2">
      <c r="A668" s="226">
        <v>667</v>
      </c>
      <c r="B668" s="226" t="str">
        <f t="shared" si="112"/>
        <v>MAIN RESERVETANK SIZE 343LFM-2001-10</v>
      </c>
      <c r="C668" s="226">
        <f t="shared" si="120"/>
        <v>1</v>
      </c>
      <c r="D668" s="226" t="s">
        <v>117</v>
      </c>
      <c r="E668" s="226" t="s">
        <v>86</v>
      </c>
      <c r="F668" s="226" t="s">
        <v>15</v>
      </c>
      <c r="G668" s="226">
        <f t="shared" si="121"/>
        <v>10</v>
      </c>
      <c r="H668" s="226" t="s">
        <v>16</v>
      </c>
      <c r="I668" s="227">
        <v>76496</v>
      </c>
      <c r="J668" s="226" t="s">
        <v>118</v>
      </c>
      <c r="K668" s="226" t="s">
        <v>19</v>
      </c>
      <c r="L668" s="226">
        <v>1</v>
      </c>
      <c r="M668" s="228">
        <f t="shared" si="113"/>
        <v>76496</v>
      </c>
      <c r="N668" s="229">
        <v>1</v>
      </c>
      <c r="O668" s="229"/>
    </row>
    <row r="669" spans="1:15" x14ac:dyDescent="0.2">
      <c r="A669" s="226">
        <v>668</v>
      </c>
      <c r="B669" s="226" t="str">
        <f t="shared" si="112"/>
        <v>MAIN RESERVETANK SIZE 343LFM-2001-11</v>
      </c>
      <c r="C669" s="226">
        <f t="shared" si="120"/>
        <v>1</v>
      </c>
      <c r="D669" s="226" t="s">
        <v>117</v>
      </c>
      <c r="E669" s="226" t="s">
        <v>86</v>
      </c>
      <c r="F669" s="226" t="s">
        <v>15</v>
      </c>
      <c r="G669" s="226">
        <f t="shared" si="121"/>
        <v>11</v>
      </c>
      <c r="H669" s="226" t="s">
        <v>16</v>
      </c>
      <c r="I669" s="227" t="s">
        <v>125</v>
      </c>
      <c r="J669" s="226" t="s">
        <v>97</v>
      </c>
      <c r="K669" s="226" t="s">
        <v>19</v>
      </c>
      <c r="L669" s="231">
        <f>L660</f>
        <v>1</v>
      </c>
      <c r="M669" s="228" t="str">
        <f t="shared" si="113"/>
        <v>69841-R2</v>
      </c>
      <c r="N669" s="229">
        <v>1</v>
      </c>
      <c r="O669" s="229"/>
    </row>
    <row r="670" spans="1:15" x14ac:dyDescent="0.2">
      <c r="A670" s="226">
        <v>669</v>
      </c>
      <c r="B670" s="226" t="str">
        <f t="shared" si="112"/>
        <v>MAIN RESERVETANK SIZE 343LFM-2001-12</v>
      </c>
      <c r="C670" s="226">
        <f t="shared" si="120"/>
        <v>1</v>
      </c>
      <c r="D670" s="226" t="s">
        <v>117</v>
      </c>
      <c r="E670" s="226" t="s">
        <v>86</v>
      </c>
      <c r="F670" s="226" t="s">
        <v>15</v>
      </c>
      <c r="G670" s="226">
        <f t="shared" si="121"/>
        <v>12</v>
      </c>
      <c r="N670" s="229">
        <v>1</v>
      </c>
      <c r="O670" s="229"/>
    </row>
    <row r="671" spans="1:15" x14ac:dyDescent="0.2">
      <c r="A671" s="226">
        <v>670</v>
      </c>
      <c r="B671" s="226" t="str">
        <f t="shared" si="112"/>
        <v>MAIN RESERVETANK SIZE 343LFM-2001-13</v>
      </c>
      <c r="C671" s="226">
        <f t="shared" si="120"/>
        <v>1</v>
      </c>
      <c r="D671" s="226" t="s">
        <v>117</v>
      </c>
      <c r="E671" s="226" t="s">
        <v>86</v>
      </c>
      <c r="F671" s="226" t="s">
        <v>15</v>
      </c>
      <c r="G671" s="226">
        <f t="shared" si="121"/>
        <v>13</v>
      </c>
      <c r="H671" s="226" t="s">
        <v>16</v>
      </c>
      <c r="I671" s="227">
        <v>570550</v>
      </c>
      <c r="J671" s="226" t="s">
        <v>120</v>
      </c>
      <c r="K671" s="226" t="s">
        <v>19</v>
      </c>
      <c r="L671" s="226">
        <f>L660-1</f>
        <v>0</v>
      </c>
      <c r="M671" s="228">
        <f t="shared" ref="M671:M675" si="122">I671</f>
        <v>570550</v>
      </c>
      <c r="N671" s="229">
        <v>1</v>
      </c>
      <c r="O671" s="229"/>
    </row>
    <row r="672" spans="1:15" x14ac:dyDescent="0.2">
      <c r="A672" s="226">
        <v>671</v>
      </c>
      <c r="B672" s="226" t="str">
        <f t="shared" si="112"/>
        <v>MAIN RESERVETANK SIZE 343LFM-2001-14</v>
      </c>
      <c r="C672" s="226">
        <f t="shared" si="120"/>
        <v>1</v>
      </c>
      <c r="D672" s="226" t="s">
        <v>117</v>
      </c>
      <c r="E672" s="226" t="s">
        <v>86</v>
      </c>
      <c r="F672" s="226" t="s">
        <v>15</v>
      </c>
      <c r="G672" s="226">
        <f t="shared" si="121"/>
        <v>14</v>
      </c>
      <c r="H672" s="226" t="s">
        <v>16</v>
      </c>
      <c r="I672" s="227">
        <v>32338</v>
      </c>
      <c r="J672" s="226" t="s">
        <v>42</v>
      </c>
      <c r="K672" s="226" t="s">
        <v>19</v>
      </c>
      <c r="L672" s="226">
        <f>IF(L660&gt;1,1,0)</f>
        <v>0</v>
      </c>
      <c r="M672" s="228">
        <f t="shared" si="122"/>
        <v>32338</v>
      </c>
      <c r="N672" s="229">
        <v>1</v>
      </c>
      <c r="O672" s="229"/>
    </row>
    <row r="673" spans="1:15" x14ac:dyDescent="0.2">
      <c r="A673" s="226">
        <v>672</v>
      </c>
      <c r="B673" s="226" t="str">
        <f t="shared" si="112"/>
        <v>MAIN RESERVETANK SIZE 343LFM-2001-15</v>
      </c>
      <c r="C673" s="226">
        <f t="shared" si="120"/>
        <v>1</v>
      </c>
      <c r="D673" s="226" t="s">
        <v>117</v>
      </c>
      <c r="E673" s="226" t="s">
        <v>86</v>
      </c>
      <c r="F673" s="226" t="s">
        <v>15</v>
      </c>
      <c r="G673" s="226">
        <f t="shared" si="121"/>
        <v>15</v>
      </c>
      <c r="H673" s="226" t="s">
        <v>16</v>
      </c>
      <c r="I673" s="227">
        <v>31810</v>
      </c>
      <c r="J673" s="226" t="s">
        <v>121</v>
      </c>
      <c r="K673" s="226" t="s">
        <v>19</v>
      </c>
      <c r="L673" s="226">
        <f>IF(L660&gt;1,1,0)</f>
        <v>0</v>
      </c>
      <c r="M673" s="228">
        <f t="shared" si="122"/>
        <v>31810</v>
      </c>
      <c r="N673" s="229">
        <v>1</v>
      </c>
      <c r="O673" s="229"/>
    </row>
    <row r="674" spans="1:15" x14ac:dyDescent="0.2">
      <c r="A674" s="226">
        <v>673</v>
      </c>
      <c r="B674" s="226" t="str">
        <f t="shared" si="112"/>
        <v>MAIN RESERVETANK SIZE 343LFM-2001-16</v>
      </c>
      <c r="C674" s="226">
        <f t="shared" si="120"/>
        <v>1</v>
      </c>
      <c r="D674" s="226" t="s">
        <v>117</v>
      </c>
      <c r="E674" s="226" t="s">
        <v>86</v>
      </c>
      <c r="F674" s="226" t="s">
        <v>15</v>
      </c>
      <c r="G674" s="226">
        <f t="shared" si="121"/>
        <v>16</v>
      </c>
      <c r="H674" s="226" t="s">
        <v>16</v>
      </c>
      <c r="I674" s="227">
        <v>32336</v>
      </c>
      <c r="J674" s="226" t="s">
        <v>122</v>
      </c>
      <c r="K674" s="226" t="s">
        <v>19</v>
      </c>
      <c r="L674" s="226">
        <f>L660-1</f>
        <v>0</v>
      </c>
      <c r="M674" s="228">
        <f t="shared" si="122"/>
        <v>32336</v>
      </c>
      <c r="N674" s="229">
        <v>1</v>
      </c>
      <c r="O674" s="229"/>
    </row>
    <row r="675" spans="1:15" x14ac:dyDescent="0.2">
      <c r="A675" s="226">
        <v>674</v>
      </c>
      <c r="B675" s="226" t="str">
        <f t="shared" si="112"/>
        <v>MAIN RESERVETANK SIZE 343LFM-2001-17</v>
      </c>
      <c r="C675" s="226">
        <f t="shared" si="120"/>
        <v>1</v>
      </c>
      <c r="D675" s="226" t="s">
        <v>117</v>
      </c>
      <c r="E675" s="226" t="s">
        <v>86</v>
      </c>
      <c r="F675" s="226" t="s">
        <v>15</v>
      </c>
      <c r="G675" s="226">
        <f t="shared" si="121"/>
        <v>17</v>
      </c>
      <c r="H675" s="226" t="s">
        <v>16</v>
      </c>
      <c r="I675" s="227">
        <v>31811</v>
      </c>
      <c r="J675" s="226" t="s">
        <v>123</v>
      </c>
      <c r="K675" s="226" t="s">
        <v>19</v>
      </c>
      <c r="L675" s="226">
        <f>IF(L660&gt;1,L660-1,0)</f>
        <v>0</v>
      </c>
      <c r="M675" s="228">
        <f t="shared" si="122"/>
        <v>31811</v>
      </c>
      <c r="N675" s="229">
        <v>1</v>
      </c>
      <c r="O675" s="229"/>
    </row>
    <row r="676" spans="1:15" x14ac:dyDescent="0.2">
      <c r="A676" s="226">
        <v>675</v>
      </c>
      <c r="B676" s="226" t="str">
        <f t="shared" si="112"/>
        <v>MAIN RESERVETANK SIZE 343LFM-2001-18</v>
      </c>
      <c r="C676" s="226">
        <f t="shared" si="120"/>
        <v>1</v>
      </c>
      <c r="D676" s="226" t="s">
        <v>117</v>
      </c>
      <c r="E676" s="226" t="s">
        <v>86</v>
      </c>
      <c r="F676" s="226" t="s">
        <v>15</v>
      </c>
      <c r="G676" s="226">
        <f t="shared" si="121"/>
        <v>18</v>
      </c>
      <c r="N676" s="229">
        <v>1</v>
      </c>
      <c r="O676" s="229"/>
    </row>
    <row r="677" spans="1:15" x14ac:dyDescent="0.2">
      <c r="A677" s="226">
        <v>676</v>
      </c>
      <c r="B677" s="226" t="str">
        <f>D677&amp;E677&amp;F677&amp;C677&amp;"-"&amp;G677&amp;IF(M677&lt;&gt;"",O677,"")</f>
        <v>MAIN RESERVETANK SIZE 343LFM-2001-19</v>
      </c>
      <c r="C677" s="226">
        <f t="shared" si="120"/>
        <v>1</v>
      </c>
      <c r="D677" s="226" t="s">
        <v>117</v>
      </c>
      <c r="E677" s="226" t="s">
        <v>86</v>
      </c>
      <c r="F677" s="226" t="s">
        <v>15</v>
      </c>
      <c r="G677" s="226">
        <f t="shared" si="121"/>
        <v>19</v>
      </c>
      <c r="H677" s="226" t="s">
        <v>16</v>
      </c>
      <c r="I677" s="227">
        <v>570278</v>
      </c>
      <c r="J677" s="226" t="s">
        <v>80</v>
      </c>
      <c r="K677" s="226" t="s">
        <v>19</v>
      </c>
      <c r="L677" s="226">
        <f>L660</f>
        <v>1</v>
      </c>
      <c r="M677" s="228">
        <f>I677</f>
        <v>570278</v>
      </c>
      <c r="N677" s="229">
        <v>1</v>
      </c>
      <c r="O677" s="229"/>
    </row>
    <row r="678" spans="1:15" x14ac:dyDescent="0.2">
      <c r="A678" s="226">
        <v>677</v>
      </c>
      <c r="B678" s="226" t="str">
        <f t="shared" si="112"/>
        <v>-</v>
      </c>
      <c r="M678" s="228">
        <f t="shared" si="113"/>
        <v>0</v>
      </c>
      <c r="N678" s="229">
        <v>1</v>
      </c>
      <c r="O678" s="229"/>
    </row>
    <row r="679" spans="1:15" x14ac:dyDescent="0.2">
      <c r="A679" s="226">
        <v>678</v>
      </c>
      <c r="B679" s="226" t="str">
        <f t="shared" si="112"/>
        <v>MAIN RESERVETANK SIZE 8LFK-5-1-121-1</v>
      </c>
      <c r="C679" s="226">
        <f>L679</f>
        <v>1</v>
      </c>
      <c r="D679" s="226" t="s">
        <v>117</v>
      </c>
      <c r="E679" s="226" t="s">
        <v>14</v>
      </c>
      <c r="F679" s="226" t="s">
        <v>98</v>
      </c>
      <c r="G679" s="226">
        <v>1</v>
      </c>
      <c r="H679" s="226" t="s">
        <v>16</v>
      </c>
      <c r="I679" s="227" t="s">
        <v>17</v>
      </c>
      <c r="J679" s="226" t="s">
        <v>18</v>
      </c>
      <c r="K679" s="226" t="s">
        <v>19</v>
      </c>
      <c r="L679" s="226">
        <f>'COT AGENTES'!$H$3</f>
        <v>1</v>
      </c>
      <c r="M679" s="228" t="s">
        <v>20</v>
      </c>
      <c r="N679" s="229">
        <v>1</v>
      </c>
      <c r="O679" s="229"/>
    </row>
    <row r="680" spans="1:15" x14ac:dyDescent="0.2">
      <c r="A680" s="226">
        <v>679</v>
      </c>
      <c r="B680" s="226" t="str">
        <f t="shared" si="112"/>
        <v>MAIN RESERVETANK SIZE 8LFK-5-1-121-2</v>
      </c>
      <c r="C680" s="226">
        <f>C679</f>
        <v>1</v>
      </c>
      <c r="D680" s="226" t="s">
        <v>117</v>
      </c>
      <c r="E680" s="226" t="s">
        <v>14</v>
      </c>
      <c r="F680" s="226" t="s">
        <v>98</v>
      </c>
      <c r="G680" s="226">
        <f>+G679+1</f>
        <v>2</v>
      </c>
      <c r="H680" s="226" t="s">
        <v>16</v>
      </c>
      <c r="I680" s="227">
        <v>445732</v>
      </c>
      <c r="J680" s="226" t="s">
        <v>99</v>
      </c>
      <c r="K680" s="226" t="s">
        <v>19</v>
      </c>
      <c r="L680" s="226">
        <f>'COT AGENTES'!$H$3</f>
        <v>1</v>
      </c>
      <c r="M680" s="228">
        <f t="shared" si="113"/>
        <v>445732</v>
      </c>
      <c r="N680" s="229">
        <v>1</v>
      </c>
      <c r="O680" s="229"/>
    </row>
    <row r="681" spans="1:15" x14ac:dyDescent="0.2">
      <c r="A681" s="226">
        <v>680</v>
      </c>
      <c r="B681" s="226" t="str">
        <f t="shared" si="112"/>
        <v>MAIN RESERVETANK SIZE 8LFK-5-1-121-3</v>
      </c>
      <c r="C681" s="226">
        <f>C679</f>
        <v>1</v>
      </c>
      <c r="D681" s="226" t="s">
        <v>117</v>
      </c>
      <c r="E681" s="226" t="s">
        <v>14</v>
      </c>
      <c r="F681" s="226" t="s">
        <v>98</v>
      </c>
      <c r="G681" s="226">
        <f t="shared" ref="G681:G696" si="123">+G680+1</f>
        <v>3</v>
      </c>
      <c r="H681" s="226" t="s">
        <v>16</v>
      </c>
      <c r="I681" s="227" t="s">
        <v>98</v>
      </c>
      <c r="J681" s="226" t="s">
        <v>100</v>
      </c>
      <c r="K681" s="226" t="s">
        <v>19</v>
      </c>
      <c r="L681" s="230">
        <f>'COT AGENTES'!$H$5</f>
        <v>2</v>
      </c>
      <c r="M681" s="228" t="str">
        <f t="shared" si="113"/>
        <v>FK-5-1-12</v>
      </c>
      <c r="N681" s="229">
        <v>1</v>
      </c>
      <c r="O681" s="229"/>
    </row>
    <row r="682" spans="1:15" x14ac:dyDescent="0.2">
      <c r="A682" s="226">
        <v>681</v>
      </c>
      <c r="B682" s="226" t="str">
        <f t="shared" si="112"/>
        <v>MAIN RESERVETANK SIZE 8LFK-5-1-121-4</v>
      </c>
      <c r="C682" s="226">
        <f t="shared" ref="C682:C696" si="124">C680</f>
        <v>1</v>
      </c>
      <c r="D682" s="226" t="s">
        <v>117</v>
      </c>
      <c r="E682" s="226" t="s">
        <v>14</v>
      </c>
      <c r="F682" s="226" t="s">
        <v>98</v>
      </c>
      <c r="G682" s="226">
        <f t="shared" si="123"/>
        <v>4</v>
      </c>
      <c r="H682" s="226" t="s">
        <v>16</v>
      </c>
      <c r="I682" s="227">
        <v>302207021</v>
      </c>
      <c r="J682" s="226" t="s">
        <v>101</v>
      </c>
      <c r="K682" s="226" t="s">
        <v>19</v>
      </c>
      <c r="L682" s="226">
        <f>L680</f>
        <v>1</v>
      </c>
      <c r="M682" s="228">
        <f t="shared" si="113"/>
        <v>302207021</v>
      </c>
      <c r="N682" s="229">
        <v>1</v>
      </c>
      <c r="O682" s="229"/>
    </row>
    <row r="683" spans="1:15" x14ac:dyDescent="0.2">
      <c r="A683" s="226">
        <v>682</v>
      </c>
      <c r="B683" s="226" t="str">
        <f t="shared" si="112"/>
        <v>MAIN RESERVETANK SIZE 8LFK-5-1-121-5</v>
      </c>
      <c r="C683" s="226">
        <f t="shared" si="124"/>
        <v>1</v>
      </c>
      <c r="D683" s="226" t="s">
        <v>117</v>
      </c>
      <c r="E683" s="226" t="s">
        <v>14</v>
      </c>
      <c r="F683" s="226" t="s">
        <v>98</v>
      </c>
      <c r="G683" s="226">
        <f t="shared" si="123"/>
        <v>5</v>
      </c>
      <c r="H683" s="226" t="s">
        <v>16</v>
      </c>
      <c r="I683" s="227">
        <v>314207207</v>
      </c>
      <c r="J683" s="226" t="s">
        <v>102</v>
      </c>
      <c r="K683" s="226" t="s">
        <v>19</v>
      </c>
      <c r="L683" s="226">
        <f>L680</f>
        <v>1</v>
      </c>
      <c r="M683" s="228">
        <f t="shared" si="113"/>
        <v>314207207</v>
      </c>
      <c r="N683" s="229">
        <v>1</v>
      </c>
      <c r="O683" s="229"/>
    </row>
    <row r="684" spans="1:15" x14ac:dyDescent="0.2">
      <c r="A684" s="226">
        <v>683</v>
      </c>
      <c r="B684" s="226" t="str">
        <f t="shared" si="112"/>
        <v>MAIN RESERVETANK SIZE 8LFK-5-1-121-6</v>
      </c>
      <c r="C684" s="226">
        <f t="shared" si="124"/>
        <v>1</v>
      </c>
      <c r="D684" s="226" t="s">
        <v>117</v>
      </c>
      <c r="E684" s="226" t="s">
        <v>14</v>
      </c>
      <c r="F684" s="226" t="s">
        <v>98</v>
      </c>
      <c r="G684" s="226">
        <f t="shared" si="123"/>
        <v>6</v>
      </c>
      <c r="H684" s="226" t="s">
        <v>16</v>
      </c>
      <c r="I684" s="227">
        <v>570585</v>
      </c>
      <c r="J684" s="226" t="s">
        <v>26</v>
      </c>
      <c r="K684" s="226" t="s">
        <v>19</v>
      </c>
      <c r="L684" s="226">
        <f>L680</f>
        <v>1</v>
      </c>
      <c r="M684" s="228">
        <f t="shared" si="113"/>
        <v>570585</v>
      </c>
      <c r="N684" s="229">
        <v>1</v>
      </c>
      <c r="O684" s="229"/>
    </row>
    <row r="685" spans="1:15" x14ac:dyDescent="0.2">
      <c r="A685" s="226">
        <v>684</v>
      </c>
      <c r="B685" s="226" t="str">
        <f t="shared" si="112"/>
        <v>MAIN RESERVETANK SIZE 8LFK-5-1-121-7</v>
      </c>
      <c r="C685" s="226">
        <f t="shared" si="124"/>
        <v>1</v>
      </c>
      <c r="D685" s="226" t="s">
        <v>117</v>
      </c>
      <c r="E685" s="226" t="s">
        <v>14</v>
      </c>
      <c r="F685" s="226" t="s">
        <v>98</v>
      </c>
      <c r="G685" s="226">
        <f t="shared" si="123"/>
        <v>7</v>
      </c>
      <c r="H685" s="226" t="s">
        <v>16</v>
      </c>
      <c r="I685" s="227">
        <v>304205030</v>
      </c>
      <c r="J685" s="226" t="s">
        <v>27</v>
      </c>
      <c r="K685" s="226" t="s">
        <v>19</v>
      </c>
      <c r="L685" s="226">
        <v>1</v>
      </c>
      <c r="M685" s="228">
        <f t="shared" si="113"/>
        <v>304205030</v>
      </c>
      <c r="N685" s="229">
        <v>1</v>
      </c>
      <c r="O685" s="229"/>
    </row>
    <row r="686" spans="1:15" x14ac:dyDescent="0.2">
      <c r="A686" s="226">
        <v>685</v>
      </c>
      <c r="B686" s="226" t="str">
        <f t="shared" si="112"/>
        <v>MAIN RESERVETANK SIZE 8LFK-5-1-121-8</v>
      </c>
      <c r="C686" s="226">
        <f t="shared" si="124"/>
        <v>1</v>
      </c>
      <c r="D686" s="226" t="s">
        <v>117</v>
      </c>
      <c r="E686" s="226" t="s">
        <v>14</v>
      </c>
      <c r="F686" s="226" t="s">
        <v>98</v>
      </c>
      <c r="G686" s="226">
        <f t="shared" si="123"/>
        <v>8</v>
      </c>
      <c r="H686" s="226" t="s">
        <v>16</v>
      </c>
      <c r="I686" s="227" t="s">
        <v>28</v>
      </c>
      <c r="J686" s="226" t="s">
        <v>29</v>
      </c>
      <c r="K686" s="226" t="s">
        <v>19</v>
      </c>
      <c r="L686" s="226">
        <v>1</v>
      </c>
      <c r="M686" s="228" t="str">
        <f t="shared" si="113"/>
        <v>A1638150HY</v>
      </c>
      <c r="N686" s="229">
        <v>1</v>
      </c>
      <c r="O686" s="229"/>
    </row>
    <row r="687" spans="1:15" x14ac:dyDescent="0.2">
      <c r="A687" s="226">
        <v>686</v>
      </c>
      <c r="B687" s="226" t="str">
        <f t="shared" si="112"/>
        <v>MAIN RESERVETANK SIZE 8LFK-5-1-121-9</v>
      </c>
      <c r="C687" s="226">
        <f t="shared" si="124"/>
        <v>1</v>
      </c>
      <c r="D687" s="226" t="s">
        <v>117</v>
      </c>
      <c r="E687" s="226" t="s">
        <v>14</v>
      </c>
      <c r="F687" s="226" t="s">
        <v>98</v>
      </c>
      <c r="G687" s="226">
        <f t="shared" si="123"/>
        <v>9</v>
      </c>
      <c r="H687" s="226" t="s">
        <v>16</v>
      </c>
      <c r="I687" s="227" t="s">
        <v>30</v>
      </c>
      <c r="J687" s="226" t="s">
        <v>31</v>
      </c>
      <c r="K687" s="226" t="s">
        <v>19</v>
      </c>
      <c r="L687" s="226">
        <f>L680</f>
        <v>1</v>
      </c>
      <c r="M687" s="228" t="str">
        <f t="shared" si="113"/>
        <v>570085-R2</v>
      </c>
      <c r="N687" s="229">
        <v>1</v>
      </c>
      <c r="O687" s="229"/>
    </row>
    <row r="688" spans="1:15" x14ac:dyDescent="0.2">
      <c r="A688" s="226">
        <v>687</v>
      </c>
      <c r="B688" s="226" t="str">
        <f t="shared" si="112"/>
        <v>MAIN RESERVETANK SIZE 8LFK-5-1-121-10</v>
      </c>
      <c r="C688" s="226">
        <f t="shared" si="124"/>
        <v>1</v>
      </c>
      <c r="D688" s="226" t="s">
        <v>117</v>
      </c>
      <c r="E688" s="226" t="s">
        <v>14</v>
      </c>
      <c r="F688" s="226" t="s">
        <v>98</v>
      </c>
      <c r="G688" s="226">
        <f t="shared" si="123"/>
        <v>10</v>
      </c>
      <c r="H688" s="226" t="s">
        <v>16</v>
      </c>
      <c r="I688" s="227">
        <v>76496</v>
      </c>
      <c r="J688" s="226" t="s">
        <v>118</v>
      </c>
      <c r="K688" s="226" t="s">
        <v>19</v>
      </c>
      <c r="L688" s="226">
        <v>1</v>
      </c>
      <c r="M688" s="228">
        <f t="shared" si="113"/>
        <v>76496</v>
      </c>
      <c r="N688" s="229">
        <v>1</v>
      </c>
      <c r="O688" s="229"/>
    </row>
    <row r="689" spans="1:15" x14ac:dyDescent="0.2">
      <c r="A689" s="226">
        <v>688</v>
      </c>
      <c r="B689" s="226" t="str">
        <f t="shared" si="112"/>
        <v>MAIN RESERVETANK SIZE 8LFK-5-1-121-11</v>
      </c>
      <c r="C689" s="226">
        <f t="shared" si="124"/>
        <v>1</v>
      </c>
      <c r="D689" s="226" t="s">
        <v>117</v>
      </c>
      <c r="E689" s="226" t="s">
        <v>14</v>
      </c>
      <c r="F689" s="226" t="s">
        <v>98</v>
      </c>
      <c r="G689" s="226">
        <f t="shared" si="123"/>
        <v>11</v>
      </c>
      <c r="H689" s="226" t="s">
        <v>16</v>
      </c>
      <c r="I689" s="227">
        <v>570566</v>
      </c>
      <c r="J689" s="226" t="s">
        <v>119</v>
      </c>
      <c r="K689" s="226" t="s">
        <v>19</v>
      </c>
      <c r="L689" s="226">
        <f>L680+L680</f>
        <v>2</v>
      </c>
      <c r="M689" s="228">
        <f t="shared" si="113"/>
        <v>570566</v>
      </c>
      <c r="N689" s="229">
        <v>1</v>
      </c>
      <c r="O689" s="229"/>
    </row>
    <row r="690" spans="1:15" x14ac:dyDescent="0.2">
      <c r="A690" s="226">
        <v>689</v>
      </c>
      <c r="B690" s="226" t="str">
        <f t="shared" si="112"/>
        <v>MAIN RESERVETANK SIZE 8LFK-5-1-121-12</v>
      </c>
      <c r="C690" s="226">
        <f t="shared" si="124"/>
        <v>1</v>
      </c>
      <c r="D690" s="226" t="s">
        <v>117</v>
      </c>
      <c r="E690" s="226" t="s">
        <v>14</v>
      </c>
      <c r="F690" s="226" t="s">
        <v>98</v>
      </c>
      <c r="G690" s="226">
        <f t="shared" si="123"/>
        <v>12</v>
      </c>
      <c r="H690" s="226" t="s">
        <v>16</v>
      </c>
      <c r="I690" s="227" t="s">
        <v>44</v>
      </c>
      <c r="J690" s="226" t="s">
        <v>45</v>
      </c>
      <c r="K690" s="226" t="s">
        <v>19</v>
      </c>
      <c r="L690" s="226">
        <f>L680+L680</f>
        <v>2</v>
      </c>
      <c r="M690" s="228" t="str">
        <f t="shared" si="113"/>
        <v>570539-R2</v>
      </c>
      <c r="N690" s="229">
        <v>1</v>
      </c>
      <c r="O690" s="229"/>
    </row>
    <row r="691" spans="1:15" x14ac:dyDescent="0.2">
      <c r="A691" s="226">
        <v>690</v>
      </c>
      <c r="B691" s="226" t="str">
        <f t="shared" si="112"/>
        <v>MAIN RESERVETANK SIZE 8LFK-5-1-121-13</v>
      </c>
      <c r="C691" s="226">
        <f t="shared" si="124"/>
        <v>1</v>
      </c>
      <c r="D691" s="226" t="s">
        <v>117</v>
      </c>
      <c r="E691" s="226" t="s">
        <v>14</v>
      </c>
      <c r="F691" s="226" t="s">
        <v>98</v>
      </c>
      <c r="G691" s="226">
        <f t="shared" si="123"/>
        <v>13</v>
      </c>
      <c r="N691" s="229">
        <v>1</v>
      </c>
      <c r="O691" s="229"/>
    </row>
    <row r="692" spans="1:15" x14ac:dyDescent="0.2">
      <c r="A692" s="226">
        <v>691</v>
      </c>
      <c r="B692" s="226" t="str">
        <f t="shared" si="112"/>
        <v>MAIN RESERVETANK SIZE 8LFK-5-1-121-14</v>
      </c>
      <c r="C692" s="226">
        <f t="shared" si="124"/>
        <v>1</v>
      </c>
      <c r="D692" s="226" t="s">
        <v>117</v>
      </c>
      <c r="E692" s="226" t="s">
        <v>14</v>
      </c>
      <c r="F692" s="226" t="s">
        <v>98</v>
      </c>
      <c r="G692" s="226">
        <f t="shared" si="123"/>
        <v>14</v>
      </c>
      <c r="H692" s="226" t="s">
        <v>16</v>
      </c>
      <c r="I692" s="227">
        <v>570550</v>
      </c>
      <c r="J692" s="226" t="s">
        <v>120</v>
      </c>
      <c r="K692" s="226" t="s">
        <v>19</v>
      </c>
      <c r="L692" s="226">
        <f>L680-1</f>
        <v>0</v>
      </c>
      <c r="M692" s="228">
        <f t="shared" ref="M692:M696" si="125">I692</f>
        <v>570550</v>
      </c>
      <c r="N692" s="229">
        <v>1</v>
      </c>
      <c r="O692" s="229"/>
    </row>
    <row r="693" spans="1:15" x14ac:dyDescent="0.2">
      <c r="A693" s="226">
        <v>692</v>
      </c>
      <c r="B693" s="226" t="str">
        <f t="shared" si="112"/>
        <v>MAIN RESERVETANK SIZE 8LFK-5-1-121-15</v>
      </c>
      <c r="C693" s="226">
        <f t="shared" si="124"/>
        <v>1</v>
      </c>
      <c r="D693" s="226" t="s">
        <v>117</v>
      </c>
      <c r="E693" s="226" t="s">
        <v>14</v>
      </c>
      <c r="F693" s="226" t="s">
        <v>98</v>
      </c>
      <c r="G693" s="226">
        <f t="shared" si="123"/>
        <v>15</v>
      </c>
      <c r="H693" s="226" t="s">
        <v>16</v>
      </c>
      <c r="I693" s="227">
        <v>32338</v>
      </c>
      <c r="J693" s="226" t="s">
        <v>42</v>
      </c>
      <c r="K693" s="226" t="s">
        <v>19</v>
      </c>
      <c r="L693" s="226">
        <f>IF(L680&gt;1,1,0)</f>
        <v>0</v>
      </c>
      <c r="M693" s="228">
        <f t="shared" si="125"/>
        <v>32338</v>
      </c>
      <c r="N693" s="229">
        <v>1</v>
      </c>
      <c r="O693" s="229"/>
    </row>
    <row r="694" spans="1:15" x14ac:dyDescent="0.2">
      <c r="A694" s="226">
        <v>693</v>
      </c>
      <c r="B694" s="226" t="str">
        <f t="shared" si="112"/>
        <v>MAIN RESERVETANK SIZE 8LFK-5-1-121-16</v>
      </c>
      <c r="C694" s="226">
        <f t="shared" si="124"/>
        <v>1</v>
      </c>
      <c r="D694" s="226" t="s">
        <v>117</v>
      </c>
      <c r="E694" s="226" t="s">
        <v>14</v>
      </c>
      <c r="F694" s="226" t="s">
        <v>98</v>
      </c>
      <c r="G694" s="226">
        <f t="shared" si="123"/>
        <v>16</v>
      </c>
      <c r="H694" s="226" t="s">
        <v>16</v>
      </c>
      <c r="I694" s="227">
        <v>31810</v>
      </c>
      <c r="J694" s="226" t="s">
        <v>121</v>
      </c>
      <c r="K694" s="226" t="s">
        <v>19</v>
      </c>
      <c r="L694" s="226">
        <f>IF(L680&gt;1,1,0)</f>
        <v>0</v>
      </c>
      <c r="M694" s="228">
        <f t="shared" si="125"/>
        <v>31810</v>
      </c>
      <c r="N694" s="229">
        <v>1</v>
      </c>
      <c r="O694" s="229"/>
    </row>
    <row r="695" spans="1:15" x14ac:dyDescent="0.2">
      <c r="A695" s="226">
        <v>694</v>
      </c>
      <c r="B695" s="226" t="str">
        <f t="shared" si="112"/>
        <v>MAIN RESERVETANK SIZE 8LFK-5-1-121-17</v>
      </c>
      <c r="C695" s="226">
        <f t="shared" si="124"/>
        <v>1</v>
      </c>
      <c r="D695" s="226" t="s">
        <v>117</v>
      </c>
      <c r="E695" s="226" t="s">
        <v>14</v>
      </c>
      <c r="F695" s="226" t="s">
        <v>98</v>
      </c>
      <c r="G695" s="226">
        <f t="shared" si="123"/>
        <v>17</v>
      </c>
      <c r="H695" s="226" t="s">
        <v>16</v>
      </c>
      <c r="I695" s="227">
        <v>32336</v>
      </c>
      <c r="J695" s="226" t="s">
        <v>122</v>
      </c>
      <c r="K695" s="226" t="s">
        <v>19</v>
      </c>
      <c r="L695" s="226">
        <f>L680-1</f>
        <v>0</v>
      </c>
      <c r="M695" s="228">
        <f t="shared" si="125"/>
        <v>32336</v>
      </c>
      <c r="N695" s="229">
        <v>1</v>
      </c>
      <c r="O695" s="229"/>
    </row>
    <row r="696" spans="1:15" x14ac:dyDescent="0.2">
      <c r="A696" s="226">
        <v>695</v>
      </c>
      <c r="B696" s="226" t="str">
        <f t="shared" si="112"/>
        <v>MAIN RESERVETANK SIZE 8LFK-5-1-121-18</v>
      </c>
      <c r="C696" s="226">
        <f t="shared" si="124"/>
        <v>1</v>
      </c>
      <c r="D696" s="226" t="s">
        <v>117</v>
      </c>
      <c r="E696" s="226" t="s">
        <v>14</v>
      </c>
      <c r="F696" s="226" t="s">
        <v>98</v>
      </c>
      <c r="G696" s="226">
        <f t="shared" si="123"/>
        <v>18</v>
      </c>
      <c r="H696" s="226" t="s">
        <v>16</v>
      </c>
      <c r="I696" s="227">
        <v>31811</v>
      </c>
      <c r="J696" s="226" t="s">
        <v>123</v>
      </c>
      <c r="K696" s="226" t="s">
        <v>19</v>
      </c>
      <c r="L696" s="226">
        <f>IF(L680&gt;1,L680-1,0)</f>
        <v>0</v>
      </c>
      <c r="M696" s="228">
        <f t="shared" si="125"/>
        <v>31811</v>
      </c>
      <c r="N696" s="229">
        <v>1</v>
      </c>
      <c r="O696" s="229"/>
    </row>
    <row r="697" spans="1:15" x14ac:dyDescent="0.2">
      <c r="A697" s="226">
        <v>696</v>
      </c>
      <c r="B697" s="226" t="str">
        <f t="shared" si="112"/>
        <v>-</v>
      </c>
      <c r="M697" s="228">
        <f t="shared" si="113"/>
        <v>0</v>
      </c>
      <c r="N697" s="229">
        <v>1</v>
      </c>
      <c r="O697" s="229"/>
    </row>
    <row r="698" spans="1:15" x14ac:dyDescent="0.2">
      <c r="A698" s="226">
        <v>697</v>
      </c>
      <c r="B698" s="226" t="str">
        <f t="shared" si="112"/>
        <v>MAIN RESERVETANK SIZE 16LFK-5-1-121-1</v>
      </c>
      <c r="C698" s="226">
        <f>L698</f>
        <v>1</v>
      </c>
      <c r="D698" s="226" t="s">
        <v>117</v>
      </c>
      <c r="E698" s="226" t="s">
        <v>47</v>
      </c>
      <c r="F698" s="226" t="s">
        <v>98</v>
      </c>
      <c r="G698" s="226">
        <v>1</v>
      </c>
      <c r="H698" s="226" t="s">
        <v>16</v>
      </c>
      <c r="I698" s="227" t="s">
        <v>17</v>
      </c>
      <c r="J698" s="226" t="s">
        <v>48</v>
      </c>
      <c r="K698" s="226" t="s">
        <v>19</v>
      </c>
      <c r="L698" s="226">
        <f>'COT AGENTES'!$H$3</f>
        <v>1</v>
      </c>
      <c r="M698" s="228" t="s">
        <v>49</v>
      </c>
      <c r="N698" s="229">
        <v>1</v>
      </c>
      <c r="O698" s="229"/>
    </row>
    <row r="699" spans="1:15" x14ac:dyDescent="0.2">
      <c r="A699" s="226">
        <v>698</v>
      </c>
      <c r="B699" s="226" t="str">
        <f t="shared" si="112"/>
        <v>MAIN RESERVETANK SIZE 16LFK-5-1-121-2</v>
      </c>
      <c r="C699" s="226">
        <f>C698</f>
        <v>1</v>
      </c>
      <c r="D699" s="226" t="s">
        <v>117</v>
      </c>
      <c r="E699" s="226" t="s">
        <v>47</v>
      </c>
      <c r="F699" s="226" t="s">
        <v>98</v>
      </c>
      <c r="G699" s="226">
        <f>+G698+1</f>
        <v>2</v>
      </c>
      <c r="H699" s="226" t="s">
        <v>16</v>
      </c>
      <c r="I699" s="227">
        <v>445733</v>
      </c>
      <c r="J699" s="226" t="s">
        <v>107</v>
      </c>
      <c r="K699" s="226" t="s">
        <v>19</v>
      </c>
      <c r="L699" s="226">
        <f>'COT AGENTES'!$H$3</f>
        <v>1</v>
      </c>
      <c r="M699" s="228">
        <f t="shared" si="113"/>
        <v>445733</v>
      </c>
      <c r="N699" s="229">
        <v>1</v>
      </c>
      <c r="O699" s="229"/>
    </row>
    <row r="700" spans="1:15" x14ac:dyDescent="0.2">
      <c r="A700" s="226">
        <v>699</v>
      </c>
      <c r="B700" s="226" t="str">
        <f t="shared" si="112"/>
        <v>MAIN RESERVETANK SIZE 16LFK-5-1-121-3</v>
      </c>
      <c r="C700" s="226">
        <f>C698</f>
        <v>1</v>
      </c>
      <c r="D700" s="226" t="s">
        <v>117</v>
      </c>
      <c r="E700" s="226" t="s">
        <v>47</v>
      </c>
      <c r="F700" s="226" t="s">
        <v>98</v>
      </c>
      <c r="G700" s="226">
        <f t="shared" ref="G700:G715" si="126">+G699+1</f>
        <v>3</v>
      </c>
      <c r="H700" s="226" t="s">
        <v>16</v>
      </c>
      <c r="I700" s="227" t="s">
        <v>98</v>
      </c>
      <c r="J700" s="226" t="s">
        <v>100</v>
      </c>
      <c r="K700" s="226" t="s">
        <v>19</v>
      </c>
      <c r="L700" s="230">
        <f>'COT AGENTES'!$H$5</f>
        <v>2</v>
      </c>
      <c r="M700" s="228" t="str">
        <f t="shared" si="113"/>
        <v>FK-5-1-12</v>
      </c>
      <c r="N700" s="229">
        <v>1</v>
      </c>
      <c r="O700" s="229"/>
    </row>
    <row r="701" spans="1:15" x14ac:dyDescent="0.2">
      <c r="A701" s="226">
        <v>700</v>
      </c>
      <c r="B701" s="226" t="str">
        <f t="shared" si="112"/>
        <v>MAIN RESERVETANK SIZE 16LFK-5-1-121-4</v>
      </c>
      <c r="C701" s="226">
        <f t="shared" ref="C701:C715" si="127">C699</f>
        <v>1</v>
      </c>
      <c r="D701" s="226" t="s">
        <v>117</v>
      </c>
      <c r="E701" s="226" t="s">
        <v>47</v>
      </c>
      <c r="F701" s="226" t="s">
        <v>98</v>
      </c>
      <c r="G701" s="226">
        <f t="shared" si="126"/>
        <v>4</v>
      </c>
      <c r="H701" s="226" t="s">
        <v>16</v>
      </c>
      <c r="I701" s="227">
        <v>302207021</v>
      </c>
      <c r="J701" s="226" t="s">
        <v>101</v>
      </c>
      <c r="K701" s="226" t="s">
        <v>19</v>
      </c>
      <c r="L701" s="226">
        <f>L699</f>
        <v>1</v>
      </c>
      <c r="M701" s="228">
        <f t="shared" si="113"/>
        <v>302207021</v>
      </c>
      <c r="N701" s="229">
        <v>1</v>
      </c>
      <c r="O701" s="229"/>
    </row>
    <row r="702" spans="1:15" x14ac:dyDescent="0.2">
      <c r="A702" s="226">
        <v>701</v>
      </c>
      <c r="B702" s="226" t="str">
        <f t="shared" si="112"/>
        <v>MAIN RESERVETANK SIZE 16LFK-5-1-121-5</v>
      </c>
      <c r="C702" s="226">
        <f t="shared" si="127"/>
        <v>1</v>
      </c>
      <c r="D702" s="226" t="s">
        <v>117</v>
      </c>
      <c r="E702" s="226" t="s">
        <v>47</v>
      </c>
      <c r="F702" s="226" t="s">
        <v>98</v>
      </c>
      <c r="G702" s="226">
        <f t="shared" si="126"/>
        <v>5</v>
      </c>
      <c r="H702" s="226" t="s">
        <v>16</v>
      </c>
      <c r="I702" s="227">
        <v>314207207</v>
      </c>
      <c r="J702" s="226" t="s">
        <v>102</v>
      </c>
      <c r="K702" s="226" t="s">
        <v>19</v>
      </c>
      <c r="L702" s="226">
        <f>L699</f>
        <v>1</v>
      </c>
      <c r="M702" s="228">
        <f t="shared" si="113"/>
        <v>314207207</v>
      </c>
      <c r="N702" s="229">
        <v>1</v>
      </c>
      <c r="O702" s="229"/>
    </row>
    <row r="703" spans="1:15" x14ac:dyDescent="0.2">
      <c r="A703" s="226">
        <v>702</v>
      </c>
      <c r="B703" s="226" t="str">
        <f t="shared" si="112"/>
        <v>MAIN RESERVETANK SIZE 16LFK-5-1-121-6</v>
      </c>
      <c r="C703" s="226">
        <f t="shared" si="127"/>
        <v>1</v>
      </c>
      <c r="D703" s="226" t="s">
        <v>117</v>
      </c>
      <c r="E703" s="226" t="s">
        <v>47</v>
      </c>
      <c r="F703" s="226" t="s">
        <v>98</v>
      </c>
      <c r="G703" s="226">
        <f t="shared" si="126"/>
        <v>6</v>
      </c>
      <c r="H703" s="226" t="s">
        <v>16</v>
      </c>
      <c r="I703" s="227">
        <v>570585</v>
      </c>
      <c r="J703" s="226" t="s">
        <v>26</v>
      </c>
      <c r="K703" s="226" t="s">
        <v>19</v>
      </c>
      <c r="L703" s="226">
        <f>L699</f>
        <v>1</v>
      </c>
      <c r="M703" s="228">
        <f t="shared" si="113"/>
        <v>570585</v>
      </c>
      <c r="N703" s="229">
        <v>1</v>
      </c>
      <c r="O703" s="229"/>
    </row>
    <row r="704" spans="1:15" x14ac:dyDescent="0.2">
      <c r="A704" s="226">
        <v>703</v>
      </c>
      <c r="B704" s="226" t="str">
        <f t="shared" si="112"/>
        <v>MAIN RESERVETANK SIZE 16LFK-5-1-121-7</v>
      </c>
      <c r="C704" s="226">
        <f t="shared" si="127"/>
        <v>1</v>
      </c>
      <c r="D704" s="226" t="s">
        <v>117</v>
      </c>
      <c r="E704" s="226" t="s">
        <v>47</v>
      </c>
      <c r="F704" s="226" t="s">
        <v>98</v>
      </c>
      <c r="G704" s="226">
        <f t="shared" si="126"/>
        <v>7</v>
      </c>
      <c r="H704" s="226" t="s">
        <v>16</v>
      </c>
      <c r="I704" s="227">
        <v>304205030</v>
      </c>
      <c r="J704" s="226" t="s">
        <v>27</v>
      </c>
      <c r="K704" s="226" t="s">
        <v>19</v>
      </c>
      <c r="L704" s="226">
        <v>1</v>
      </c>
      <c r="M704" s="228">
        <f t="shared" si="113"/>
        <v>304205030</v>
      </c>
      <c r="N704" s="229">
        <v>1</v>
      </c>
      <c r="O704" s="229"/>
    </row>
    <row r="705" spans="1:15" x14ac:dyDescent="0.2">
      <c r="A705" s="226">
        <v>704</v>
      </c>
      <c r="B705" s="226" t="str">
        <f t="shared" si="112"/>
        <v>MAIN RESERVETANK SIZE 16LFK-5-1-121-8</v>
      </c>
      <c r="C705" s="226">
        <f t="shared" si="127"/>
        <v>1</v>
      </c>
      <c r="D705" s="226" t="s">
        <v>117</v>
      </c>
      <c r="E705" s="226" t="s">
        <v>47</v>
      </c>
      <c r="F705" s="226" t="s">
        <v>98</v>
      </c>
      <c r="G705" s="226">
        <f t="shared" si="126"/>
        <v>8</v>
      </c>
      <c r="H705" s="226" t="s">
        <v>16</v>
      </c>
      <c r="I705" s="227" t="s">
        <v>28</v>
      </c>
      <c r="J705" s="226" t="s">
        <v>29</v>
      </c>
      <c r="K705" s="226" t="s">
        <v>19</v>
      </c>
      <c r="L705" s="226">
        <v>1</v>
      </c>
      <c r="M705" s="228" t="str">
        <f t="shared" si="113"/>
        <v>A1638150HY</v>
      </c>
      <c r="N705" s="229">
        <v>1</v>
      </c>
      <c r="O705" s="229"/>
    </row>
    <row r="706" spans="1:15" x14ac:dyDescent="0.2">
      <c r="A706" s="226">
        <v>705</v>
      </c>
      <c r="B706" s="226" t="str">
        <f t="shared" ref="B706:B801" si="128">D706&amp;E706&amp;F706&amp;C706&amp;"-"&amp;G706&amp;IF(M706&lt;&gt;"",O706,"")</f>
        <v>MAIN RESERVETANK SIZE 16LFK-5-1-121-9</v>
      </c>
      <c r="C706" s="226">
        <f t="shared" si="127"/>
        <v>1</v>
      </c>
      <c r="D706" s="226" t="s">
        <v>117</v>
      </c>
      <c r="E706" s="226" t="s">
        <v>47</v>
      </c>
      <c r="F706" s="226" t="s">
        <v>98</v>
      </c>
      <c r="G706" s="226">
        <f t="shared" si="126"/>
        <v>9</v>
      </c>
      <c r="H706" s="226" t="s">
        <v>16</v>
      </c>
      <c r="I706" s="227" t="s">
        <v>30</v>
      </c>
      <c r="J706" s="226" t="s">
        <v>31</v>
      </c>
      <c r="K706" s="226" t="s">
        <v>19</v>
      </c>
      <c r="L706" s="226">
        <f>L699*2</f>
        <v>2</v>
      </c>
      <c r="M706" s="228" t="str">
        <f t="shared" si="113"/>
        <v>570085-R2</v>
      </c>
      <c r="N706" s="229">
        <v>1</v>
      </c>
      <c r="O706" s="229"/>
    </row>
    <row r="707" spans="1:15" x14ac:dyDescent="0.2">
      <c r="A707" s="226">
        <v>706</v>
      </c>
      <c r="B707" s="226" t="str">
        <f t="shared" si="128"/>
        <v>MAIN RESERVETANK SIZE 16LFK-5-1-121-10</v>
      </c>
      <c r="C707" s="226">
        <f t="shared" si="127"/>
        <v>1</v>
      </c>
      <c r="D707" s="226" t="s">
        <v>117</v>
      </c>
      <c r="E707" s="226" t="s">
        <v>47</v>
      </c>
      <c r="F707" s="226" t="s">
        <v>98</v>
      </c>
      <c r="G707" s="226">
        <f t="shared" si="126"/>
        <v>10</v>
      </c>
      <c r="H707" s="226" t="s">
        <v>16</v>
      </c>
      <c r="I707" s="227">
        <v>76496</v>
      </c>
      <c r="J707" s="226" t="s">
        <v>118</v>
      </c>
      <c r="K707" s="226" t="s">
        <v>19</v>
      </c>
      <c r="L707" s="226">
        <v>1</v>
      </c>
      <c r="M707" s="228">
        <f t="shared" ref="M707:M802" si="129">I707</f>
        <v>76496</v>
      </c>
      <c r="N707" s="229">
        <v>1</v>
      </c>
      <c r="O707" s="229"/>
    </row>
    <row r="708" spans="1:15" x14ac:dyDescent="0.2">
      <c r="A708" s="226">
        <v>707</v>
      </c>
      <c r="B708" s="226" t="str">
        <f t="shared" si="128"/>
        <v>MAIN RESERVETANK SIZE 16LFK-5-1-121-11</v>
      </c>
      <c r="C708" s="226">
        <f t="shared" si="127"/>
        <v>1</v>
      </c>
      <c r="D708" s="226" t="s">
        <v>117</v>
      </c>
      <c r="E708" s="226" t="s">
        <v>47</v>
      </c>
      <c r="F708" s="226" t="s">
        <v>98</v>
      </c>
      <c r="G708" s="226">
        <f t="shared" si="126"/>
        <v>11</v>
      </c>
      <c r="H708" s="226" t="s">
        <v>16</v>
      </c>
      <c r="I708" s="227">
        <v>570566</v>
      </c>
      <c r="J708" s="226" t="s">
        <v>119</v>
      </c>
      <c r="K708" s="226" t="s">
        <v>19</v>
      </c>
      <c r="L708" s="226">
        <f>L699+L699</f>
        <v>2</v>
      </c>
      <c r="M708" s="228">
        <f t="shared" si="129"/>
        <v>570566</v>
      </c>
      <c r="N708" s="229">
        <v>1</v>
      </c>
      <c r="O708" s="229"/>
    </row>
    <row r="709" spans="1:15" x14ac:dyDescent="0.2">
      <c r="A709" s="226">
        <v>708</v>
      </c>
      <c r="B709" s="226" t="str">
        <f t="shared" si="128"/>
        <v>MAIN RESERVETANK SIZE 16LFK-5-1-121-12</v>
      </c>
      <c r="C709" s="226">
        <f t="shared" si="127"/>
        <v>1</v>
      </c>
      <c r="D709" s="226" t="s">
        <v>117</v>
      </c>
      <c r="E709" s="226" t="s">
        <v>47</v>
      </c>
      <c r="F709" s="226" t="s">
        <v>98</v>
      </c>
      <c r="G709" s="226">
        <f t="shared" si="126"/>
        <v>12</v>
      </c>
      <c r="H709" s="226" t="s">
        <v>16</v>
      </c>
      <c r="I709" s="227" t="s">
        <v>44</v>
      </c>
      <c r="J709" s="226" t="s">
        <v>45</v>
      </c>
      <c r="K709" s="226" t="s">
        <v>19</v>
      </c>
      <c r="L709" s="226">
        <f>L699+L699</f>
        <v>2</v>
      </c>
      <c r="M709" s="228" t="str">
        <f t="shared" si="129"/>
        <v>570539-R2</v>
      </c>
      <c r="N709" s="229">
        <v>1</v>
      </c>
      <c r="O709" s="229"/>
    </row>
    <row r="710" spans="1:15" x14ac:dyDescent="0.2">
      <c r="A710" s="226">
        <v>709</v>
      </c>
      <c r="B710" s="226" t="str">
        <f t="shared" si="128"/>
        <v>MAIN RESERVETANK SIZE 16LFK-5-1-121-13</v>
      </c>
      <c r="C710" s="226">
        <f t="shared" si="127"/>
        <v>1</v>
      </c>
      <c r="D710" s="226" t="s">
        <v>117</v>
      </c>
      <c r="E710" s="226" t="s">
        <v>47</v>
      </c>
      <c r="F710" s="226" t="s">
        <v>98</v>
      </c>
      <c r="G710" s="226">
        <f t="shared" si="126"/>
        <v>13</v>
      </c>
      <c r="N710" s="229">
        <v>1</v>
      </c>
      <c r="O710" s="229"/>
    </row>
    <row r="711" spans="1:15" x14ac:dyDescent="0.2">
      <c r="A711" s="226">
        <v>710</v>
      </c>
      <c r="B711" s="226" t="str">
        <f t="shared" si="128"/>
        <v>MAIN RESERVETANK SIZE 16LFK-5-1-121-14</v>
      </c>
      <c r="C711" s="226">
        <f t="shared" si="127"/>
        <v>1</v>
      </c>
      <c r="D711" s="226" t="s">
        <v>117</v>
      </c>
      <c r="E711" s="226" t="s">
        <v>47</v>
      </c>
      <c r="F711" s="226" t="s">
        <v>98</v>
      </c>
      <c r="G711" s="226">
        <f t="shared" si="126"/>
        <v>14</v>
      </c>
      <c r="H711" s="226" t="s">
        <v>16</v>
      </c>
      <c r="I711" s="227">
        <v>570550</v>
      </c>
      <c r="J711" s="226" t="s">
        <v>120</v>
      </c>
      <c r="K711" s="226" t="s">
        <v>19</v>
      </c>
      <c r="L711" s="226">
        <f>L699-1</f>
        <v>0</v>
      </c>
      <c r="M711" s="228">
        <f t="shared" ref="M711:M715" si="130">I711</f>
        <v>570550</v>
      </c>
      <c r="N711" s="229">
        <v>1</v>
      </c>
      <c r="O711" s="229"/>
    </row>
    <row r="712" spans="1:15" x14ac:dyDescent="0.2">
      <c r="A712" s="226">
        <v>711</v>
      </c>
      <c r="B712" s="226" t="str">
        <f t="shared" si="128"/>
        <v>MAIN RESERVETANK SIZE 16LFK-5-1-121-15</v>
      </c>
      <c r="C712" s="226">
        <f t="shared" si="127"/>
        <v>1</v>
      </c>
      <c r="D712" s="226" t="s">
        <v>117</v>
      </c>
      <c r="E712" s="226" t="s">
        <v>47</v>
      </c>
      <c r="F712" s="226" t="s">
        <v>98</v>
      </c>
      <c r="G712" s="226">
        <f t="shared" si="126"/>
        <v>15</v>
      </c>
      <c r="H712" s="226" t="s">
        <v>16</v>
      </c>
      <c r="I712" s="227">
        <v>32338</v>
      </c>
      <c r="J712" s="226" t="s">
        <v>42</v>
      </c>
      <c r="K712" s="226" t="s">
        <v>19</v>
      </c>
      <c r="L712" s="226">
        <f>IF(L699&gt;1,1,0)</f>
        <v>0</v>
      </c>
      <c r="M712" s="228">
        <f t="shared" si="130"/>
        <v>32338</v>
      </c>
      <c r="N712" s="229">
        <v>1</v>
      </c>
      <c r="O712" s="229"/>
    </row>
    <row r="713" spans="1:15" x14ac:dyDescent="0.2">
      <c r="A713" s="226">
        <v>712</v>
      </c>
      <c r="B713" s="226" t="str">
        <f t="shared" si="128"/>
        <v>MAIN RESERVETANK SIZE 16LFK-5-1-121-16</v>
      </c>
      <c r="C713" s="226">
        <f t="shared" si="127"/>
        <v>1</v>
      </c>
      <c r="D713" s="226" t="s">
        <v>117</v>
      </c>
      <c r="E713" s="226" t="s">
        <v>47</v>
      </c>
      <c r="F713" s="226" t="s">
        <v>98</v>
      </c>
      <c r="G713" s="226">
        <f t="shared" si="126"/>
        <v>16</v>
      </c>
      <c r="H713" s="226" t="s">
        <v>16</v>
      </c>
      <c r="I713" s="227">
        <v>31810</v>
      </c>
      <c r="J713" s="226" t="s">
        <v>121</v>
      </c>
      <c r="K713" s="226" t="s">
        <v>19</v>
      </c>
      <c r="L713" s="226">
        <f>IF(L699&gt;1,1,0)</f>
        <v>0</v>
      </c>
      <c r="M713" s="228">
        <f t="shared" si="130"/>
        <v>31810</v>
      </c>
      <c r="N713" s="229">
        <v>1</v>
      </c>
      <c r="O713" s="229"/>
    </row>
    <row r="714" spans="1:15" x14ac:dyDescent="0.2">
      <c r="A714" s="226">
        <v>713</v>
      </c>
      <c r="B714" s="226" t="str">
        <f t="shared" si="128"/>
        <v>MAIN RESERVETANK SIZE 16LFK-5-1-121-17</v>
      </c>
      <c r="C714" s="226">
        <f t="shared" si="127"/>
        <v>1</v>
      </c>
      <c r="D714" s="226" t="s">
        <v>117</v>
      </c>
      <c r="E714" s="226" t="s">
        <v>47</v>
      </c>
      <c r="F714" s="226" t="s">
        <v>98</v>
      </c>
      <c r="G714" s="226">
        <f t="shared" si="126"/>
        <v>17</v>
      </c>
      <c r="H714" s="226" t="s">
        <v>16</v>
      </c>
      <c r="I714" s="227">
        <v>32336</v>
      </c>
      <c r="J714" s="226" t="s">
        <v>122</v>
      </c>
      <c r="K714" s="226" t="s">
        <v>19</v>
      </c>
      <c r="L714" s="226">
        <f>L699-1</f>
        <v>0</v>
      </c>
      <c r="M714" s="228">
        <f t="shared" si="130"/>
        <v>32336</v>
      </c>
      <c r="N714" s="229">
        <v>1</v>
      </c>
      <c r="O714" s="229"/>
    </row>
    <row r="715" spans="1:15" x14ac:dyDescent="0.2">
      <c r="A715" s="226">
        <v>714</v>
      </c>
      <c r="B715" s="226" t="str">
        <f t="shared" si="128"/>
        <v>MAIN RESERVETANK SIZE 16LFK-5-1-121-18</v>
      </c>
      <c r="C715" s="226">
        <f t="shared" si="127"/>
        <v>1</v>
      </c>
      <c r="D715" s="226" t="s">
        <v>117</v>
      </c>
      <c r="E715" s="226" t="s">
        <v>47</v>
      </c>
      <c r="F715" s="226" t="s">
        <v>98</v>
      </c>
      <c r="G715" s="226">
        <f t="shared" si="126"/>
        <v>18</v>
      </c>
      <c r="H715" s="226" t="s">
        <v>16</v>
      </c>
      <c r="I715" s="227">
        <v>31811</v>
      </c>
      <c r="J715" s="226" t="s">
        <v>123</v>
      </c>
      <c r="K715" s="226" t="s">
        <v>19</v>
      </c>
      <c r="L715" s="226">
        <f>IF(L699&gt;1,L699-1,0)</f>
        <v>0</v>
      </c>
      <c r="M715" s="228">
        <f t="shared" si="130"/>
        <v>31811</v>
      </c>
      <c r="N715" s="229">
        <v>1</v>
      </c>
      <c r="O715" s="229"/>
    </row>
    <row r="716" spans="1:15" x14ac:dyDescent="0.2">
      <c r="A716" s="226">
        <v>715</v>
      </c>
      <c r="B716" s="226" t="str">
        <f t="shared" si="128"/>
        <v>-</v>
      </c>
      <c r="M716" s="228">
        <f t="shared" si="129"/>
        <v>0</v>
      </c>
      <c r="N716" s="229">
        <v>1</v>
      </c>
      <c r="O716" s="229"/>
    </row>
    <row r="717" spans="1:15" x14ac:dyDescent="0.2">
      <c r="A717" s="226">
        <v>716</v>
      </c>
      <c r="B717" s="226" t="str">
        <f t="shared" si="128"/>
        <v>MAIN RESERVETANK SIZE 32LFK-5-1-121-1</v>
      </c>
      <c r="C717" s="226">
        <f>L717</f>
        <v>1</v>
      </c>
      <c r="D717" s="226" t="s">
        <v>117</v>
      </c>
      <c r="E717" s="226" t="s">
        <v>52</v>
      </c>
      <c r="F717" s="226" t="s">
        <v>98</v>
      </c>
      <c r="G717" s="226">
        <v>1</v>
      </c>
      <c r="H717" s="226" t="s">
        <v>16</v>
      </c>
      <c r="I717" s="227" t="s">
        <v>17</v>
      </c>
      <c r="J717" s="226" t="s">
        <v>53</v>
      </c>
      <c r="K717" s="226" t="s">
        <v>19</v>
      </c>
      <c r="L717" s="226">
        <f>'COT AGENTES'!$H$3</f>
        <v>1</v>
      </c>
      <c r="M717" s="228" t="s">
        <v>54</v>
      </c>
      <c r="N717" s="229">
        <v>1</v>
      </c>
      <c r="O717" s="229"/>
    </row>
    <row r="718" spans="1:15" x14ac:dyDescent="0.2">
      <c r="A718" s="226">
        <v>717</v>
      </c>
      <c r="B718" s="226" t="str">
        <f t="shared" si="128"/>
        <v>MAIN RESERVETANK SIZE 32LFK-5-1-121-2</v>
      </c>
      <c r="C718" s="226">
        <f>C717</f>
        <v>1</v>
      </c>
      <c r="D718" s="226" t="s">
        <v>117</v>
      </c>
      <c r="E718" s="226" t="s">
        <v>52</v>
      </c>
      <c r="F718" s="226" t="s">
        <v>98</v>
      </c>
      <c r="G718" s="226">
        <f>+G717+1</f>
        <v>2</v>
      </c>
      <c r="H718" s="226" t="s">
        <v>16</v>
      </c>
      <c r="I718" s="227">
        <v>445734</v>
      </c>
      <c r="J718" s="226" t="s">
        <v>108</v>
      </c>
      <c r="K718" s="226" t="s">
        <v>19</v>
      </c>
      <c r="L718" s="226">
        <f>'COT AGENTES'!$H$3</f>
        <v>1</v>
      </c>
      <c r="M718" s="228">
        <f t="shared" si="129"/>
        <v>445734</v>
      </c>
      <c r="N718" s="229">
        <v>1</v>
      </c>
      <c r="O718" s="229"/>
    </row>
    <row r="719" spans="1:15" x14ac:dyDescent="0.2">
      <c r="A719" s="226">
        <v>718</v>
      </c>
      <c r="B719" s="226" t="str">
        <f t="shared" si="128"/>
        <v>MAIN RESERVETANK SIZE 32LFK-5-1-121-3</v>
      </c>
      <c r="C719" s="226">
        <f>C717</f>
        <v>1</v>
      </c>
      <c r="D719" s="226" t="s">
        <v>117</v>
      </c>
      <c r="E719" s="226" t="s">
        <v>52</v>
      </c>
      <c r="F719" s="226" t="s">
        <v>98</v>
      </c>
      <c r="G719" s="226">
        <f t="shared" ref="G719:G734" si="131">+G718+1</f>
        <v>3</v>
      </c>
      <c r="H719" s="226" t="s">
        <v>16</v>
      </c>
      <c r="I719" s="227" t="s">
        <v>98</v>
      </c>
      <c r="J719" s="226" t="s">
        <v>100</v>
      </c>
      <c r="K719" s="226" t="s">
        <v>19</v>
      </c>
      <c r="L719" s="230">
        <f>'COT AGENTES'!$H$5</f>
        <v>2</v>
      </c>
      <c r="M719" s="228" t="str">
        <f t="shared" si="129"/>
        <v>FK-5-1-12</v>
      </c>
      <c r="N719" s="229">
        <v>1</v>
      </c>
      <c r="O719" s="229"/>
    </row>
    <row r="720" spans="1:15" x14ac:dyDescent="0.2">
      <c r="A720" s="226">
        <v>719</v>
      </c>
      <c r="B720" s="226" t="str">
        <f t="shared" si="128"/>
        <v>MAIN RESERVETANK SIZE 32LFK-5-1-121-4</v>
      </c>
      <c r="C720" s="226">
        <f t="shared" ref="C720:C734" si="132">C718</f>
        <v>1</v>
      </c>
      <c r="D720" s="226" t="s">
        <v>117</v>
      </c>
      <c r="E720" s="226" t="s">
        <v>52</v>
      </c>
      <c r="F720" s="226" t="s">
        <v>98</v>
      </c>
      <c r="G720" s="226">
        <f t="shared" si="131"/>
        <v>4</v>
      </c>
      <c r="H720" s="226" t="s">
        <v>16</v>
      </c>
      <c r="I720" s="227">
        <v>302207021</v>
      </c>
      <c r="J720" s="226" t="s">
        <v>101</v>
      </c>
      <c r="K720" s="226" t="s">
        <v>19</v>
      </c>
      <c r="L720" s="226">
        <f>L718</f>
        <v>1</v>
      </c>
      <c r="M720" s="228">
        <f t="shared" si="129"/>
        <v>302207021</v>
      </c>
      <c r="N720" s="229">
        <v>1</v>
      </c>
      <c r="O720" s="229"/>
    </row>
    <row r="721" spans="1:15" x14ac:dyDescent="0.2">
      <c r="A721" s="226">
        <v>720</v>
      </c>
      <c r="B721" s="226" t="str">
        <f t="shared" si="128"/>
        <v>MAIN RESERVETANK SIZE 32LFK-5-1-121-5</v>
      </c>
      <c r="C721" s="226">
        <f t="shared" si="132"/>
        <v>1</v>
      </c>
      <c r="D721" s="226" t="s">
        <v>117</v>
      </c>
      <c r="E721" s="226" t="s">
        <v>52</v>
      </c>
      <c r="F721" s="226" t="s">
        <v>98</v>
      </c>
      <c r="G721" s="226">
        <f t="shared" si="131"/>
        <v>5</v>
      </c>
      <c r="H721" s="226" t="s">
        <v>16</v>
      </c>
      <c r="I721" s="227">
        <v>314207329</v>
      </c>
      <c r="J721" s="226" t="s">
        <v>109</v>
      </c>
      <c r="K721" s="226" t="s">
        <v>19</v>
      </c>
      <c r="L721" s="226">
        <f>L718</f>
        <v>1</v>
      </c>
      <c r="M721" s="228">
        <f t="shared" si="129"/>
        <v>314207329</v>
      </c>
      <c r="N721" s="229">
        <v>1</v>
      </c>
      <c r="O721" s="229"/>
    </row>
    <row r="722" spans="1:15" x14ac:dyDescent="0.2">
      <c r="A722" s="226">
        <v>721</v>
      </c>
      <c r="B722" s="226" t="str">
        <f t="shared" si="128"/>
        <v>MAIN RESERVETANK SIZE 32LFK-5-1-121-6</v>
      </c>
      <c r="C722" s="226">
        <f t="shared" si="132"/>
        <v>1</v>
      </c>
      <c r="D722" s="226" t="s">
        <v>117</v>
      </c>
      <c r="E722" s="226" t="s">
        <v>52</v>
      </c>
      <c r="F722" s="226" t="s">
        <v>98</v>
      </c>
      <c r="G722" s="226">
        <f t="shared" si="131"/>
        <v>6</v>
      </c>
      <c r="H722" s="226" t="s">
        <v>16</v>
      </c>
      <c r="I722" s="227">
        <v>570585</v>
      </c>
      <c r="J722" s="226" t="s">
        <v>26</v>
      </c>
      <c r="K722" s="226" t="s">
        <v>19</v>
      </c>
      <c r="L722" s="226">
        <f>L718</f>
        <v>1</v>
      </c>
      <c r="M722" s="228">
        <f t="shared" si="129"/>
        <v>570585</v>
      </c>
      <c r="N722" s="229">
        <v>1</v>
      </c>
      <c r="O722" s="229"/>
    </row>
    <row r="723" spans="1:15" x14ac:dyDescent="0.2">
      <c r="A723" s="226">
        <v>722</v>
      </c>
      <c r="B723" s="226" t="str">
        <f t="shared" si="128"/>
        <v>MAIN RESERVETANK SIZE 32LFK-5-1-121-7</v>
      </c>
      <c r="C723" s="226">
        <f t="shared" si="132"/>
        <v>1</v>
      </c>
      <c r="D723" s="226" t="s">
        <v>117</v>
      </c>
      <c r="E723" s="226" t="s">
        <v>52</v>
      </c>
      <c r="F723" s="226" t="s">
        <v>98</v>
      </c>
      <c r="G723" s="226">
        <f t="shared" si="131"/>
        <v>7</v>
      </c>
      <c r="H723" s="226" t="s">
        <v>16</v>
      </c>
      <c r="I723" s="227">
        <v>304205030</v>
      </c>
      <c r="J723" s="226" t="s">
        <v>27</v>
      </c>
      <c r="K723" s="226" t="s">
        <v>19</v>
      </c>
      <c r="L723" s="226">
        <v>1</v>
      </c>
      <c r="M723" s="228">
        <f t="shared" si="129"/>
        <v>304205030</v>
      </c>
      <c r="N723" s="229">
        <v>1</v>
      </c>
      <c r="O723" s="229"/>
    </row>
    <row r="724" spans="1:15" x14ac:dyDescent="0.2">
      <c r="A724" s="226">
        <v>723</v>
      </c>
      <c r="B724" s="226" t="str">
        <f t="shared" si="128"/>
        <v>MAIN RESERVETANK SIZE 32LFK-5-1-121-8</v>
      </c>
      <c r="C724" s="226">
        <f t="shared" si="132"/>
        <v>1</v>
      </c>
      <c r="D724" s="226" t="s">
        <v>117</v>
      </c>
      <c r="E724" s="226" t="s">
        <v>52</v>
      </c>
      <c r="F724" s="226" t="s">
        <v>98</v>
      </c>
      <c r="G724" s="226">
        <f t="shared" si="131"/>
        <v>8</v>
      </c>
      <c r="H724" s="226" t="s">
        <v>16</v>
      </c>
      <c r="I724" s="227" t="s">
        <v>28</v>
      </c>
      <c r="J724" s="226" t="s">
        <v>29</v>
      </c>
      <c r="K724" s="226" t="s">
        <v>19</v>
      </c>
      <c r="L724" s="226">
        <v>1</v>
      </c>
      <c r="M724" s="228" t="str">
        <f t="shared" si="129"/>
        <v>A1638150HY</v>
      </c>
      <c r="N724" s="229">
        <v>1</v>
      </c>
      <c r="O724" s="229"/>
    </row>
    <row r="725" spans="1:15" x14ac:dyDescent="0.2">
      <c r="A725" s="226">
        <v>724</v>
      </c>
      <c r="B725" s="226" t="str">
        <f t="shared" si="128"/>
        <v>MAIN RESERVETANK SIZE 32LFK-5-1-121-9</v>
      </c>
      <c r="C725" s="226">
        <f t="shared" si="132"/>
        <v>1</v>
      </c>
      <c r="D725" s="226" t="s">
        <v>117</v>
      </c>
      <c r="E725" s="226" t="s">
        <v>52</v>
      </c>
      <c r="F725" s="226" t="s">
        <v>98</v>
      </c>
      <c r="G725" s="226">
        <f t="shared" si="131"/>
        <v>9</v>
      </c>
      <c r="H725" s="226" t="s">
        <v>16</v>
      </c>
      <c r="I725" s="227" t="s">
        <v>30</v>
      </c>
      <c r="J725" s="226" t="s">
        <v>31</v>
      </c>
      <c r="K725" s="226" t="s">
        <v>19</v>
      </c>
      <c r="L725" s="226">
        <f>L718*2</f>
        <v>2</v>
      </c>
      <c r="M725" s="228" t="str">
        <f t="shared" si="129"/>
        <v>570085-R2</v>
      </c>
      <c r="N725" s="229">
        <v>1</v>
      </c>
      <c r="O725" s="229"/>
    </row>
    <row r="726" spans="1:15" x14ac:dyDescent="0.2">
      <c r="A726" s="226">
        <v>725</v>
      </c>
      <c r="B726" s="226" t="str">
        <f t="shared" si="128"/>
        <v>MAIN RESERVETANK SIZE 32LFK-5-1-121-10</v>
      </c>
      <c r="C726" s="226">
        <f t="shared" si="132"/>
        <v>1</v>
      </c>
      <c r="D726" s="226" t="s">
        <v>117</v>
      </c>
      <c r="E726" s="226" t="s">
        <v>52</v>
      </c>
      <c r="F726" s="226" t="s">
        <v>98</v>
      </c>
      <c r="G726" s="226">
        <f t="shared" si="131"/>
        <v>10</v>
      </c>
      <c r="H726" s="226" t="s">
        <v>16</v>
      </c>
      <c r="I726" s="227">
        <v>76496</v>
      </c>
      <c r="J726" s="226" t="s">
        <v>118</v>
      </c>
      <c r="K726" s="226" t="s">
        <v>19</v>
      </c>
      <c r="L726" s="226">
        <v>1</v>
      </c>
      <c r="M726" s="228">
        <f t="shared" si="129"/>
        <v>76496</v>
      </c>
      <c r="N726" s="229">
        <v>1</v>
      </c>
      <c r="O726" s="229"/>
    </row>
    <row r="727" spans="1:15" x14ac:dyDescent="0.2">
      <c r="A727" s="226">
        <v>726</v>
      </c>
      <c r="B727" s="226" t="str">
        <f t="shared" si="128"/>
        <v>MAIN RESERVETANK SIZE 32LFK-5-1-121-11</v>
      </c>
      <c r="C727" s="226">
        <f t="shared" si="132"/>
        <v>1</v>
      </c>
      <c r="D727" s="226" t="s">
        <v>117</v>
      </c>
      <c r="E727" s="226" t="s">
        <v>52</v>
      </c>
      <c r="F727" s="226" t="s">
        <v>98</v>
      </c>
      <c r="G727" s="226">
        <f t="shared" si="131"/>
        <v>11</v>
      </c>
      <c r="H727" s="226" t="s">
        <v>16</v>
      </c>
      <c r="I727" s="227">
        <v>570566</v>
      </c>
      <c r="J727" s="226" t="s">
        <v>119</v>
      </c>
      <c r="K727" s="226" t="s">
        <v>19</v>
      </c>
      <c r="L727" s="226">
        <f>L718+L718</f>
        <v>2</v>
      </c>
      <c r="M727" s="228">
        <f t="shared" si="129"/>
        <v>570566</v>
      </c>
      <c r="N727" s="229">
        <v>1</v>
      </c>
      <c r="O727" s="229"/>
    </row>
    <row r="728" spans="1:15" x14ac:dyDescent="0.2">
      <c r="A728" s="226">
        <v>727</v>
      </c>
      <c r="B728" s="226" t="str">
        <f t="shared" si="128"/>
        <v>MAIN RESERVETANK SIZE 32LFK-5-1-121-12</v>
      </c>
      <c r="C728" s="226">
        <f t="shared" si="132"/>
        <v>1</v>
      </c>
      <c r="D728" s="226" t="s">
        <v>117</v>
      </c>
      <c r="E728" s="226" t="s">
        <v>52</v>
      </c>
      <c r="F728" s="226" t="s">
        <v>98</v>
      </c>
      <c r="G728" s="226">
        <f t="shared" si="131"/>
        <v>12</v>
      </c>
      <c r="H728" s="226" t="s">
        <v>16</v>
      </c>
      <c r="I728" s="227" t="s">
        <v>44</v>
      </c>
      <c r="J728" s="226" t="s">
        <v>45</v>
      </c>
      <c r="K728" s="226" t="s">
        <v>19</v>
      </c>
      <c r="L728" s="226">
        <f>L718+L718</f>
        <v>2</v>
      </c>
      <c r="M728" s="228" t="str">
        <f t="shared" si="129"/>
        <v>570539-R2</v>
      </c>
      <c r="N728" s="229">
        <v>1</v>
      </c>
      <c r="O728" s="229"/>
    </row>
    <row r="729" spans="1:15" x14ac:dyDescent="0.2">
      <c r="A729" s="226">
        <v>728</v>
      </c>
      <c r="B729" s="226" t="str">
        <f t="shared" si="128"/>
        <v>MAIN RESERVETANK SIZE 32LFK-5-1-121-13</v>
      </c>
      <c r="C729" s="226">
        <f t="shared" si="132"/>
        <v>1</v>
      </c>
      <c r="D729" s="226" t="s">
        <v>117</v>
      </c>
      <c r="E729" s="226" t="s">
        <v>52</v>
      </c>
      <c r="F729" s="226" t="s">
        <v>98</v>
      </c>
      <c r="G729" s="226">
        <f t="shared" si="131"/>
        <v>13</v>
      </c>
      <c r="N729" s="229">
        <v>1</v>
      </c>
      <c r="O729" s="229"/>
    </row>
    <row r="730" spans="1:15" x14ac:dyDescent="0.2">
      <c r="A730" s="226">
        <v>729</v>
      </c>
      <c r="B730" s="226" t="str">
        <f t="shared" si="128"/>
        <v>MAIN RESERVETANK SIZE 32LFK-5-1-121-14</v>
      </c>
      <c r="C730" s="226">
        <f t="shared" si="132"/>
        <v>1</v>
      </c>
      <c r="D730" s="226" t="s">
        <v>117</v>
      </c>
      <c r="E730" s="226" t="s">
        <v>52</v>
      </c>
      <c r="F730" s="226" t="s">
        <v>98</v>
      </c>
      <c r="G730" s="226">
        <f t="shared" si="131"/>
        <v>14</v>
      </c>
      <c r="H730" s="226" t="s">
        <v>16</v>
      </c>
      <c r="I730" s="227">
        <v>570550</v>
      </c>
      <c r="J730" s="226" t="s">
        <v>120</v>
      </c>
      <c r="K730" s="226" t="s">
        <v>19</v>
      </c>
      <c r="L730" s="226">
        <f>L718-1</f>
        <v>0</v>
      </c>
      <c r="M730" s="228">
        <f t="shared" ref="M730:M734" si="133">I730</f>
        <v>570550</v>
      </c>
      <c r="N730" s="229">
        <v>1</v>
      </c>
      <c r="O730" s="229"/>
    </row>
    <row r="731" spans="1:15" x14ac:dyDescent="0.2">
      <c r="A731" s="226">
        <v>730</v>
      </c>
      <c r="B731" s="226" t="str">
        <f t="shared" si="128"/>
        <v>MAIN RESERVETANK SIZE 32LFK-5-1-121-15</v>
      </c>
      <c r="C731" s="226">
        <f t="shared" si="132"/>
        <v>1</v>
      </c>
      <c r="D731" s="226" t="s">
        <v>117</v>
      </c>
      <c r="E731" s="226" t="s">
        <v>52</v>
      </c>
      <c r="F731" s="226" t="s">
        <v>98</v>
      </c>
      <c r="G731" s="226">
        <f t="shared" si="131"/>
        <v>15</v>
      </c>
      <c r="H731" s="226" t="s">
        <v>16</v>
      </c>
      <c r="I731" s="227">
        <v>32338</v>
      </c>
      <c r="J731" s="226" t="s">
        <v>42</v>
      </c>
      <c r="K731" s="226" t="s">
        <v>19</v>
      </c>
      <c r="L731" s="226">
        <f>IF(L718&gt;1,1,0)</f>
        <v>0</v>
      </c>
      <c r="M731" s="228">
        <f t="shared" si="133"/>
        <v>32338</v>
      </c>
      <c r="N731" s="229">
        <v>1</v>
      </c>
      <c r="O731" s="229"/>
    </row>
    <row r="732" spans="1:15" x14ac:dyDescent="0.2">
      <c r="A732" s="226">
        <v>731</v>
      </c>
      <c r="B732" s="226" t="str">
        <f t="shared" si="128"/>
        <v>MAIN RESERVETANK SIZE 32LFK-5-1-121-16</v>
      </c>
      <c r="C732" s="226">
        <f t="shared" si="132"/>
        <v>1</v>
      </c>
      <c r="D732" s="226" t="s">
        <v>117</v>
      </c>
      <c r="E732" s="226" t="s">
        <v>52</v>
      </c>
      <c r="F732" s="226" t="s">
        <v>98</v>
      </c>
      <c r="G732" s="226">
        <f t="shared" si="131"/>
        <v>16</v>
      </c>
      <c r="H732" s="226" t="s">
        <v>16</v>
      </c>
      <c r="I732" s="227">
        <v>31810</v>
      </c>
      <c r="J732" s="226" t="s">
        <v>121</v>
      </c>
      <c r="K732" s="226" t="s">
        <v>19</v>
      </c>
      <c r="L732" s="226">
        <f>IF(L718&gt;1,1,0)</f>
        <v>0</v>
      </c>
      <c r="M732" s="228">
        <f t="shared" si="133"/>
        <v>31810</v>
      </c>
      <c r="N732" s="229">
        <v>1</v>
      </c>
      <c r="O732" s="229"/>
    </row>
    <row r="733" spans="1:15" x14ac:dyDescent="0.2">
      <c r="A733" s="226">
        <v>732</v>
      </c>
      <c r="B733" s="226" t="str">
        <f t="shared" si="128"/>
        <v>MAIN RESERVETANK SIZE 32LFK-5-1-121-17</v>
      </c>
      <c r="C733" s="226">
        <f t="shared" si="132"/>
        <v>1</v>
      </c>
      <c r="D733" s="226" t="s">
        <v>117</v>
      </c>
      <c r="E733" s="226" t="s">
        <v>52</v>
      </c>
      <c r="F733" s="226" t="s">
        <v>98</v>
      </c>
      <c r="G733" s="226">
        <f t="shared" si="131"/>
        <v>17</v>
      </c>
      <c r="H733" s="226" t="s">
        <v>16</v>
      </c>
      <c r="I733" s="227">
        <v>32336</v>
      </c>
      <c r="J733" s="226" t="s">
        <v>122</v>
      </c>
      <c r="K733" s="226" t="s">
        <v>19</v>
      </c>
      <c r="L733" s="226">
        <f>L718-1</f>
        <v>0</v>
      </c>
      <c r="M733" s="228">
        <f t="shared" si="133"/>
        <v>32336</v>
      </c>
      <c r="N733" s="229">
        <v>1</v>
      </c>
      <c r="O733" s="229"/>
    </row>
    <row r="734" spans="1:15" x14ac:dyDescent="0.2">
      <c r="A734" s="226">
        <v>733</v>
      </c>
      <c r="B734" s="226" t="str">
        <f t="shared" si="128"/>
        <v>MAIN RESERVETANK SIZE 32LFK-5-1-121-18</v>
      </c>
      <c r="C734" s="226">
        <f t="shared" si="132"/>
        <v>1</v>
      </c>
      <c r="D734" s="226" t="s">
        <v>117</v>
      </c>
      <c r="E734" s="226" t="s">
        <v>52</v>
      </c>
      <c r="F734" s="226" t="s">
        <v>98</v>
      </c>
      <c r="G734" s="226">
        <f t="shared" si="131"/>
        <v>18</v>
      </c>
      <c r="H734" s="226" t="s">
        <v>16</v>
      </c>
      <c r="I734" s="227">
        <v>31811</v>
      </c>
      <c r="J734" s="226" t="s">
        <v>123</v>
      </c>
      <c r="K734" s="226" t="s">
        <v>19</v>
      </c>
      <c r="L734" s="226">
        <f>IF(L718&gt;1,L718-1,0)</f>
        <v>0</v>
      </c>
      <c r="M734" s="228">
        <f t="shared" si="133"/>
        <v>31811</v>
      </c>
      <c r="N734" s="229">
        <v>1</v>
      </c>
      <c r="O734" s="229"/>
    </row>
    <row r="735" spans="1:15" x14ac:dyDescent="0.2">
      <c r="A735" s="226">
        <v>734</v>
      </c>
      <c r="B735" s="226" t="str">
        <f t="shared" si="128"/>
        <v>-</v>
      </c>
      <c r="M735" s="228">
        <f t="shared" si="129"/>
        <v>0</v>
      </c>
      <c r="N735" s="229">
        <v>1</v>
      </c>
      <c r="O735" s="229"/>
    </row>
    <row r="736" spans="1:15" x14ac:dyDescent="0.2">
      <c r="A736" s="226">
        <v>735</v>
      </c>
      <c r="B736" s="226" t="str">
        <f t="shared" si="128"/>
        <v>MAIN RESERVETANK SIZE 52LFK-5-1-121-1</v>
      </c>
      <c r="C736" s="226">
        <f>L736</f>
        <v>1</v>
      </c>
      <c r="D736" s="226" t="s">
        <v>117</v>
      </c>
      <c r="E736" s="226" t="s">
        <v>58</v>
      </c>
      <c r="F736" s="226" t="s">
        <v>98</v>
      </c>
      <c r="G736" s="226">
        <v>1</v>
      </c>
      <c r="H736" s="226" t="s">
        <v>16</v>
      </c>
      <c r="I736" s="227" t="s">
        <v>17</v>
      </c>
      <c r="J736" s="226" t="s">
        <v>59</v>
      </c>
      <c r="K736" s="226" t="s">
        <v>19</v>
      </c>
      <c r="L736" s="226">
        <f>'COT AGENTES'!$H$3</f>
        <v>1</v>
      </c>
      <c r="M736" s="228" t="s">
        <v>60</v>
      </c>
      <c r="N736" s="229">
        <v>1</v>
      </c>
      <c r="O736" s="229"/>
    </row>
    <row r="737" spans="1:15" x14ac:dyDescent="0.2">
      <c r="A737" s="226">
        <v>736</v>
      </c>
      <c r="B737" s="226" t="str">
        <f t="shared" si="128"/>
        <v>MAIN RESERVETANK SIZE 52LFK-5-1-121-2</v>
      </c>
      <c r="C737" s="226">
        <f>C736</f>
        <v>1</v>
      </c>
      <c r="D737" s="226" t="s">
        <v>117</v>
      </c>
      <c r="E737" s="226" t="s">
        <v>58</v>
      </c>
      <c r="F737" s="226" t="s">
        <v>98</v>
      </c>
      <c r="G737" s="226">
        <f>+G736+1</f>
        <v>2</v>
      </c>
      <c r="H737" s="226" t="s">
        <v>16</v>
      </c>
      <c r="I737" s="227">
        <v>445735</v>
      </c>
      <c r="J737" s="226" t="s">
        <v>110</v>
      </c>
      <c r="K737" s="226" t="s">
        <v>19</v>
      </c>
      <c r="L737" s="226">
        <f>'COT AGENTES'!$H$3</f>
        <v>1</v>
      </c>
      <c r="M737" s="228">
        <f t="shared" si="129"/>
        <v>445735</v>
      </c>
      <c r="N737" s="229">
        <v>1</v>
      </c>
      <c r="O737" s="229"/>
    </row>
    <row r="738" spans="1:15" x14ac:dyDescent="0.2">
      <c r="A738" s="226">
        <v>737</v>
      </c>
      <c r="B738" s="226" t="str">
        <f t="shared" si="128"/>
        <v>MAIN RESERVETANK SIZE 52LFK-5-1-121-3</v>
      </c>
      <c r="C738" s="226">
        <f>C736</f>
        <v>1</v>
      </c>
      <c r="D738" s="226" t="s">
        <v>117</v>
      </c>
      <c r="E738" s="226" t="s">
        <v>58</v>
      </c>
      <c r="F738" s="226" t="s">
        <v>98</v>
      </c>
      <c r="G738" s="226">
        <f t="shared" ref="G738:G753" si="134">+G737+1</f>
        <v>3</v>
      </c>
      <c r="H738" s="226" t="s">
        <v>16</v>
      </c>
      <c r="I738" s="227" t="s">
        <v>98</v>
      </c>
      <c r="J738" s="226" t="s">
        <v>100</v>
      </c>
      <c r="K738" s="226" t="s">
        <v>19</v>
      </c>
      <c r="L738" s="230">
        <f>'COT AGENTES'!$H$5</f>
        <v>2</v>
      </c>
      <c r="M738" s="228" t="str">
        <f t="shared" si="129"/>
        <v>FK-5-1-12</v>
      </c>
      <c r="N738" s="229">
        <v>1</v>
      </c>
      <c r="O738" s="229"/>
    </row>
    <row r="739" spans="1:15" x14ac:dyDescent="0.2">
      <c r="A739" s="226">
        <v>738</v>
      </c>
      <c r="B739" s="226" t="str">
        <f t="shared" si="128"/>
        <v>MAIN RESERVETANK SIZE 52LFK-5-1-121-4</v>
      </c>
      <c r="C739" s="226">
        <f t="shared" ref="C739:C753" si="135">C737</f>
        <v>1</v>
      </c>
      <c r="D739" s="226" t="s">
        <v>117</v>
      </c>
      <c r="E739" s="226" t="s">
        <v>58</v>
      </c>
      <c r="F739" s="226" t="s">
        <v>98</v>
      </c>
      <c r="G739" s="226">
        <f t="shared" si="134"/>
        <v>4</v>
      </c>
      <c r="H739" s="226" t="s">
        <v>16</v>
      </c>
      <c r="I739" s="227">
        <v>302207021</v>
      </c>
      <c r="J739" s="226" t="s">
        <v>101</v>
      </c>
      <c r="K739" s="226" t="s">
        <v>19</v>
      </c>
      <c r="L739" s="226">
        <f>L737</f>
        <v>1</v>
      </c>
      <c r="M739" s="228">
        <f t="shared" si="129"/>
        <v>302207021</v>
      </c>
      <c r="N739" s="229">
        <v>1</v>
      </c>
      <c r="O739" s="229"/>
    </row>
    <row r="740" spans="1:15" x14ac:dyDescent="0.2">
      <c r="A740" s="226">
        <v>739</v>
      </c>
      <c r="B740" s="226" t="str">
        <f t="shared" si="128"/>
        <v>MAIN RESERVETANK SIZE 52LFK-5-1-121-5</v>
      </c>
      <c r="C740" s="226">
        <f t="shared" si="135"/>
        <v>1</v>
      </c>
      <c r="D740" s="226" t="s">
        <v>117</v>
      </c>
      <c r="E740" s="226" t="s">
        <v>58</v>
      </c>
      <c r="F740" s="226" t="s">
        <v>98</v>
      </c>
      <c r="G740" s="226">
        <f t="shared" si="134"/>
        <v>5</v>
      </c>
      <c r="H740" s="226" t="s">
        <v>16</v>
      </c>
      <c r="I740" s="227">
        <v>314207207</v>
      </c>
      <c r="J740" s="226" t="s">
        <v>102</v>
      </c>
      <c r="K740" s="226" t="s">
        <v>19</v>
      </c>
      <c r="L740" s="226">
        <f>L737</f>
        <v>1</v>
      </c>
      <c r="M740" s="228">
        <f t="shared" si="129"/>
        <v>314207207</v>
      </c>
      <c r="N740" s="229">
        <v>1</v>
      </c>
      <c r="O740" s="229"/>
    </row>
    <row r="741" spans="1:15" x14ac:dyDescent="0.2">
      <c r="A741" s="226">
        <v>740</v>
      </c>
      <c r="B741" s="226" t="str">
        <f t="shared" si="128"/>
        <v>MAIN RESERVETANK SIZE 52LFK-5-1-121-6</v>
      </c>
      <c r="C741" s="226">
        <f t="shared" si="135"/>
        <v>1</v>
      </c>
      <c r="D741" s="226" t="s">
        <v>117</v>
      </c>
      <c r="E741" s="226" t="s">
        <v>58</v>
      </c>
      <c r="F741" s="226" t="s">
        <v>98</v>
      </c>
      <c r="G741" s="226">
        <f t="shared" si="134"/>
        <v>6</v>
      </c>
      <c r="H741" s="226" t="s">
        <v>16</v>
      </c>
      <c r="I741" s="227">
        <v>570585</v>
      </c>
      <c r="J741" s="226" t="s">
        <v>26</v>
      </c>
      <c r="K741" s="226" t="s">
        <v>19</v>
      </c>
      <c r="L741" s="226">
        <f>L737</f>
        <v>1</v>
      </c>
      <c r="M741" s="228">
        <f t="shared" si="129"/>
        <v>570585</v>
      </c>
      <c r="N741" s="229">
        <v>1</v>
      </c>
      <c r="O741" s="229"/>
    </row>
    <row r="742" spans="1:15" x14ac:dyDescent="0.2">
      <c r="A742" s="226">
        <v>741</v>
      </c>
      <c r="B742" s="226" t="str">
        <f t="shared" si="128"/>
        <v>MAIN RESERVETANK SIZE 52LFK-5-1-121-7</v>
      </c>
      <c r="C742" s="226">
        <f t="shared" si="135"/>
        <v>1</v>
      </c>
      <c r="D742" s="226" t="s">
        <v>117</v>
      </c>
      <c r="E742" s="226" t="s">
        <v>58</v>
      </c>
      <c r="F742" s="226" t="s">
        <v>98</v>
      </c>
      <c r="G742" s="226">
        <f t="shared" si="134"/>
        <v>7</v>
      </c>
      <c r="H742" s="226" t="s">
        <v>16</v>
      </c>
      <c r="I742" s="227">
        <v>304205030</v>
      </c>
      <c r="J742" s="226" t="s">
        <v>27</v>
      </c>
      <c r="K742" s="226" t="s">
        <v>19</v>
      </c>
      <c r="L742" s="226">
        <v>1</v>
      </c>
      <c r="M742" s="228">
        <f t="shared" si="129"/>
        <v>304205030</v>
      </c>
      <c r="N742" s="229">
        <v>1</v>
      </c>
      <c r="O742" s="229"/>
    </row>
    <row r="743" spans="1:15" x14ac:dyDescent="0.2">
      <c r="A743" s="226">
        <v>742</v>
      </c>
      <c r="B743" s="226" t="str">
        <f t="shared" si="128"/>
        <v>MAIN RESERVETANK SIZE 52LFK-5-1-121-8</v>
      </c>
      <c r="C743" s="226">
        <f t="shared" si="135"/>
        <v>1</v>
      </c>
      <c r="D743" s="226" t="s">
        <v>117</v>
      </c>
      <c r="E743" s="226" t="s">
        <v>58</v>
      </c>
      <c r="F743" s="226" t="s">
        <v>98</v>
      </c>
      <c r="G743" s="226">
        <f t="shared" si="134"/>
        <v>8</v>
      </c>
      <c r="H743" s="226" t="s">
        <v>16</v>
      </c>
      <c r="I743" s="227" t="s">
        <v>28</v>
      </c>
      <c r="J743" s="226" t="s">
        <v>29</v>
      </c>
      <c r="K743" s="226" t="s">
        <v>19</v>
      </c>
      <c r="L743" s="226">
        <v>1</v>
      </c>
      <c r="M743" s="228" t="str">
        <f t="shared" si="129"/>
        <v>A1638150HY</v>
      </c>
      <c r="N743" s="229">
        <v>1</v>
      </c>
      <c r="O743" s="229"/>
    </row>
    <row r="744" spans="1:15" x14ac:dyDescent="0.2">
      <c r="A744" s="226">
        <v>743</v>
      </c>
      <c r="B744" s="226" t="str">
        <f t="shared" si="128"/>
        <v>MAIN RESERVETANK SIZE 52LFK-5-1-121-9</v>
      </c>
      <c r="C744" s="226">
        <f t="shared" si="135"/>
        <v>1</v>
      </c>
      <c r="D744" s="226" t="s">
        <v>117</v>
      </c>
      <c r="E744" s="226" t="s">
        <v>58</v>
      </c>
      <c r="F744" s="226" t="s">
        <v>98</v>
      </c>
      <c r="G744" s="226">
        <f t="shared" si="134"/>
        <v>9</v>
      </c>
      <c r="H744" s="226" t="s">
        <v>16</v>
      </c>
      <c r="I744" s="227" t="s">
        <v>62</v>
      </c>
      <c r="J744" s="226" t="s">
        <v>63</v>
      </c>
      <c r="K744" s="226" t="s">
        <v>19</v>
      </c>
      <c r="L744" s="226">
        <f>L737*2</f>
        <v>2</v>
      </c>
      <c r="M744" s="228" t="str">
        <f t="shared" si="129"/>
        <v>570092-R2</v>
      </c>
      <c r="N744" s="229">
        <v>1</v>
      </c>
      <c r="O744" s="229"/>
    </row>
    <row r="745" spans="1:15" x14ac:dyDescent="0.2">
      <c r="A745" s="226">
        <v>744</v>
      </c>
      <c r="B745" s="226" t="str">
        <f t="shared" si="128"/>
        <v>MAIN RESERVETANK SIZE 52LFK-5-1-121-10</v>
      </c>
      <c r="C745" s="226">
        <f t="shared" si="135"/>
        <v>1</v>
      </c>
      <c r="D745" s="226" t="s">
        <v>117</v>
      </c>
      <c r="E745" s="226" t="s">
        <v>58</v>
      </c>
      <c r="F745" s="226" t="s">
        <v>98</v>
      </c>
      <c r="G745" s="226">
        <f t="shared" si="134"/>
        <v>10</v>
      </c>
      <c r="H745" s="226" t="s">
        <v>16</v>
      </c>
      <c r="I745" s="227">
        <v>76496</v>
      </c>
      <c r="J745" s="226" t="s">
        <v>118</v>
      </c>
      <c r="K745" s="226" t="s">
        <v>19</v>
      </c>
      <c r="L745" s="226">
        <v>1</v>
      </c>
      <c r="M745" s="228">
        <f t="shared" si="129"/>
        <v>76496</v>
      </c>
      <c r="N745" s="229">
        <v>1</v>
      </c>
      <c r="O745" s="229"/>
    </row>
    <row r="746" spans="1:15" x14ac:dyDescent="0.2">
      <c r="A746" s="226">
        <v>745</v>
      </c>
      <c r="B746" s="226" t="str">
        <f t="shared" si="128"/>
        <v>MAIN RESERVETANK SIZE 52LFK-5-1-121-11</v>
      </c>
      <c r="C746" s="226">
        <f t="shared" si="135"/>
        <v>1</v>
      </c>
      <c r="D746" s="226" t="s">
        <v>117</v>
      </c>
      <c r="E746" s="226" t="s">
        <v>58</v>
      </c>
      <c r="F746" s="226" t="s">
        <v>98</v>
      </c>
      <c r="G746" s="226">
        <f t="shared" si="134"/>
        <v>11</v>
      </c>
      <c r="H746" s="226" t="s">
        <v>16</v>
      </c>
      <c r="I746" s="227">
        <v>570568</v>
      </c>
      <c r="J746" s="226" t="s">
        <v>124</v>
      </c>
      <c r="K746" s="226" t="s">
        <v>19</v>
      </c>
      <c r="L746" s="226">
        <f>L737+L737</f>
        <v>2</v>
      </c>
      <c r="M746" s="228">
        <f t="shared" si="129"/>
        <v>570568</v>
      </c>
      <c r="N746" s="229">
        <v>1</v>
      </c>
      <c r="O746" s="229"/>
    </row>
    <row r="747" spans="1:15" x14ac:dyDescent="0.2">
      <c r="A747" s="226">
        <v>746</v>
      </c>
      <c r="B747" s="226" t="str">
        <f t="shared" si="128"/>
        <v>MAIN RESERVETANK SIZE 52LFK-5-1-121-12</v>
      </c>
      <c r="C747" s="226">
        <f t="shared" si="135"/>
        <v>1</v>
      </c>
      <c r="D747" s="226" t="s">
        <v>117</v>
      </c>
      <c r="E747" s="226" t="s">
        <v>58</v>
      </c>
      <c r="F747" s="226" t="s">
        <v>98</v>
      </c>
      <c r="G747" s="226">
        <f t="shared" si="134"/>
        <v>12</v>
      </c>
      <c r="H747" s="226" t="s">
        <v>16</v>
      </c>
      <c r="I747" s="227" t="s">
        <v>67</v>
      </c>
      <c r="J747" s="226" t="s">
        <v>68</v>
      </c>
      <c r="K747" s="226" t="s">
        <v>19</v>
      </c>
      <c r="L747" s="226">
        <f>L737+L737</f>
        <v>2</v>
      </c>
      <c r="M747" s="228" t="str">
        <f t="shared" si="129"/>
        <v>570538-R2</v>
      </c>
      <c r="N747" s="229">
        <v>1</v>
      </c>
      <c r="O747" s="229"/>
    </row>
    <row r="748" spans="1:15" x14ac:dyDescent="0.2">
      <c r="A748" s="226">
        <v>747</v>
      </c>
      <c r="B748" s="226" t="str">
        <f t="shared" si="128"/>
        <v>MAIN RESERVETANK SIZE 52LFK-5-1-121-13</v>
      </c>
      <c r="C748" s="226">
        <f t="shared" si="135"/>
        <v>1</v>
      </c>
      <c r="D748" s="226" t="s">
        <v>117</v>
      </c>
      <c r="E748" s="226" t="s">
        <v>58</v>
      </c>
      <c r="F748" s="226" t="s">
        <v>98</v>
      </c>
      <c r="G748" s="226">
        <f t="shared" si="134"/>
        <v>13</v>
      </c>
      <c r="N748" s="229">
        <v>1</v>
      </c>
      <c r="O748" s="229"/>
    </row>
    <row r="749" spans="1:15" x14ac:dyDescent="0.2">
      <c r="A749" s="226">
        <v>748</v>
      </c>
      <c r="B749" s="226" t="str">
        <f t="shared" si="128"/>
        <v>MAIN RESERVETANK SIZE 52LFK-5-1-121-14</v>
      </c>
      <c r="C749" s="226">
        <f t="shared" si="135"/>
        <v>1</v>
      </c>
      <c r="D749" s="226" t="s">
        <v>117</v>
      </c>
      <c r="E749" s="226" t="s">
        <v>58</v>
      </c>
      <c r="F749" s="226" t="s">
        <v>98</v>
      </c>
      <c r="G749" s="226">
        <f t="shared" si="134"/>
        <v>14</v>
      </c>
      <c r="H749" s="226" t="s">
        <v>16</v>
      </c>
      <c r="I749" s="227">
        <v>570550</v>
      </c>
      <c r="J749" s="226" t="s">
        <v>120</v>
      </c>
      <c r="K749" s="226" t="s">
        <v>19</v>
      </c>
      <c r="L749" s="226">
        <f>L737-1</f>
        <v>0</v>
      </c>
      <c r="M749" s="228">
        <f t="shared" ref="M749:M753" si="136">I749</f>
        <v>570550</v>
      </c>
      <c r="N749" s="229">
        <v>1</v>
      </c>
      <c r="O749" s="229"/>
    </row>
    <row r="750" spans="1:15" x14ac:dyDescent="0.2">
      <c r="A750" s="226">
        <v>749</v>
      </c>
      <c r="B750" s="226" t="str">
        <f t="shared" si="128"/>
        <v>MAIN RESERVETANK SIZE 52LFK-5-1-121-15</v>
      </c>
      <c r="C750" s="226">
        <f t="shared" si="135"/>
        <v>1</v>
      </c>
      <c r="D750" s="226" t="s">
        <v>117</v>
      </c>
      <c r="E750" s="226" t="s">
        <v>58</v>
      </c>
      <c r="F750" s="226" t="s">
        <v>98</v>
      </c>
      <c r="G750" s="226">
        <f t="shared" si="134"/>
        <v>15</v>
      </c>
      <c r="H750" s="226" t="s">
        <v>16</v>
      </c>
      <c r="I750" s="227">
        <v>32338</v>
      </c>
      <c r="J750" s="226" t="s">
        <v>42</v>
      </c>
      <c r="K750" s="226" t="s">
        <v>19</v>
      </c>
      <c r="L750" s="226">
        <f>IF(L737&gt;1,1,0)</f>
        <v>0</v>
      </c>
      <c r="M750" s="228">
        <f t="shared" si="136"/>
        <v>32338</v>
      </c>
      <c r="N750" s="229">
        <v>1</v>
      </c>
      <c r="O750" s="229"/>
    </row>
    <row r="751" spans="1:15" x14ac:dyDescent="0.2">
      <c r="A751" s="226">
        <v>750</v>
      </c>
      <c r="B751" s="226" t="str">
        <f t="shared" si="128"/>
        <v>MAIN RESERVETANK SIZE 52LFK-5-1-121-16</v>
      </c>
      <c r="C751" s="226">
        <f t="shared" si="135"/>
        <v>1</v>
      </c>
      <c r="D751" s="226" t="s">
        <v>117</v>
      </c>
      <c r="E751" s="226" t="s">
        <v>58</v>
      </c>
      <c r="F751" s="226" t="s">
        <v>98</v>
      </c>
      <c r="G751" s="226">
        <f t="shared" si="134"/>
        <v>16</v>
      </c>
      <c r="H751" s="226" t="s">
        <v>16</v>
      </c>
      <c r="I751" s="227">
        <v>31810</v>
      </c>
      <c r="J751" s="226" t="s">
        <v>121</v>
      </c>
      <c r="K751" s="226" t="s">
        <v>19</v>
      </c>
      <c r="L751" s="226">
        <f>IF(L737&gt;1,1,0)</f>
        <v>0</v>
      </c>
      <c r="M751" s="228">
        <f t="shared" si="136"/>
        <v>31810</v>
      </c>
      <c r="N751" s="229">
        <v>1</v>
      </c>
      <c r="O751" s="229"/>
    </row>
    <row r="752" spans="1:15" x14ac:dyDescent="0.2">
      <c r="A752" s="226">
        <v>751</v>
      </c>
      <c r="B752" s="226" t="str">
        <f t="shared" si="128"/>
        <v>MAIN RESERVETANK SIZE 52LFK-5-1-121-17</v>
      </c>
      <c r="C752" s="226">
        <f t="shared" si="135"/>
        <v>1</v>
      </c>
      <c r="D752" s="226" t="s">
        <v>117</v>
      </c>
      <c r="E752" s="226" t="s">
        <v>58</v>
      </c>
      <c r="F752" s="226" t="s">
        <v>98</v>
      </c>
      <c r="G752" s="226">
        <f t="shared" si="134"/>
        <v>17</v>
      </c>
      <c r="H752" s="226" t="s">
        <v>16</v>
      </c>
      <c r="I752" s="227">
        <v>32336</v>
      </c>
      <c r="J752" s="226" t="s">
        <v>122</v>
      </c>
      <c r="K752" s="226" t="s">
        <v>19</v>
      </c>
      <c r="L752" s="226">
        <f>L737-1</f>
        <v>0</v>
      </c>
      <c r="M752" s="228">
        <f t="shared" si="136"/>
        <v>32336</v>
      </c>
      <c r="N752" s="229">
        <v>1</v>
      </c>
      <c r="O752" s="229"/>
    </row>
    <row r="753" spans="1:15" x14ac:dyDescent="0.2">
      <c r="A753" s="226">
        <v>752</v>
      </c>
      <c r="B753" s="226" t="str">
        <f t="shared" si="128"/>
        <v>MAIN RESERVETANK SIZE 52LFK-5-1-121-18</v>
      </c>
      <c r="C753" s="226">
        <f t="shared" si="135"/>
        <v>1</v>
      </c>
      <c r="D753" s="226" t="s">
        <v>117</v>
      </c>
      <c r="E753" s="226" t="s">
        <v>58</v>
      </c>
      <c r="F753" s="226" t="s">
        <v>98</v>
      </c>
      <c r="G753" s="226">
        <f t="shared" si="134"/>
        <v>18</v>
      </c>
      <c r="H753" s="226" t="s">
        <v>16</v>
      </c>
      <c r="I753" s="227">
        <v>31811</v>
      </c>
      <c r="J753" s="226" t="s">
        <v>123</v>
      </c>
      <c r="K753" s="226" t="s">
        <v>19</v>
      </c>
      <c r="L753" s="226">
        <f>IF(L737&gt;1,L737-1,0)</f>
        <v>0</v>
      </c>
      <c r="M753" s="228">
        <f t="shared" si="136"/>
        <v>31811</v>
      </c>
      <c r="N753" s="229">
        <v>1</v>
      </c>
      <c r="O753" s="229"/>
    </row>
    <row r="754" spans="1:15" x14ac:dyDescent="0.2">
      <c r="A754" s="226">
        <v>753</v>
      </c>
      <c r="B754" s="226" t="str">
        <f t="shared" si="128"/>
        <v>-</v>
      </c>
      <c r="M754" s="228">
        <f t="shared" si="129"/>
        <v>0</v>
      </c>
      <c r="N754" s="229">
        <v>1</v>
      </c>
      <c r="O754" s="229"/>
    </row>
    <row r="755" spans="1:15" x14ac:dyDescent="0.2">
      <c r="A755" s="226">
        <v>754</v>
      </c>
      <c r="B755" s="226" t="str">
        <f t="shared" si="128"/>
        <v>MAIN RESERVETANK SIZE 106LFK-5-1-121-1</v>
      </c>
      <c r="C755" s="226">
        <f>L755</f>
        <v>1</v>
      </c>
      <c r="D755" s="226" t="s">
        <v>117</v>
      </c>
      <c r="E755" s="226" t="s">
        <v>69</v>
      </c>
      <c r="F755" s="226" t="s">
        <v>98</v>
      </c>
      <c r="G755" s="226">
        <v>1</v>
      </c>
      <c r="H755" s="226" t="s">
        <v>16</v>
      </c>
      <c r="I755" s="227" t="s">
        <v>17</v>
      </c>
      <c r="J755" s="226" t="s">
        <v>70</v>
      </c>
      <c r="K755" s="226" t="s">
        <v>19</v>
      </c>
      <c r="L755" s="226">
        <f>'COT AGENTES'!$H$3</f>
        <v>1</v>
      </c>
      <c r="M755" s="228" t="s">
        <v>71</v>
      </c>
      <c r="N755" s="229">
        <v>1</v>
      </c>
      <c r="O755" s="229"/>
    </row>
    <row r="756" spans="1:15" x14ac:dyDescent="0.2">
      <c r="A756" s="226">
        <v>755</v>
      </c>
      <c r="B756" s="226" t="str">
        <f t="shared" si="128"/>
        <v>MAIN RESERVETANK SIZE 106LFK-5-1-121-2</v>
      </c>
      <c r="C756" s="226">
        <f>C755</f>
        <v>1</v>
      </c>
      <c r="D756" s="226" t="s">
        <v>117</v>
      </c>
      <c r="E756" s="226" t="s">
        <v>69</v>
      </c>
      <c r="F756" s="226" t="s">
        <v>98</v>
      </c>
      <c r="G756" s="226">
        <f>+G755+1</f>
        <v>2</v>
      </c>
      <c r="H756" s="226" t="s">
        <v>16</v>
      </c>
      <c r="I756" s="227">
        <v>445736</v>
      </c>
      <c r="J756" s="226" t="s">
        <v>111</v>
      </c>
      <c r="K756" s="226" t="s">
        <v>19</v>
      </c>
      <c r="L756" s="226">
        <f>'COT AGENTES'!$H$3</f>
        <v>1</v>
      </c>
      <c r="M756" s="228">
        <f t="shared" si="129"/>
        <v>445736</v>
      </c>
      <c r="N756" s="229">
        <v>1</v>
      </c>
      <c r="O756" s="229"/>
    </row>
    <row r="757" spans="1:15" x14ac:dyDescent="0.2">
      <c r="A757" s="226">
        <v>756</v>
      </c>
      <c r="B757" s="226" t="str">
        <f t="shared" si="128"/>
        <v>MAIN RESERVETANK SIZE 106LFK-5-1-121-3</v>
      </c>
      <c r="C757" s="226">
        <f>C755</f>
        <v>1</v>
      </c>
      <c r="D757" s="226" t="s">
        <v>117</v>
      </c>
      <c r="E757" s="226" t="s">
        <v>69</v>
      </c>
      <c r="F757" s="226" t="s">
        <v>98</v>
      </c>
      <c r="G757" s="226">
        <f t="shared" ref="G757:G774" si="137">+G756+1</f>
        <v>3</v>
      </c>
      <c r="H757" s="226" t="s">
        <v>16</v>
      </c>
      <c r="I757" s="227" t="s">
        <v>98</v>
      </c>
      <c r="J757" s="226" t="s">
        <v>100</v>
      </c>
      <c r="K757" s="226" t="s">
        <v>19</v>
      </c>
      <c r="L757" s="230">
        <f>'COT AGENTES'!$H$5</f>
        <v>2</v>
      </c>
      <c r="M757" s="228" t="str">
        <f t="shared" si="129"/>
        <v>FK-5-1-12</v>
      </c>
      <c r="N757" s="229">
        <v>1</v>
      </c>
      <c r="O757" s="229"/>
    </row>
    <row r="758" spans="1:15" x14ac:dyDescent="0.2">
      <c r="A758" s="226">
        <v>757</v>
      </c>
      <c r="B758" s="226" t="str">
        <f t="shared" si="128"/>
        <v>MAIN RESERVETANK SIZE 106LFK-5-1-121-4</v>
      </c>
      <c r="C758" s="226">
        <f t="shared" ref="C758:C774" si="138">C756</f>
        <v>1</v>
      </c>
      <c r="D758" s="226" t="s">
        <v>117</v>
      </c>
      <c r="E758" s="226" t="s">
        <v>69</v>
      </c>
      <c r="F758" s="226" t="s">
        <v>98</v>
      </c>
      <c r="G758" s="226">
        <f t="shared" si="137"/>
        <v>4</v>
      </c>
      <c r="H758" s="226" t="s">
        <v>16</v>
      </c>
      <c r="I758" s="227">
        <v>302207021</v>
      </c>
      <c r="J758" s="226" t="s">
        <v>101</v>
      </c>
      <c r="K758" s="226" t="s">
        <v>19</v>
      </c>
      <c r="L758" s="226">
        <f>L756</f>
        <v>1</v>
      </c>
      <c r="M758" s="228">
        <f t="shared" si="129"/>
        <v>302207021</v>
      </c>
      <c r="N758" s="229">
        <v>1</v>
      </c>
      <c r="O758" s="229"/>
    </row>
    <row r="759" spans="1:15" x14ac:dyDescent="0.2">
      <c r="A759" s="226">
        <v>758</v>
      </c>
      <c r="B759" s="226" t="str">
        <f t="shared" si="128"/>
        <v>MAIN RESERVETANK SIZE 106LFK-5-1-121-5</v>
      </c>
      <c r="C759" s="226">
        <f t="shared" si="138"/>
        <v>1</v>
      </c>
      <c r="D759" s="226" t="s">
        <v>117</v>
      </c>
      <c r="E759" s="226" t="s">
        <v>69</v>
      </c>
      <c r="F759" s="226" t="s">
        <v>98</v>
      </c>
      <c r="G759" s="226">
        <f t="shared" si="137"/>
        <v>5</v>
      </c>
      <c r="H759" s="226" t="s">
        <v>16</v>
      </c>
      <c r="I759" s="227">
        <v>314207329</v>
      </c>
      <c r="J759" s="226" t="s">
        <v>109</v>
      </c>
      <c r="K759" s="226" t="s">
        <v>19</v>
      </c>
      <c r="L759" s="226">
        <f>L756</f>
        <v>1</v>
      </c>
      <c r="M759" s="228">
        <f t="shared" si="129"/>
        <v>314207329</v>
      </c>
      <c r="N759" s="229">
        <v>1</v>
      </c>
      <c r="O759" s="229"/>
    </row>
    <row r="760" spans="1:15" x14ac:dyDescent="0.2">
      <c r="A760" s="226">
        <v>759</v>
      </c>
      <c r="B760" s="226" t="str">
        <f t="shared" si="128"/>
        <v>MAIN RESERVETANK SIZE 106LFK-5-1-121-6</v>
      </c>
      <c r="C760" s="226">
        <f t="shared" si="138"/>
        <v>1</v>
      </c>
      <c r="D760" s="226" t="s">
        <v>117</v>
      </c>
      <c r="E760" s="226" t="s">
        <v>69</v>
      </c>
      <c r="F760" s="226" t="s">
        <v>98</v>
      </c>
      <c r="G760" s="226">
        <f t="shared" si="137"/>
        <v>6</v>
      </c>
      <c r="H760" s="226" t="s">
        <v>16</v>
      </c>
      <c r="I760" s="227">
        <v>570585</v>
      </c>
      <c r="J760" s="226" t="s">
        <v>26</v>
      </c>
      <c r="K760" s="226" t="s">
        <v>19</v>
      </c>
      <c r="L760" s="226">
        <f>L756</f>
        <v>1</v>
      </c>
      <c r="M760" s="228">
        <f t="shared" si="129"/>
        <v>570585</v>
      </c>
      <c r="N760" s="229">
        <v>1</v>
      </c>
      <c r="O760" s="229"/>
    </row>
    <row r="761" spans="1:15" x14ac:dyDescent="0.2">
      <c r="A761" s="226">
        <v>760</v>
      </c>
      <c r="B761" s="226" t="str">
        <f t="shared" si="128"/>
        <v>MAIN RESERVETANK SIZE 106LFK-5-1-121-7</v>
      </c>
      <c r="C761" s="226">
        <f t="shared" si="138"/>
        <v>1</v>
      </c>
      <c r="D761" s="226" t="s">
        <v>117</v>
      </c>
      <c r="E761" s="226" t="s">
        <v>69</v>
      </c>
      <c r="F761" s="226" t="s">
        <v>98</v>
      </c>
      <c r="G761" s="226">
        <f t="shared" si="137"/>
        <v>7</v>
      </c>
      <c r="H761" s="226" t="s">
        <v>16</v>
      </c>
      <c r="I761" s="227">
        <v>304205030</v>
      </c>
      <c r="J761" s="226" t="s">
        <v>27</v>
      </c>
      <c r="K761" s="226" t="s">
        <v>19</v>
      </c>
      <c r="L761" s="226">
        <v>1</v>
      </c>
      <c r="M761" s="228">
        <f t="shared" si="129"/>
        <v>304205030</v>
      </c>
      <c r="N761" s="229">
        <v>1</v>
      </c>
      <c r="O761" s="229"/>
    </row>
    <row r="762" spans="1:15" x14ac:dyDescent="0.2">
      <c r="A762" s="226">
        <v>761</v>
      </c>
      <c r="B762" s="226" t="str">
        <f t="shared" si="128"/>
        <v>MAIN RESERVETANK SIZE 106LFK-5-1-121-8</v>
      </c>
      <c r="C762" s="226">
        <f t="shared" si="138"/>
        <v>1</v>
      </c>
      <c r="D762" s="226" t="s">
        <v>117</v>
      </c>
      <c r="E762" s="226" t="s">
        <v>69</v>
      </c>
      <c r="F762" s="226" t="s">
        <v>98</v>
      </c>
      <c r="G762" s="226">
        <f t="shared" si="137"/>
        <v>8</v>
      </c>
      <c r="H762" s="226" t="s">
        <v>16</v>
      </c>
      <c r="I762" s="227" t="s">
        <v>28</v>
      </c>
      <c r="J762" s="226" t="s">
        <v>29</v>
      </c>
      <c r="K762" s="226" t="s">
        <v>19</v>
      </c>
      <c r="L762" s="226">
        <v>1</v>
      </c>
      <c r="M762" s="228" t="str">
        <f t="shared" si="129"/>
        <v>A1638150HY</v>
      </c>
      <c r="N762" s="229">
        <v>1</v>
      </c>
      <c r="O762" s="229"/>
    </row>
    <row r="763" spans="1:15" x14ac:dyDescent="0.2">
      <c r="A763" s="226">
        <v>762</v>
      </c>
      <c r="B763" s="226" t="str">
        <f t="shared" si="128"/>
        <v>MAIN RESERVETANK SIZE 106LFK-5-1-121-9</v>
      </c>
      <c r="C763" s="226">
        <f t="shared" si="138"/>
        <v>1</v>
      </c>
      <c r="D763" s="226" t="s">
        <v>117</v>
      </c>
      <c r="E763" s="226" t="s">
        <v>69</v>
      </c>
      <c r="F763" s="226" t="s">
        <v>98</v>
      </c>
      <c r="G763" s="226">
        <f t="shared" si="137"/>
        <v>9</v>
      </c>
      <c r="H763" s="226" t="s">
        <v>16</v>
      </c>
      <c r="I763" s="227" t="s">
        <v>62</v>
      </c>
      <c r="J763" s="226" t="s">
        <v>63</v>
      </c>
      <c r="K763" s="226" t="s">
        <v>19</v>
      </c>
      <c r="L763" s="226">
        <f>L756*2</f>
        <v>2</v>
      </c>
      <c r="M763" s="228" t="str">
        <f t="shared" si="129"/>
        <v>570092-R2</v>
      </c>
      <c r="N763" s="229">
        <v>1</v>
      </c>
      <c r="O763" s="229"/>
    </row>
    <row r="764" spans="1:15" x14ac:dyDescent="0.2">
      <c r="A764" s="226">
        <v>763</v>
      </c>
      <c r="B764" s="226" t="str">
        <f t="shared" si="128"/>
        <v>MAIN RESERVETANK SIZE 106LFK-5-1-121-10</v>
      </c>
      <c r="C764" s="226">
        <f t="shared" si="138"/>
        <v>1</v>
      </c>
      <c r="D764" s="226" t="s">
        <v>117</v>
      </c>
      <c r="E764" s="226" t="s">
        <v>69</v>
      </c>
      <c r="F764" s="226" t="s">
        <v>98</v>
      </c>
      <c r="G764" s="226">
        <f t="shared" si="137"/>
        <v>10</v>
      </c>
      <c r="H764" s="226" t="s">
        <v>16</v>
      </c>
      <c r="I764" s="227">
        <v>76496</v>
      </c>
      <c r="J764" s="226" t="s">
        <v>118</v>
      </c>
      <c r="K764" s="226" t="s">
        <v>19</v>
      </c>
      <c r="L764" s="226">
        <v>1</v>
      </c>
      <c r="M764" s="228">
        <f t="shared" si="129"/>
        <v>76496</v>
      </c>
      <c r="N764" s="229">
        <v>1</v>
      </c>
      <c r="O764" s="229"/>
    </row>
    <row r="765" spans="1:15" x14ac:dyDescent="0.2">
      <c r="A765" s="226">
        <v>764</v>
      </c>
      <c r="B765" s="226" t="str">
        <f t="shared" si="128"/>
        <v>MAIN RESERVETANK SIZE 106LFK-5-1-121-11</v>
      </c>
      <c r="C765" s="226">
        <f t="shared" si="138"/>
        <v>1</v>
      </c>
      <c r="D765" s="226" t="s">
        <v>117</v>
      </c>
      <c r="E765" s="226" t="s">
        <v>69</v>
      </c>
      <c r="F765" s="226" t="s">
        <v>98</v>
      </c>
      <c r="G765" s="226">
        <f t="shared" si="137"/>
        <v>11</v>
      </c>
      <c r="H765" s="226" t="s">
        <v>16</v>
      </c>
      <c r="I765" s="227">
        <v>570568</v>
      </c>
      <c r="J765" s="226" t="s">
        <v>124</v>
      </c>
      <c r="K765" s="226" t="s">
        <v>19</v>
      </c>
      <c r="L765" s="226">
        <f>L756+L756</f>
        <v>2</v>
      </c>
      <c r="M765" s="228">
        <f t="shared" si="129"/>
        <v>570568</v>
      </c>
      <c r="N765" s="229">
        <v>1</v>
      </c>
      <c r="O765" s="229"/>
    </row>
    <row r="766" spans="1:15" x14ac:dyDescent="0.2">
      <c r="A766" s="226">
        <v>765</v>
      </c>
      <c r="B766" s="226" t="str">
        <f t="shared" si="128"/>
        <v>MAIN RESERVETANK SIZE 106LFK-5-1-121-12</v>
      </c>
      <c r="C766" s="226">
        <f t="shared" si="138"/>
        <v>1</v>
      </c>
      <c r="D766" s="226" t="s">
        <v>117</v>
      </c>
      <c r="E766" s="226" t="s">
        <v>69</v>
      </c>
      <c r="F766" s="226" t="s">
        <v>98</v>
      </c>
      <c r="G766" s="226">
        <f t="shared" si="137"/>
        <v>12</v>
      </c>
      <c r="H766" s="226" t="s">
        <v>16</v>
      </c>
      <c r="I766" s="227" t="s">
        <v>67</v>
      </c>
      <c r="J766" s="226" t="s">
        <v>68</v>
      </c>
      <c r="K766" s="226" t="s">
        <v>19</v>
      </c>
      <c r="L766" s="226">
        <f>L756+L756</f>
        <v>2</v>
      </c>
      <c r="M766" s="228" t="str">
        <f t="shared" si="129"/>
        <v>570538-R2</v>
      </c>
      <c r="N766" s="229">
        <v>1</v>
      </c>
      <c r="O766" s="229"/>
    </row>
    <row r="767" spans="1:15" x14ac:dyDescent="0.2">
      <c r="A767" s="226">
        <v>766</v>
      </c>
      <c r="B767" s="226" t="str">
        <f t="shared" si="128"/>
        <v>MAIN RESERVETANK SIZE 106LFK-5-1-121-13</v>
      </c>
      <c r="C767" s="226">
        <f t="shared" si="138"/>
        <v>1</v>
      </c>
      <c r="D767" s="226" t="s">
        <v>117</v>
      </c>
      <c r="E767" s="226" t="s">
        <v>69</v>
      </c>
      <c r="F767" s="226" t="s">
        <v>98</v>
      </c>
      <c r="G767" s="226">
        <f t="shared" si="137"/>
        <v>13</v>
      </c>
      <c r="N767" s="229">
        <v>1</v>
      </c>
      <c r="O767" s="229"/>
    </row>
    <row r="768" spans="1:15" x14ac:dyDescent="0.2">
      <c r="A768" s="226">
        <v>767</v>
      </c>
      <c r="B768" s="226" t="str">
        <f t="shared" si="128"/>
        <v>MAIN RESERVETANK SIZE 106LFK-5-1-121-14</v>
      </c>
      <c r="C768" s="226">
        <f t="shared" si="138"/>
        <v>1</v>
      </c>
      <c r="D768" s="226" t="s">
        <v>117</v>
      </c>
      <c r="E768" s="226" t="s">
        <v>69</v>
      </c>
      <c r="F768" s="226" t="s">
        <v>98</v>
      </c>
      <c r="G768" s="226">
        <f t="shared" si="137"/>
        <v>14</v>
      </c>
      <c r="H768" s="226" t="s">
        <v>16</v>
      </c>
      <c r="I768" s="227">
        <v>570550</v>
      </c>
      <c r="J768" s="226" t="s">
        <v>120</v>
      </c>
      <c r="K768" s="226" t="s">
        <v>19</v>
      </c>
      <c r="L768" s="226">
        <f>L756-1</f>
        <v>0</v>
      </c>
      <c r="M768" s="228">
        <f t="shared" ref="M768:M772" si="139">I768</f>
        <v>570550</v>
      </c>
      <c r="N768" s="229">
        <v>1</v>
      </c>
      <c r="O768" s="229"/>
    </row>
    <row r="769" spans="1:15" x14ac:dyDescent="0.2">
      <c r="A769" s="226">
        <v>768</v>
      </c>
      <c r="B769" s="226" t="str">
        <f t="shared" si="128"/>
        <v>MAIN RESERVETANK SIZE 106LFK-5-1-121-15</v>
      </c>
      <c r="C769" s="226">
        <f t="shared" si="138"/>
        <v>1</v>
      </c>
      <c r="D769" s="226" t="s">
        <v>117</v>
      </c>
      <c r="E769" s="226" t="s">
        <v>69</v>
      </c>
      <c r="F769" s="226" t="s">
        <v>98</v>
      </c>
      <c r="G769" s="226">
        <f t="shared" si="137"/>
        <v>15</v>
      </c>
      <c r="H769" s="226" t="s">
        <v>16</v>
      </c>
      <c r="I769" s="227">
        <v>32338</v>
      </c>
      <c r="J769" s="226" t="s">
        <v>42</v>
      </c>
      <c r="K769" s="226" t="s">
        <v>19</v>
      </c>
      <c r="L769" s="226">
        <f>IF(L756&gt;1,1,0)</f>
        <v>0</v>
      </c>
      <c r="M769" s="228">
        <f t="shared" si="139"/>
        <v>32338</v>
      </c>
      <c r="N769" s="229">
        <v>1</v>
      </c>
      <c r="O769" s="229"/>
    </row>
    <row r="770" spans="1:15" x14ac:dyDescent="0.2">
      <c r="A770" s="226">
        <v>769</v>
      </c>
      <c r="B770" s="226" t="str">
        <f t="shared" si="128"/>
        <v>MAIN RESERVETANK SIZE 106LFK-5-1-121-16</v>
      </c>
      <c r="C770" s="226">
        <f t="shared" si="138"/>
        <v>1</v>
      </c>
      <c r="D770" s="226" t="s">
        <v>117</v>
      </c>
      <c r="E770" s="226" t="s">
        <v>69</v>
      </c>
      <c r="F770" s="226" t="s">
        <v>98</v>
      </c>
      <c r="G770" s="226">
        <f t="shared" si="137"/>
        <v>16</v>
      </c>
      <c r="H770" s="226" t="s">
        <v>16</v>
      </c>
      <c r="I770" s="227">
        <v>31810</v>
      </c>
      <c r="J770" s="226" t="s">
        <v>121</v>
      </c>
      <c r="K770" s="226" t="s">
        <v>19</v>
      </c>
      <c r="L770" s="226">
        <f>IF(L756&gt;1,1,0)</f>
        <v>0</v>
      </c>
      <c r="M770" s="228">
        <f t="shared" si="139"/>
        <v>31810</v>
      </c>
      <c r="N770" s="229">
        <v>1</v>
      </c>
      <c r="O770" s="229"/>
    </row>
    <row r="771" spans="1:15" x14ac:dyDescent="0.2">
      <c r="A771" s="226">
        <v>770</v>
      </c>
      <c r="B771" s="226" t="str">
        <f t="shared" si="128"/>
        <v>MAIN RESERVETANK SIZE 106LFK-5-1-121-17</v>
      </c>
      <c r="C771" s="226">
        <f t="shared" si="138"/>
        <v>1</v>
      </c>
      <c r="D771" s="226" t="s">
        <v>117</v>
      </c>
      <c r="E771" s="226" t="s">
        <v>69</v>
      </c>
      <c r="F771" s="226" t="s">
        <v>98</v>
      </c>
      <c r="G771" s="226">
        <f t="shared" si="137"/>
        <v>17</v>
      </c>
      <c r="H771" s="226" t="s">
        <v>16</v>
      </c>
      <c r="I771" s="227">
        <v>32336</v>
      </c>
      <c r="J771" s="226" t="s">
        <v>122</v>
      </c>
      <c r="K771" s="226" t="s">
        <v>19</v>
      </c>
      <c r="L771" s="226">
        <f>L756-1</f>
        <v>0</v>
      </c>
      <c r="M771" s="228">
        <f t="shared" si="139"/>
        <v>32336</v>
      </c>
      <c r="N771" s="229">
        <v>1</v>
      </c>
      <c r="O771" s="229"/>
    </row>
    <row r="772" spans="1:15" x14ac:dyDescent="0.2">
      <c r="A772" s="226">
        <v>771</v>
      </c>
      <c r="B772" s="226" t="str">
        <f t="shared" si="128"/>
        <v>MAIN RESERVETANK SIZE 106LFK-5-1-121-18</v>
      </c>
      <c r="C772" s="226">
        <f t="shared" si="138"/>
        <v>1</v>
      </c>
      <c r="D772" s="226" t="s">
        <v>117</v>
      </c>
      <c r="E772" s="226" t="s">
        <v>69</v>
      </c>
      <c r="F772" s="226" t="s">
        <v>98</v>
      </c>
      <c r="G772" s="226">
        <f t="shared" si="137"/>
        <v>18</v>
      </c>
      <c r="H772" s="226" t="s">
        <v>16</v>
      </c>
      <c r="I772" s="227">
        <v>31811</v>
      </c>
      <c r="J772" s="226" t="s">
        <v>123</v>
      </c>
      <c r="K772" s="226" t="s">
        <v>19</v>
      </c>
      <c r="L772" s="226">
        <f>IF(L756&gt;1,L756-1,0)</f>
        <v>0</v>
      </c>
      <c r="M772" s="228">
        <f t="shared" si="139"/>
        <v>31811</v>
      </c>
      <c r="N772" s="229">
        <v>1</v>
      </c>
      <c r="O772" s="229"/>
    </row>
    <row r="773" spans="1:15" x14ac:dyDescent="0.2">
      <c r="A773" s="226">
        <v>772</v>
      </c>
      <c r="B773" s="226" t="str">
        <f t="shared" si="128"/>
        <v>MAIN RESERVETANK SIZE 106LFK-5-1-121-19</v>
      </c>
      <c r="C773" s="226">
        <f t="shared" si="138"/>
        <v>1</v>
      </c>
      <c r="D773" s="226" t="s">
        <v>117</v>
      </c>
      <c r="E773" s="226" t="s">
        <v>69</v>
      </c>
      <c r="F773" s="226" t="s">
        <v>98</v>
      </c>
      <c r="G773" s="226">
        <f t="shared" si="137"/>
        <v>19</v>
      </c>
      <c r="N773" s="229">
        <v>1</v>
      </c>
      <c r="O773" s="229"/>
    </row>
    <row r="774" spans="1:15" x14ac:dyDescent="0.2">
      <c r="A774" s="226">
        <v>773</v>
      </c>
      <c r="B774" s="226" t="str">
        <f t="shared" si="128"/>
        <v>MAIN RESERVETANK SIZE 106LFK-5-1-121-20</v>
      </c>
      <c r="C774" s="226">
        <f t="shared" si="138"/>
        <v>1</v>
      </c>
      <c r="D774" s="226" t="s">
        <v>117</v>
      </c>
      <c r="E774" s="226" t="s">
        <v>69</v>
      </c>
      <c r="F774" s="226" t="s">
        <v>98</v>
      </c>
      <c r="G774" s="226">
        <f t="shared" si="137"/>
        <v>20</v>
      </c>
      <c r="H774" s="226" t="s">
        <v>16</v>
      </c>
      <c r="I774" s="227">
        <v>570277</v>
      </c>
      <c r="J774" s="226" t="s">
        <v>74</v>
      </c>
      <c r="K774" s="226" t="s">
        <v>19</v>
      </c>
      <c r="L774" s="226">
        <f>L756</f>
        <v>1</v>
      </c>
      <c r="M774" s="228">
        <f t="shared" ref="M774" si="140">I774</f>
        <v>570277</v>
      </c>
      <c r="N774" s="229">
        <v>1</v>
      </c>
      <c r="O774" s="229"/>
    </row>
    <row r="775" spans="1:15" x14ac:dyDescent="0.2">
      <c r="A775" s="226">
        <v>774</v>
      </c>
      <c r="B775" s="226" t="str">
        <f t="shared" si="128"/>
        <v>-</v>
      </c>
      <c r="M775" s="228">
        <f t="shared" si="129"/>
        <v>0</v>
      </c>
      <c r="N775" s="229">
        <v>1</v>
      </c>
      <c r="O775" s="229"/>
    </row>
    <row r="776" spans="1:15" x14ac:dyDescent="0.2">
      <c r="A776" s="226">
        <v>775</v>
      </c>
      <c r="B776" s="226" t="str">
        <f t="shared" si="128"/>
        <v>MAIN RESERVETANK SIZE 147LFK-5-1-121-1</v>
      </c>
      <c r="C776" s="226">
        <f>L776</f>
        <v>1</v>
      </c>
      <c r="D776" s="226" t="s">
        <v>117</v>
      </c>
      <c r="E776" s="226" t="s">
        <v>75</v>
      </c>
      <c r="F776" s="226" t="s">
        <v>98</v>
      </c>
      <c r="G776" s="226">
        <v>1</v>
      </c>
      <c r="H776" s="226" t="s">
        <v>16</v>
      </c>
      <c r="I776" s="227" t="s">
        <v>17</v>
      </c>
      <c r="J776" s="226" t="s">
        <v>76</v>
      </c>
      <c r="K776" s="226" t="s">
        <v>19</v>
      </c>
      <c r="L776" s="226">
        <f>'COT AGENTES'!$H$3</f>
        <v>1</v>
      </c>
      <c r="M776" s="228" t="s">
        <v>77</v>
      </c>
      <c r="N776" s="229">
        <v>1</v>
      </c>
      <c r="O776" s="229"/>
    </row>
    <row r="777" spans="1:15" x14ac:dyDescent="0.2">
      <c r="A777" s="226">
        <v>776</v>
      </c>
      <c r="B777" s="226" t="str">
        <f t="shared" si="128"/>
        <v>MAIN RESERVETANK SIZE 147LFK-5-1-121-2</v>
      </c>
      <c r="C777" s="226">
        <f>C776</f>
        <v>1</v>
      </c>
      <c r="D777" s="226" t="s">
        <v>117</v>
      </c>
      <c r="E777" s="226" t="s">
        <v>75</v>
      </c>
      <c r="F777" s="226" t="s">
        <v>98</v>
      </c>
      <c r="G777" s="226">
        <f>+G776+1</f>
        <v>2</v>
      </c>
      <c r="H777" s="226" t="s">
        <v>16</v>
      </c>
      <c r="I777" s="227">
        <v>445737</v>
      </c>
      <c r="J777" s="226" t="s">
        <v>112</v>
      </c>
      <c r="K777" s="226" t="s">
        <v>19</v>
      </c>
      <c r="L777" s="226">
        <f>'COT AGENTES'!$H$3</f>
        <v>1</v>
      </c>
      <c r="M777" s="228">
        <f t="shared" si="129"/>
        <v>445737</v>
      </c>
      <c r="N777" s="229">
        <v>1</v>
      </c>
      <c r="O777" s="229"/>
    </row>
    <row r="778" spans="1:15" x14ac:dyDescent="0.2">
      <c r="A778" s="226">
        <v>777</v>
      </c>
      <c r="B778" s="226" t="str">
        <f t="shared" si="128"/>
        <v>MAIN RESERVETANK SIZE 147LFK-5-1-121-3</v>
      </c>
      <c r="C778" s="226">
        <f>C776</f>
        <v>1</v>
      </c>
      <c r="D778" s="226" t="s">
        <v>117</v>
      </c>
      <c r="E778" s="226" t="s">
        <v>75</v>
      </c>
      <c r="F778" s="226" t="s">
        <v>98</v>
      </c>
      <c r="G778" s="226">
        <f t="shared" ref="G778:G795" si="141">+G777+1</f>
        <v>3</v>
      </c>
      <c r="H778" s="226" t="s">
        <v>16</v>
      </c>
      <c r="I778" s="227" t="s">
        <v>98</v>
      </c>
      <c r="J778" s="226" t="s">
        <v>100</v>
      </c>
      <c r="K778" s="226" t="s">
        <v>19</v>
      </c>
      <c r="L778" s="230">
        <f>'COT AGENTES'!$H$5</f>
        <v>2</v>
      </c>
      <c r="M778" s="228" t="str">
        <f t="shared" si="129"/>
        <v>FK-5-1-12</v>
      </c>
      <c r="N778" s="229">
        <v>1</v>
      </c>
      <c r="O778" s="229"/>
    </row>
    <row r="779" spans="1:15" x14ac:dyDescent="0.2">
      <c r="A779" s="226">
        <v>778</v>
      </c>
      <c r="B779" s="226" t="str">
        <f t="shared" si="128"/>
        <v>MAIN RESERVETANK SIZE 147LFK-5-1-121-4</v>
      </c>
      <c r="C779" s="226">
        <f t="shared" ref="C779:C795" si="142">C777</f>
        <v>1</v>
      </c>
      <c r="D779" s="226" t="s">
        <v>117</v>
      </c>
      <c r="E779" s="226" t="s">
        <v>75</v>
      </c>
      <c r="F779" s="226" t="s">
        <v>98</v>
      </c>
      <c r="G779" s="226">
        <f t="shared" si="141"/>
        <v>4</v>
      </c>
      <c r="H779" s="226" t="s">
        <v>16</v>
      </c>
      <c r="I779" s="227">
        <v>302207021</v>
      </c>
      <c r="J779" s="226" t="s">
        <v>101</v>
      </c>
      <c r="K779" s="226" t="s">
        <v>19</v>
      </c>
      <c r="L779" s="226">
        <f>L777</f>
        <v>1</v>
      </c>
      <c r="M779" s="228">
        <f t="shared" si="129"/>
        <v>302207021</v>
      </c>
      <c r="N779" s="229">
        <v>1</v>
      </c>
      <c r="O779" s="229"/>
    </row>
    <row r="780" spans="1:15" x14ac:dyDescent="0.2">
      <c r="A780" s="226">
        <v>779</v>
      </c>
      <c r="B780" s="226" t="str">
        <f t="shared" si="128"/>
        <v>MAIN RESERVETANK SIZE 147LFK-5-1-121-5</v>
      </c>
      <c r="C780" s="226">
        <f t="shared" si="142"/>
        <v>1</v>
      </c>
      <c r="D780" s="226" t="s">
        <v>117</v>
      </c>
      <c r="E780" s="226" t="s">
        <v>75</v>
      </c>
      <c r="F780" s="226" t="s">
        <v>98</v>
      </c>
      <c r="G780" s="226">
        <f t="shared" si="141"/>
        <v>5</v>
      </c>
      <c r="H780" s="226" t="s">
        <v>16</v>
      </c>
      <c r="I780" s="227">
        <v>314207329</v>
      </c>
      <c r="J780" s="226" t="s">
        <v>109</v>
      </c>
      <c r="K780" s="226" t="s">
        <v>19</v>
      </c>
      <c r="L780" s="226">
        <f>L777</f>
        <v>1</v>
      </c>
      <c r="M780" s="228">
        <f t="shared" si="129"/>
        <v>314207329</v>
      </c>
      <c r="N780" s="229">
        <v>1</v>
      </c>
      <c r="O780" s="229"/>
    </row>
    <row r="781" spans="1:15" x14ac:dyDescent="0.2">
      <c r="A781" s="226">
        <v>780</v>
      </c>
      <c r="B781" s="226" t="str">
        <f t="shared" si="128"/>
        <v>MAIN RESERVETANK SIZE 147LFK-5-1-121-6</v>
      </c>
      <c r="C781" s="226">
        <f t="shared" si="142"/>
        <v>1</v>
      </c>
      <c r="D781" s="226" t="s">
        <v>117</v>
      </c>
      <c r="E781" s="226" t="s">
        <v>75</v>
      </c>
      <c r="F781" s="226" t="s">
        <v>98</v>
      </c>
      <c r="G781" s="226">
        <f t="shared" si="141"/>
        <v>6</v>
      </c>
      <c r="H781" s="226" t="s">
        <v>16</v>
      </c>
      <c r="I781" s="227">
        <v>570585</v>
      </c>
      <c r="J781" s="226" t="s">
        <v>26</v>
      </c>
      <c r="K781" s="226" t="s">
        <v>19</v>
      </c>
      <c r="L781" s="226">
        <f>L777</f>
        <v>1</v>
      </c>
      <c r="M781" s="228">
        <f t="shared" si="129"/>
        <v>570585</v>
      </c>
      <c r="N781" s="229">
        <v>1</v>
      </c>
      <c r="O781" s="229"/>
    </row>
    <row r="782" spans="1:15" x14ac:dyDescent="0.2">
      <c r="A782" s="226">
        <v>781</v>
      </c>
      <c r="B782" s="226" t="str">
        <f t="shared" si="128"/>
        <v>MAIN RESERVETANK SIZE 147LFK-5-1-121-7</v>
      </c>
      <c r="C782" s="226">
        <f t="shared" si="142"/>
        <v>1</v>
      </c>
      <c r="D782" s="226" t="s">
        <v>117</v>
      </c>
      <c r="E782" s="226" t="s">
        <v>75</v>
      </c>
      <c r="F782" s="226" t="s">
        <v>98</v>
      </c>
      <c r="G782" s="226">
        <f t="shared" si="141"/>
        <v>7</v>
      </c>
      <c r="H782" s="226" t="s">
        <v>16</v>
      </c>
      <c r="I782" s="227">
        <v>304205030</v>
      </c>
      <c r="J782" s="226" t="s">
        <v>27</v>
      </c>
      <c r="K782" s="226" t="s">
        <v>19</v>
      </c>
      <c r="L782" s="226">
        <v>1</v>
      </c>
      <c r="M782" s="228">
        <f t="shared" si="129"/>
        <v>304205030</v>
      </c>
      <c r="N782" s="229">
        <v>1</v>
      </c>
      <c r="O782" s="229"/>
    </row>
    <row r="783" spans="1:15" x14ac:dyDescent="0.2">
      <c r="A783" s="226">
        <v>782</v>
      </c>
      <c r="B783" s="226" t="str">
        <f t="shared" si="128"/>
        <v>MAIN RESERVETANK SIZE 147LFK-5-1-121-8</v>
      </c>
      <c r="C783" s="226">
        <f t="shared" si="142"/>
        <v>1</v>
      </c>
      <c r="D783" s="226" t="s">
        <v>117</v>
      </c>
      <c r="E783" s="226" t="s">
        <v>75</v>
      </c>
      <c r="F783" s="226" t="s">
        <v>98</v>
      </c>
      <c r="G783" s="226">
        <f t="shared" si="141"/>
        <v>8</v>
      </c>
      <c r="H783" s="226" t="s">
        <v>16</v>
      </c>
      <c r="I783" s="227" t="s">
        <v>28</v>
      </c>
      <c r="J783" s="226" t="s">
        <v>29</v>
      </c>
      <c r="K783" s="226" t="s">
        <v>19</v>
      </c>
      <c r="L783" s="226">
        <v>1</v>
      </c>
      <c r="M783" s="228" t="str">
        <f t="shared" si="129"/>
        <v>A1638150HY</v>
      </c>
      <c r="N783" s="229">
        <v>1</v>
      </c>
      <c r="O783" s="229"/>
    </row>
    <row r="784" spans="1:15" x14ac:dyDescent="0.2">
      <c r="A784" s="226">
        <v>783</v>
      </c>
      <c r="B784" s="226" t="str">
        <f t="shared" si="128"/>
        <v>MAIN RESERVETANK SIZE 147LFK-5-1-121-9</v>
      </c>
      <c r="C784" s="226">
        <f t="shared" si="142"/>
        <v>1</v>
      </c>
      <c r="D784" s="226" t="s">
        <v>117</v>
      </c>
      <c r="E784" s="226" t="s">
        <v>75</v>
      </c>
      <c r="F784" s="226" t="s">
        <v>98</v>
      </c>
      <c r="G784" s="226">
        <f t="shared" si="141"/>
        <v>9</v>
      </c>
      <c r="H784" s="226" t="s">
        <v>16</v>
      </c>
      <c r="I784" s="227" t="s">
        <v>62</v>
      </c>
      <c r="J784" s="226" t="s">
        <v>63</v>
      </c>
      <c r="K784" s="226" t="s">
        <v>19</v>
      </c>
      <c r="L784" s="226">
        <f>L777*2</f>
        <v>2</v>
      </c>
      <c r="M784" s="228" t="str">
        <f t="shared" si="129"/>
        <v>570092-R2</v>
      </c>
      <c r="N784" s="229">
        <v>1</v>
      </c>
      <c r="O784" s="229"/>
    </row>
    <row r="785" spans="1:15" x14ac:dyDescent="0.2">
      <c r="A785" s="226">
        <v>784</v>
      </c>
      <c r="B785" s="226" t="str">
        <f t="shared" si="128"/>
        <v>MAIN RESERVETANK SIZE 147LFK-5-1-121-10</v>
      </c>
      <c r="C785" s="226">
        <f t="shared" si="142"/>
        <v>1</v>
      </c>
      <c r="D785" s="226" t="s">
        <v>117</v>
      </c>
      <c r="E785" s="226" t="s">
        <v>75</v>
      </c>
      <c r="F785" s="226" t="s">
        <v>98</v>
      </c>
      <c r="G785" s="226">
        <f t="shared" si="141"/>
        <v>10</v>
      </c>
      <c r="H785" s="226" t="s">
        <v>16</v>
      </c>
      <c r="I785" s="227">
        <v>76496</v>
      </c>
      <c r="J785" s="226" t="s">
        <v>118</v>
      </c>
      <c r="K785" s="226" t="s">
        <v>19</v>
      </c>
      <c r="L785" s="226">
        <v>1</v>
      </c>
      <c r="M785" s="228">
        <f t="shared" si="129"/>
        <v>76496</v>
      </c>
      <c r="N785" s="229">
        <v>1</v>
      </c>
      <c r="O785" s="229"/>
    </row>
    <row r="786" spans="1:15" x14ac:dyDescent="0.2">
      <c r="A786" s="226">
        <v>785</v>
      </c>
      <c r="B786" s="226" t="str">
        <f t="shared" si="128"/>
        <v>MAIN RESERVETANK SIZE 147LFK-5-1-121-11</v>
      </c>
      <c r="C786" s="226">
        <f t="shared" si="142"/>
        <v>1</v>
      </c>
      <c r="D786" s="226" t="s">
        <v>117</v>
      </c>
      <c r="E786" s="226" t="s">
        <v>75</v>
      </c>
      <c r="F786" s="226" t="s">
        <v>98</v>
      </c>
      <c r="G786" s="226">
        <f t="shared" si="141"/>
        <v>11</v>
      </c>
      <c r="H786" s="226" t="s">
        <v>16</v>
      </c>
      <c r="I786" s="227">
        <v>570568</v>
      </c>
      <c r="J786" s="226" t="s">
        <v>124</v>
      </c>
      <c r="K786" s="226" t="s">
        <v>19</v>
      </c>
      <c r="L786" s="226">
        <f>L777+L777</f>
        <v>2</v>
      </c>
      <c r="M786" s="228">
        <f t="shared" si="129"/>
        <v>570568</v>
      </c>
      <c r="N786" s="229">
        <v>1</v>
      </c>
      <c r="O786" s="229"/>
    </row>
    <row r="787" spans="1:15" x14ac:dyDescent="0.2">
      <c r="A787" s="226">
        <v>786</v>
      </c>
      <c r="B787" s="226" t="str">
        <f t="shared" si="128"/>
        <v>MAIN RESERVETANK SIZE 147LFK-5-1-121-12</v>
      </c>
      <c r="C787" s="226">
        <f t="shared" si="142"/>
        <v>1</v>
      </c>
      <c r="D787" s="226" t="s">
        <v>117</v>
      </c>
      <c r="E787" s="226" t="s">
        <v>75</v>
      </c>
      <c r="F787" s="226" t="s">
        <v>98</v>
      </c>
      <c r="G787" s="226">
        <f t="shared" si="141"/>
        <v>12</v>
      </c>
      <c r="H787" s="226" t="s">
        <v>16</v>
      </c>
      <c r="I787" s="227" t="s">
        <v>67</v>
      </c>
      <c r="J787" s="226" t="s">
        <v>68</v>
      </c>
      <c r="K787" s="226" t="s">
        <v>19</v>
      </c>
      <c r="L787" s="226">
        <f>L777+L777</f>
        <v>2</v>
      </c>
      <c r="M787" s="228" t="str">
        <f t="shared" si="129"/>
        <v>570538-R2</v>
      </c>
      <c r="N787" s="229">
        <v>1</v>
      </c>
      <c r="O787" s="229"/>
    </row>
    <row r="788" spans="1:15" x14ac:dyDescent="0.2">
      <c r="A788" s="226">
        <v>787</v>
      </c>
      <c r="B788" s="226" t="str">
        <f t="shared" si="128"/>
        <v>MAIN RESERVETANK SIZE 147LFK-5-1-121-13</v>
      </c>
      <c r="C788" s="226">
        <f t="shared" si="142"/>
        <v>1</v>
      </c>
      <c r="D788" s="226" t="s">
        <v>117</v>
      </c>
      <c r="E788" s="226" t="s">
        <v>75</v>
      </c>
      <c r="F788" s="226" t="s">
        <v>98</v>
      </c>
      <c r="G788" s="226">
        <f t="shared" si="141"/>
        <v>13</v>
      </c>
      <c r="N788" s="229">
        <v>1</v>
      </c>
      <c r="O788" s="229"/>
    </row>
    <row r="789" spans="1:15" x14ac:dyDescent="0.2">
      <c r="A789" s="226">
        <v>788</v>
      </c>
      <c r="B789" s="226" t="str">
        <f t="shared" si="128"/>
        <v>MAIN RESERVETANK SIZE 147LFK-5-1-121-14</v>
      </c>
      <c r="C789" s="226">
        <f t="shared" si="142"/>
        <v>1</v>
      </c>
      <c r="D789" s="226" t="s">
        <v>117</v>
      </c>
      <c r="E789" s="226" t="s">
        <v>75</v>
      </c>
      <c r="F789" s="226" t="s">
        <v>98</v>
      </c>
      <c r="G789" s="226">
        <f t="shared" si="141"/>
        <v>14</v>
      </c>
      <c r="H789" s="226" t="s">
        <v>16</v>
      </c>
      <c r="I789" s="227">
        <v>570550</v>
      </c>
      <c r="J789" s="226" t="s">
        <v>120</v>
      </c>
      <c r="K789" s="226" t="s">
        <v>19</v>
      </c>
      <c r="L789" s="226">
        <f>L777-1</f>
        <v>0</v>
      </c>
      <c r="M789" s="228">
        <f t="shared" ref="M789:M793" si="143">I789</f>
        <v>570550</v>
      </c>
      <c r="N789" s="229">
        <v>1</v>
      </c>
      <c r="O789" s="229"/>
    </row>
    <row r="790" spans="1:15" x14ac:dyDescent="0.2">
      <c r="A790" s="226">
        <v>789</v>
      </c>
      <c r="B790" s="226" t="str">
        <f t="shared" si="128"/>
        <v>MAIN RESERVETANK SIZE 147LFK-5-1-121-15</v>
      </c>
      <c r="C790" s="226">
        <f t="shared" si="142"/>
        <v>1</v>
      </c>
      <c r="D790" s="226" t="s">
        <v>117</v>
      </c>
      <c r="E790" s="226" t="s">
        <v>75</v>
      </c>
      <c r="F790" s="226" t="s">
        <v>98</v>
      </c>
      <c r="G790" s="226">
        <f t="shared" si="141"/>
        <v>15</v>
      </c>
      <c r="H790" s="226" t="s">
        <v>16</v>
      </c>
      <c r="I790" s="227">
        <v>32338</v>
      </c>
      <c r="J790" s="226" t="s">
        <v>42</v>
      </c>
      <c r="K790" s="226" t="s">
        <v>19</v>
      </c>
      <c r="L790" s="226">
        <f>IF(L777&gt;1,1,0)</f>
        <v>0</v>
      </c>
      <c r="M790" s="228">
        <f t="shared" si="143"/>
        <v>32338</v>
      </c>
      <c r="N790" s="229">
        <v>1</v>
      </c>
      <c r="O790" s="229"/>
    </row>
    <row r="791" spans="1:15" x14ac:dyDescent="0.2">
      <c r="A791" s="226">
        <v>790</v>
      </c>
      <c r="B791" s="226" t="str">
        <f t="shared" si="128"/>
        <v>MAIN RESERVETANK SIZE 147LFK-5-1-121-16</v>
      </c>
      <c r="C791" s="226">
        <f t="shared" si="142"/>
        <v>1</v>
      </c>
      <c r="D791" s="226" t="s">
        <v>117</v>
      </c>
      <c r="E791" s="226" t="s">
        <v>75</v>
      </c>
      <c r="F791" s="226" t="s">
        <v>98</v>
      </c>
      <c r="G791" s="226">
        <f t="shared" si="141"/>
        <v>16</v>
      </c>
      <c r="H791" s="226" t="s">
        <v>16</v>
      </c>
      <c r="I791" s="227">
        <v>31810</v>
      </c>
      <c r="J791" s="226" t="s">
        <v>121</v>
      </c>
      <c r="K791" s="226" t="s">
        <v>19</v>
      </c>
      <c r="L791" s="226">
        <f>IF(L777&gt;1,1,0)</f>
        <v>0</v>
      </c>
      <c r="M791" s="228">
        <f t="shared" si="143"/>
        <v>31810</v>
      </c>
      <c r="N791" s="229">
        <v>1</v>
      </c>
      <c r="O791" s="229"/>
    </row>
    <row r="792" spans="1:15" x14ac:dyDescent="0.2">
      <c r="A792" s="226">
        <v>791</v>
      </c>
      <c r="B792" s="226" t="str">
        <f t="shared" si="128"/>
        <v>MAIN RESERVETANK SIZE 147LFK-5-1-121-17</v>
      </c>
      <c r="C792" s="226">
        <f t="shared" si="142"/>
        <v>1</v>
      </c>
      <c r="D792" s="226" t="s">
        <v>117</v>
      </c>
      <c r="E792" s="226" t="s">
        <v>75</v>
      </c>
      <c r="F792" s="226" t="s">
        <v>98</v>
      </c>
      <c r="G792" s="226">
        <f t="shared" si="141"/>
        <v>17</v>
      </c>
      <c r="H792" s="226" t="s">
        <v>16</v>
      </c>
      <c r="I792" s="227">
        <v>32336</v>
      </c>
      <c r="J792" s="226" t="s">
        <v>122</v>
      </c>
      <c r="K792" s="226" t="s">
        <v>19</v>
      </c>
      <c r="L792" s="226">
        <f>L777-1</f>
        <v>0</v>
      </c>
      <c r="M792" s="228">
        <f t="shared" si="143"/>
        <v>32336</v>
      </c>
      <c r="N792" s="229">
        <v>1</v>
      </c>
      <c r="O792" s="229"/>
    </row>
    <row r="793" spans="1:15" x14ac:dyDescent="0.2">
      <c r="A793" s="226">
        <v>792</v>
      </c>
      <c r="B793" s="226" t="str">
        <f t="shared" si="128"/>
        <v>MAIN RESERVETANK SIZE 147LFK-5-1-121-18</v>
      </c>
      <c r="C793" s="226">
        <f t="shared" si="142"/>
        <v>1</v>
      </c>
      <c r="D793" s="226" t="s">
        <v>117</v>
      </c>
      <c r="E793" s="226" t="s">
        <v>75</v>
      </c>
      <c r="F793" s="226" t="s">
        <v>98</v>
      </c>
      <c r="G793" s="226">
        <f t="shared" si="141"/>
        <v>18</v>
      </c>
      <c r="H793" s="226" t="s">
        <v>16</v>
      </c>
      <c r="I793" s="227">
        <v>31811</v>
      </c>
      <c r="J793" s="226" t="s">
        <v>123</v>
      </c>
      <c r="K793" s="226" t="s">
        <v>19</v>
      </c>
      <c r="L793" s="226">
        <f>IF(L777&gt;1,L777-1,0)</f>
        <v>0</v>
      </c>
      <c r="M793" s="228">
        <f t="shared" si="143"/>
        <v>31811</v>
      </c>
      <c r="N793" s="229">
        <v>1</v>
      </c>
      <c r="O793" s="229"/>
    </row>
    <row r="794" spans="1:15" x14ac:dyDescent="0.2">
      <c r="A794" s="226">
        <v>793</v>
      </c>
      <c r="B794" s="226" t="str">
        <f t="shared" si="128"/>
        <v>MAIN RESERVETANK SIZE 147LFK-5-1-121-19</v>
      </c>
      <c r="C794" s="226">
        <f t="shared" si="142"/>
        <v>1</v>
      </c>
      <c r="D794" s="226" t="s">
        <v>117</v>
      </c>
      <c r="E794" s="226" t="s">
        <v>75</v>
      </c>
      <c r="F794" s="226" t="s">
        <v>98</v>
      </c>
      <c r="G794" s="226">
        <f t="shared" si="141"/>
        <v>19</v>
      </c>
      <c r="N794" s="229">
        <v>1</v>
      </c>
      <c r="O794" s="229"/>
    </row>
    <row r="795" spans="1:15" x14ac:dyDescent="0.2">
      <c r="A795" s="226">
        <v>794</v>
      </c>
      <c r="B795" s="226" t="str">
        <f>D795&amp;E795&amp;F795&amp;C795&amp;"-"&amp;G795&amp;IF(M795&lt;&gt;"",O795,"")</f>
        <v>MAIN RESERVETANK SIZE 147LFK-5-1-121-20</v>
      </c>
      <c r="C795" s="226">
        <f t="shared" si="142"/>
        <v>1</v>
      </c>
      <c r="D795" s="226" t="s">
        <v>117</v>
      </c>
      <c r="E795" s="226" t="s">
        <v>75</v>
      </c>
      <c r="F795" s="226" t="s">
        <v>98</v>
      </c>
      <c r="G795" s="226">
        <f t="shared" si="141"/>
        <v>20</v>
      </c>
      <c r="H795" s="226" t="s">
        <v>16</v>
      </c>
      <c r="I795" s="227">
        <v>570278</v>
      </c>
      <c r="J795" s="226" t="s">
        <v>80</v>
      </c>
      <c r="K795" s="226" t="s">
        <v>19</v>
      </c>
      <c r="L795" s="226">
        <f>L777</f>
        <v>1</v>
      </c>
      <c r="M795" s="228">
        <f>I795</f>
        <v>570278</v>
      </c>
      <c r="N795" s="229">
        <v>1</v>
      </c>
      <c r="O795" s="229"/>
    </row>
    <row r="796" spans="1:15" x14ac:dyDescent="0.2">
      <c r="A796" s="226">
        <v>795</v>
      </c>
      <c r="B796" s="226" t="str">
        <f t="shared" si="128"/>
        <v>-</v>
      </c>
      <c r="M796" s="228">
        <f t="shared" si="129"/>
        <v>0</v>
      </c>
      <c r="N796" s="229">
        <v>1</v>
      </c>
      <c r="O796" s="229"/>
    </row>
    <row r="797" spans="1:15" x14ac:dyDescent="0.2">
      <c r="A797" s="226">
        <v>796</v>
      </c>
      <c r="B797" s="226" t="str">
        <f t="shared" si="128"/>
        <v>MAIN RESERVETANK SIZE 180LFK-5-1-121-1</v>
      </c>
      <c r="C797" s="226">
        <f>L797</f>
        <v>1</v>
      </c>
      <c r="D797" s="226" t="s">
        <v>117</v>
      </c>
      <c r="E797" s="226" t="s">
        <v>81</v>
      </c>
      <c r="F797" s="226" t="s">
        <v>98</v>
      </c>
      <c r="G797" s="226">
        <v>1</v>
      </c>
      <c r="H797" s="226" t="s">
        <v>16</v>
      </c>
      <c r="I797" s="227" t="s">
        <v>17</v>
      </c>
      <c r="J797" s="226" t="s">
        <v>82</v>
      </c>
      <c r="K797" s="226" t="s">
        <v>19</v>
      </c>
      <c r="L797" s="226">
        <f>'COT AGENTES'!$H$3</f>
        <v>1</v>
      </c>
      <c r="M797" s="228" t="s">
        <v>83</v>
      </c>
      <c r="N797" s="229">
        <v>1</v>
      </c>
      <c r="O797" s="229"/>
    </row>
    <row r="798" spans="1:15" x14ac:dyDescent="0.2">
      <c r="A798" s="226">
        <v>797</v>
      </c>
      <c r="B798" s="226" t="str">
        <f t="shared" si="128"/>
        <v>MAIN RESERVETANK SIZE 180LFK-5-1-121-2</v>
      </c>
      <c r="C798" s="226">
        <f>C797</f>
        <v>1</v>
      </c>
      <c r="D798" s="226" t="s">
        <v>117</v>
      </c>
      <c r="E798" s="226" t="s">
        <v>81</v>
      </c>
      <c r="F798" s="226" t="s">
        <v>98</v>
      </c>
      <c r="G798" s="226">
        <f>+G797+1</f>
        <v>2</v>
      </c>
      <c r="H798" s="226" t="s">
        <v>16</v>
      </c>
      <c r="I798" s="227">
        <v>445738</v>
      </c>
      <c r="J798" s="226" t="s">
        <v>113</v>
      </c>
      <c r="K798" s="226" t="s">
        <v>19</v>
      </c>
      <c r="L798" s="226">
        <f>'COT AGENTES'!$H$3</f>
        <v>1</v>
      </c>
      <c r="M798" s="228">
        <f t="shared" si="129"/>
        <v>445738</v>
      </c>
      <c r="N798" s="229">
        <v>1</v>
      </c>
      <c r="O798" s="229"/>
    </row>
    <row r="799" spans="1:15" x14ac:dyDescent="0.2">
      <c r="A799" s="226">
        <v>798</v>
      </c>
      <c r="B799" s="226" t="str">
        <f t="shared" si="128"/>
        <v>MAIN RESERVETANK SIZE 180LFK-5-1-121-3</v>
      </c>
      <c r="C799" s="226">
        <f>C797</f>
        <v>1</v>
      </c>
      <c r="D799" s="226" t="s">
        <v>117</v>
      </c>
      <c r="E799" s="226" t="s">
        <v>81</v>
      </c>
      <c r="F799" s="226" t="s">
        <v>98</v>
      </c>
      <c r="G799" s="226">
        <f t="shared" ref="G799:G816" si="144">+G798+1</f>
        <v>3</v>
      </c>
      <c r="H799" s="226" t="s">
        <v>16</v>
      </c>
      <c r="I799" s="227" t="s">
        <v>98</v>
      </c>
      <c r="J799" s="226" t="s">
        <v>100</v>
      </c>
      <c r="K799" s="226" t="s">
        <v>19</v>
      </c>
      <c r="L799" s="230">
        <f>'COT AGENTES'!$H$5</f>
        <v>2</v>
      </c>
      <c r="M799" s="228" t="str">
        <f t="shared" si="129"/>
        <v>FK-5-1-12</v>
      </c>
      <c r="N799" s="229">
        <v>1</v>
      </c>
      <c r="O799" s="229"/>
    </row>
    <row r="800" spans="1:15" x14ac:dyDescent="0.2">
      <c r="A800" s="226">
        <v>799</v>
      </c>
      <c r="B800" s="226" t="str">
        <f t="shared" si="128"/>
        <v>MAIN RESERVETANK SIZE 180LFK-5-1-121-4</v>
      </c>
      <c r="C800" s="226">
        <f t="shared" ref="C800:C816" si="145">C798</f>
        <v>1</v>
      </c>
      <c r="D800" s="226" t="s">
        <v>117</v>
      </c>
      <c r="E800" s="226" t="s">
        <v>81</v>
      </c>
      <c r="F800" s="226" t="s">
        <v>98</v>
      </c>
      <c r="G800" s="226">
        <f t="shared" si="144"/>
        <v>4</v>
      </c>
      <c r="H800" s="226" t="s">
        <v>16</v>
      </c>
      <c r="I800" s="227">
        <v>302207021</v>
      </c>
      <c r="J800" s="226" t="s">
        <v>101</v>
      </c>
      <c r="K800" s="226" t="s">
        <v>19</v>
      </c>
      <c r="L800" s="226">
        <f>L798</f>
        <v>1</v>
      </c>
      <c r="M800" s="228">
        <f t="shared" si="129"/>
        <v>302207021</v>
      </c>
      <c r="N800" s="229">
        <v>1</v>
      </c>
      <c r="O800" s="229"/>
    </row>
    <row r="801" spans="1:15" x14ac:dyDescent="0.2">
      <c r="A801" s="226">
        <v>800</v>
      </c>
      <c r="B801" s="226" t="str">
        <f t="shared" si="128"/>
        <v>MAIN RESERVETANK SIZE 180LFK-5-1-121-5</v>
      </c>
      <c r="C801" s="226">
        <f t="shared" si="145"/>
        <v>1</v>
      </c>
      <c r="D801" s="226" t="s">
        <v>117</v>
      </c>
      <c r="E801" s="226" t="s">
        <v>81</v>
      </c>
      <c r="F801" s="226" t="s">
        <v>98</v>
      </c>
      <c r="G801" s="226">
        <f t="shared" si="144"/>
        <v>5</v>
      </c>
      <c r="H801" s="226" t="s">
        <v>16</v>
      </c>
      <c r="I801" s="227">
        <v>314207329</v>
      </c>
      <c r="J801" s="226" t="s">
        <v>109</v>
      </c>
      <c r="K801" s="226" t="s">
        <v>19</v>
      </c>
      <c r="L801" s="226">
        <f>L798</f>
        <v>1</v>
      </c>
      <c r="M801" s="228">
        <f t="shared" si="129"/>
        <v>314207329</v>
      </c>
      <c r="N801" s="229">
        <v>1</v>
      </c>
      <c r="O801" s="229"/>
    </row>
    <row r="802" spans="1:15" x14ac:dyDescent="0.2">
      <c r="A802" s="226">
        <v>801</v>
      </c>
      <c r="B802" s="226" t="str">
        <f t="shared" ref="B802:B878" si="146">D802&amp;E802&amp;F802&amp;C802&amp;"-"&amp;G802&amp;IF(M802&lt;&gt;"",O802,"")</f>
        <v>MAIN RESERVETANK SIZE 180LFK-5-1-121-6</v>
      </c>
      <c r="C802" s="226">
        <f t="shared" si="145"/>
        <v>1</v>
      </c>
      <c r="D802" s="226" t="s">
        <v>117</v>
      </c>
      <c r="E802" s="226" t="s">
        <v>81</v>
      </c>
      <c r="F802" s="226" t="s">
        <v>98</v>
      </c>
      <c r="G802" s="226">
        <f t="shared" si="144"/>
        <v>6</v>
      </c>
      <c r="H802" s="226" t="s">
        <v>16</v>
      </c>
      <c r="I802" s="227">
        <v>570585</v>
      </c>
      <c r="J802" s="226" t="s">
        <v>26</v>
      </c>
      <c r="K802" s="226" t="s">
        <v>19</v>
      </c>
      <c r="L802" s="226">
        <f>L798</f>
        <v>1</v>
      </c>
      <c r="M802" s="228">
        <f t="shared" si="129"/>
        <v>570585</v>
      </c>
      <c r="N802" s="229">
        <v>1</v>
      </c>
      <c r="O802" s="229"/>
    </row>
    <row r="803" spans="1:15" x14ac:dyDescent="0.2">
      <c r="A803" s="226">
        <v>802</v>
      </c>
      <c r="B803" s="226" t="str">
        <f t="shared" si="146"/>
        <v>MAIN RESERVETANK SIZE 180LFK-5-1-121-7</v>
      </c>
      <c r="C803" s="226">
        <f t="shared" si="145"/>
        <v>1</v>
      </c>
      <c r="D803" s="226" t="s">
        <v>117</v>
      </c>
      <c r="E803" s="226" t="s">
        <v>81</v>
      </c>
      <c r="F803" s="226" t="s">
        <v>98</v>
      </c>
      <c r="G803" s="226">
        <f t="shared" si="144"/>
        <v>7</v>
      </c>
      <c r="H803" s="226" t="s">
        <v>16</v>
      </c>
      <c r="I803" s="227">
        <v>304205030</v>
      </c>
      <c r="J803" s="226" t="s">
        <v>27</v>
      </c>
      <c r="K803" s="226" t="s">
        <v>19</v>
      </c>
      <c r="L803" s="226">
        <v>1</v>
      </c>
      <c r="M803" s="228">
        <f t="shared" ref="M803:M879" si="147">I803</f>
        <v>304205030</v>
      </c>
      <c r="N803" s="229">
        <v>1</v>
      </c>
      <c r="O803" s="229"/>
    </row>
    <row r="804" spans="1:15" x14ac:dyDescent="0.2">
      <c r="A804" s="226">
        <v>803</v>
      </c>
      <c r="B804" s="226" t="str">
        <f t="shared" si="146"/>
        <v>MAIN RESERVETANK SIZE 180LFK-5-1-121-8</v>
      </c>
      <c r="C804" s="226">
        <f t="shared" si="145"/>
        <v>1</v>
      </c>
      <c r="D804" s="226" t="s">
        <v>117</v>
      </c>
      <c r="E804" s="226" t="s">
        <v>81</v>
      </c>
      <c r="F804" s="226" t="s">
        <v>98</v>
      </c>
      <c r="G804" s="226">
        <f t="shared" si="144"/>
        <v>8</v>
      </c>
      <c r="H804" s="226" t="s">
        <v>16</v>
      </c>
      <c r="I804" s="227" t="s">
        <v>28</v>
      </c>
      <c r="J804" s="226" t="s">
        <v>29</v>
      </c>
      <c r="K804" s="226" t="s">
        <v>19</v>
      </c>
      <c r="L804" s="226">
        <v>1</v>
      </c>
      <c r="M804" s="228" t="str">
        <f t="shared" si="147"/>
        <v>A1638150HY</v>
      </c>
      <c r="N804" s="229">
        <v>1</v>
      </c>
      <c r="O804" s="229"/>
    </row>
    <row r="805" spans="1:15" x14ac:dyDescent="0.2">
      <c r="A805" s="226">
        <v>804</v>
      </c>
      <c r="B805" s="226" t="str">
        <f t="shared" si="146"/>
        <v>MAIN RESERVETANK SIZE 180LFK-5-1-121-9</v>
      </c>
      <c r="C805" s="226">
        <f t="shared" si="145"/>
        <v>1</v>
      </c>
      <c r="D805" s="226" t="s">
        <v>117</v>
      </c>
      <c r="E805" s="226" t="s">
        <v>81</v>
      </c>
      <c r="F805" s="226" t="s">
        <v>98</v>
      </c>
      <c r="G805" s="226">
        <f t="shared" si="144"/>
        <v>9</v>
      </c>
      <c r="H805" s="226" t="s">
        <v>16</v>
      </c>
      <c r="I805" s="227" t="s">
        <v>62</v>
      </c>
      <c r="J805" s="226" t="s">
        <v>63</v>
      </c>
      <c r="K805" s="226" t="s">
        <v>19</v>
      </c>
      <c r="L805" s="226">
        <f>L798*2</f>
        <v>2</v>
      </c>
      <c r="M805" s="228" t="str">
        <f t="shared" si="147"/>
        <v>570092-R2</v>
      </c>
      <c r="N805" s="229">
        <v>1</v>
      </c>
      <c r="O805" s="229"/>
    </row>
    <row r="806" spans="1:15" x14ac:dyDescent="0.2">
      <c r="A806" s="226">
        <v>805</v>
      </c>
      <c r="B806" s="226" t="str">
        <f t="shared" si="146"/>
        <v>MAIN RESERVETANK SIZE 180LFK-5-1-121-10</v>
      </c>
      <c r="C806" s="226">
        <f t="shared" si="145"/>
        <v>1</v>
      </c>
      <c r="D806" s="226" t="s">
        <v>117</v>
      </c>
      <c r="E806" s="226" t="s">
        <v>81</v>
      </c>
      <c r="F806" s="226" t="s">
        <v>98</v>
      </c>
      <c r="G806" s="226">
        <f t="shared" si="144"/>
        <v>10</v>
      </c>
      <c r="H806" s="226" t="s">
        <v>16</v>
      </c>
      <c r="I806" s="227">
        <v>76496</v>
      </c>
      <c r="J806" s="226" t="s">
        <v>118</v>
      </c>
      <c r="K806" s="226" t="s">
        <v>19</v>
      </c>
      <c r="L806" s="226">
        <v>1</v>
      </c>
      <c r="M806" s="228">
        <f t="shared" si="147"/>
        <v>76496</v>
      </c>
      <c r="N806" s="229">
        <v>1</v>
      </c>
      <c r="O806" s="229"/>
    </row>
    <row r="807" spans="1:15" x14ac:dyDescent="0.2">
      <c r="A807" s="226">
        <v>806</v>
      </c>
      <c r="B807" s="226" t="str">
        <f t="shared" si="146"/>
        <v>MAIN RESERVETANK SIZE 180LFK-5-1-121-11</v>
      </c>
      <c r="C807" s="226">
        <f t="shared" si="145"/>
        <v>1</v>
      </c>
      <c r="D807" s="226" t="s">
        <v>117</v>
      </c>
      <c r="E807" s="226" t="s">
        <v>81</v>
      </c>
      <c r="F807" s="226" t="s">
        <v>98</v>
      </c>
      <c r="G807" s="226">
        <f t="shared" si="144"/>
        <v>11</v>
      </c>
      <c r="H807" s="226" t="s">
        <v>16</v>
      </c>
      <c r="I807" s="227">
        <v>570568</v>
      </c>
      <c r="J807" s="226" t="s">
        <v>124</v>
      </c>
      <c r="K807" s="226" t="s">
        <v>19</v>
      </c>
      <c r="L807" s="226">
        <f>L798+L798</f>
        <v>2</v>
      </c>
      <c r="M807" s="228">
        <f t="shared" si="147"/>
        <v>570568</v>
      </c>
      <c r="N807" s="229">
        <v>1</v>
      </c>
      <c r="O807" s="229"/>
    </row>
    <row r="808" spans="1:15" x14ac:dyDescent="0.2">
      <c r="A808" s="226">
        <v>807</v>
      </c>
      <c r="B808" s="226" t="str">
        <f t="shared" si="146"/>
        <v>MAIN RESERVETANK SIZE 180LFK-5-1-121-12</v>
      </c>
      <c r="C808" s="226">
        <f t="shared" si="145"/>
        <v>1</v>
      </c>
      <c r="D808" s="226" t="s">
        <v>117</v>
      </c>
      <c r="E808" s="226" t="s">
        <v>81</v>
      </c>
      <c r="F808" s="226" t="s">
        <v>98</v>
      </c>
      <c r="G808" s="226">
        <f t="shared" si="144"/>
        <v>12</v>
      </c>
      <c r="H808" s="226" t="s">
        <v>16</v>
      </c>
      <c r="I808" s="227" t="s">
        <v>67</v>
      </c>
      <c r="J808" s="226" t="s">
        <v>68</v>
      </c>
      <c r="K808" s="226" t="s">
        <v>19</v>
      </c>
      <c r="L808" s="226">
        <f>L798+L798</f>
        <v>2</v>
      </c>
      <c r="M808" s="228" t="str">
        <f t="shared" si="147"/>
        <v>570538-R2</v>
      </c>
      <c r="N808" s="229">
        <v>1</v>
      </c>
      <c r="O808" s="229"/>
    </row>
    <row r="809" spans="1:15" x14ac:dyDescent="0.2">
      <c r="A809" s="226">
        <v>808</v>
      </c>
      <c r="B809" s="226" t="str">
        <f t="shared" si="146"/>
        <v>MAIN RESERVETANK SIZE 180LFK-5-1-121-13</v>
      </c>
      <c r="C809" s="226">
        <f t="shared" si="145"/>
        <v>1</v>
      </c>
      <c r="D809" s="226" t="s">
        <v>117</v>
      </c>
      <c r="E809" s="226" t="s">
        <v>81</v>
      </c>
      <c r="F809" s="226" t="s">
        <v>98</v>
      </c>
      <c r="G809" s="226">
        <f t="shared" si="144"/>
        <v>13</v>
      </c>
      <c r="N809" s="229">
        <v>1</v>
      </c>
      <c r="O809" s="229"/>
    </row>
    <row r="810" spans="1:15" x14ac:dyDescent="0.2">
      <c r="A810" s="226">
        <v>809</v>
      </c>
      <c r="B810" s="226" t="str">
        <f t="shared" si="146"/>
        <v>MAIN RESERVETANK SIZE 180LFK-5-1-121-14</v>
      </c>
      <c r="C810" s="226">
        <f t="shared" si="145"/>
        <v>1</v>
      </c>
      <c r="D810" s="226" t="s">
        <v>117</v>
      </c>
      <c r="E810" s="226" t="s">
        <v>81</v>
      </c>
      <c r="F810" s="226" t="s">
        <v>98</v>
      </c>
      <c r="G810" s="226">
        <f t="shared" si="144"/>
        <v>14</v>
      </c>
      <c r="H810" s="226" t="s">
        <v>16</v>
      </c>
      <c r="I810" s="227">
        <v>570550</v>
      </c>
      <c r="J810" s="226" t="s">
        <v>120</v>
      </c>
      <c r="K810" s="226" t="s">
        <v>19</v>
      </c>
      <c r="L810" s="226">
        <f>L798-1</f>
        <v>0</v>
      </c>
      <c r="M810" s="228">
        <f t="shared" ref="M810:M814" si="148">I810</f>
        <v>570550</v>
      </c>
      <c r="N810" s="229">
        <v>1</v>
      </c>
      <c r="O810" s="229"/>
    </row>
    <row r="811" spans="1:15" x14ac:dyDescent="0.2">
      <c r="A811" s="226">
        <v>810</v>
      </c>
      <c r="B811" s="226" t="str">
        <f t="shared" si="146"/>
        <v>MAIN RESERVETANK SIZE 180LFK-5-1-121-15</v>
      </c>
      <c r="C811" s="226">
        <f t="shared" si="145"/>
        <v>1</v>
      </c>
      <c r="D811" s="226" t="s">
        <v>117</v>
      </c>
      <c r="E811" s="226" t="s">
        <v>81</v>
      </c>
      <c r="F811" s="226" t="s">
        <v>98</v>
      </c>
      <c r="G811" s="226">
        <f t="shared" si="144"/>
        <v>15</v>
      </c>
      <c r="H811" s="226" t="s">
        <v>16</v>
      </c>
      <c r="I811" s="227">
        <v>32338</v>
      </c>
      <c r="J811" s="226" t="s">
        <v>42</v>
      </c>
      <c r="K811" s="226" t="s">
        <v>19</v>
      </c>
      <c r="L811" s="226">
        <f>IF(L798&gt;1,1,0)</f>
        <v>0</v>
      </c>
      <c r="M811" s="228">
        <f t="shared" si="148"/>
        <v>32338</v>
      </c>
      <c r="N811" s="229">
        <v>1</v>
      </c>
      <c r="O811" s="229"/>
    </row>
    <row r="812" spans="1:15" x14ac:dyDescent="0.2">
      <c r="A812" s="226">
        <v>811</v>
      </c>
      <c r="B812" s="226" t="str">
        <f t="shared" si="146"/>
        <v>MAIN RESERVETANK SIZE 180LFK-5-1-121-16</v>
      </c>
      <c r="C812" s="226">
        <f t="shared" si="145"/>
        <v>1</v>
      </c>
      <c r="D812" s="226" t="s">
        <v>117</v>
      </c>
      <c r="E812" s="226" t="s">
        <v>81</v>
      </c>
      <c r="F812" s="226" t="s">
        <v>98</v>
      </c>
      <c r="G812" s="226">
        <f t="shared" si="144"/>
        <v>16</v>
      </c>
      <c r="H812" s="226" t="s">
        <v>16</v>
      </c>
      <c r="I812" s="227">
        <v>31810</v>
      </c>
      <c r="J812" s="226" t="s">
        <v>121</v>
      </c>
      <c r="K812" s="226" t="s">
        <v>19</v>
      </c>
      <c r="L812" s="226">
        <f>IF(L798&gt;1,1,0)</f>
        <v>0</v>
      </c>
      <c r="M812" s="228">
        <f t="shared" si="148"/>
        <v>31810</v>
      </c>
      <c r="N812" s="229">
        <v>1</v>
      </c>
      <c r="O812" s="229"/>
    </row>
    <row r="813" spans="1:15" x14ac:dyDescent="0.2">
      <c r="A813" s="226">
        <v>812</v>
      </c>
      <c r="B813" s="226" t="str">
        <f t="shared" si="146"/>
        <v>MAIN RESERVETANK SIZE 180LFK-5-1-121-17</v>
      </c>
      <c r="C813" s="226">
        <f t="shared" si="145"/>
        <v>1</v>
      </c>
      <c r="D813" s="226" t="s">
        <v>117</v>
      </c>
      <c r="E813" s="226" t="s">
        <v>81</v>
      </c>
      <c r="F813" s="226" t="s">
        <v>98</v>
      </c>
      <c r="G813" s="226">
        <f t="shared" si="144"/>
        <v>17</v>
      </c>
      <c r="H813" s="226" t="s">
        <v>16</v>
      </c>
      <c r="I813" s="227">
        <v>32336</v>
      </c>
      <c r="J813" s="226" t="s">
        <v>122</v>
      </c>
      <c r="K813" s="226" t="s">
        <v>19</v>
      </c>
      <c r="L813" s="226">
        <f>L798-1</f>
        <v>0</v>
      </c>
      <c r="M813" s="228">
        <f t="shared" si="148"/>
        <v>32336</v>
      </c>
      <c r="N813" s="229">
        <v>1</v>
      </c>
      <c r="O813" s="229"/>
    </row>
    <row r="814" spans="1:15" x14ac:dyDescent="0.2">
      <c r="A814" s="226">
        <v>813</v>
      </c>
      <c r="B814" s="226" t="str">
        <f t="shared" si="146"/>
        <v>MAIN RESERVETANK SIZE 180LFK-5-1-121-18</v>
      </c>
      <c r="C814" s="226">
        <f t="shared" si="145"/>
        <v>1</v>
      </c>
      <c r="D814" s="226" t="s">
        <v>117</v>
      </c>
      <c r="E814" s="226" t="s">
        <v>81</v>
      </c>
      <c r="F814" s="226" t="s">
        <v>98</v>
      </c>
      <c r="G814" s="226">
        <f t="shared" si="144"/>
        <v>18</v>
      </c>
      <c r="H814" s="226" t="s">
        <v>16</v>
      </c>
      <c r="I814" s="227">
        <v>31811</v>
      </c>
      <c r="J814" s="226" t="s">
        <v>123</v>
      </c>
      <c r="K814" s="226" t="s">
        <v>19</v>
      </c>
      <c r="L814" s="226">
        <f>IF(L798&gt;1,L798-1,0)</f>
        <v>0</v>
      </c>
      <c r="M814" s="228">
        <f t="shared" si="148"/>
        <v>31811</v>
      </c>
      <c r="N814" s="229">
        <v>1</v>
      </c>
      <c r="O814" s="229"/>
    </row>
    <row r="815" spans="1:15" x14ac:dyDescent="0.2">
      <c r="A815" s="226">
        <v>814</v>
      </c>
      <c r="B815" s="226" t="str">
        <f t="shared" si="146"/>
        <v>MAIN RESERVETANK SIZE 180LFK-5-1-121-19</v>
      </c>
      <c r="C815" s="226">
        <f t="shared" si="145"/>
        <v>1</v>
      </c>
      <c r="D815" s="226" t="s">
        <v>117</v>
      </c>
      <c r="E815" s="226" t="s">
        <v>81</v>
      </c>
      <c r="F815" s="226" t="s">
        <v>98</v>
      </c>
      <c r="G815" s="226">
        <f t="shared" si="144"/>
        <v>19</v>
      </c>
      <c r="N815" s="229">
        <v>1</v>
      </c>
      <c r="O815" s="229"/>
    </row>
    <row r="816" spans="1:15" x14ac:dyDescent="0.2">
      <c r="A816" s="226">
        <v>815</v>
      </c>
      <c r="B816" s="226" t="str">
        <f t="shared" si="146"/>
        <v>MAIN RESERVETANK SIZE 180LFK-5-1-121-20</v>
      </c>
      <c r="C816" s="226">
        <f t="shared" si="145"/>
        <v>1</v>
      </c>
      <c r="D816" s="226" t="s">
        <v>117</v>
      </c>
      <c r="E816" s="226" t="s">
        <v>81</v>
      </c>
      <c r="F816" s="226" t="s">
        <v>98</v>
      </c>
      <c r="G816" s="226">
        <f t="shared" si="144"/>
        <v>20</v>
      </c>
      <c r="H816" s="226" t="s">
        <v>16</v>
      </c>
      <c r="I816" s="227">
        <v>570589</v>
      </c>
      <c r="J816" s="226" t="s">
        <v>114</v>
      </c>
      <c r="K816" s="226" t="s">
        <v>19</v>
      </c>
      <c r="L816" s="226">
        <f>L798</f>
        <v>1</v>
      </c>
      <c r="M816" s="228">
        <f t="shared" si="147"/>
        <v>570589</v>
      </c>
      <c r="N816" s="229">
        <v>1</v>
      </c>
      <c r="O816" s="229"/>
    </row>
    <row r="817" spans="1:15" x14ac:dyDescent="0.2">
      <c r="A817" s="226">
        <v>816</v>
      </c>
      <c r="B817" s="226" t="str">
        <f t="shared" si="146"/>
        <v>-</v>
      </c>
      <c r="M817" s="228">
        <f t="shared" si="147"/>
        <v>0</v>
      </c>
      <c r="N817" s="229">
        <v>1</v>
      </c>
      <c r="O817" s="229"/>
    </row>
    <row r="818" spans="1:15" x14ac:dyDescent="0.2">
      <c r="A818" s="226">
        <v>817</v>
      </c>
      <c r="B818" s="226" t="str">
        <f t="shared" si="146"/>
        <v>MAIN RESERVETANK SIZE 343LFK-5-1-121-1</v>
      </c>
      <c r="C818" s="226">
        <f>L818</f>
        <v>1</v>
      </c>
      <c r="D818" s="226" t="s">
        <v>117</v>
      </c>
      <c r="E818" s="226" t="s">
        <v>86</v>
      </c>
      <c r="F818" s="226" t="s">
        <v>98</v>
      </c>
      <c r="G818" s="226">
        <v>1</v>
      </c>
      <c r="H818" s="226" t="s">
        <v>16</v>
      </c>
      <c r="I818" s="227" t="s">
        <v>17</v>
      </c>
      <c r="J818" s="226" t="s">
        <v>87</v>
      </c>
      <c r="K818" s="226" t="s">
        <v>19</v>
      </c>
      <c r="L818" s="226">
        <f>'COT AGENTES'!$H$3</f>
        <v>1</v>
      </c>
      <c r="M818" s="228" t="s">
        <v>88</v>
      </c>
      <c r="N818" s="229">
        <v>1</v>
      </c>
      <c r="O818" s="229"/>
    </row>
    <row r="819" spans="1:15" x14ac:dyDescent="0.2">
      <c r="A819" s="226">
        <v>818</v>
      </c>
      <c r="B819" s="226" t="str">
        <f t="shared" si="146"/>
        <v>MAIN RESERVETANK SIZE 343LFK-5-1-121-2</v>
      </c>
      <c r="C819" s="226">
        <f>C818</f>
        <v>1</v>
      </c>
      <c r="D819" s="226" t="s">
        <v>117</v>
      </c>
      <c r="E819" s="226" t="s">
        <v>86</v>
      </c>
      <c r="F819" s="226" t="s">
        <v>98</v>
      </c>
      <c r="G819" s="226">
        <f>+G818+1</f>
        <v>2</v>
      </c>
      <c r="H819" s="226" t="s">
        <v>16</v>
      </c>
      <c r="I819" s="227">
        <v>445739</v>
      </c>
      <c r="J819" s="226" t="s">
        <v>115</v>
      </c>
      <c r="K819" s="226" t="s">
        <v>19</v>
      </c>
      <c r="L819" s="226">
        <f>'COT AGENTES'!$H$3</f>
        <v>1</v>
      </c>
      <c r="M819" s="228">
        <f t="shared" si="147"/>
        <v>445739</v>
      </c>
      <c r="N819" s="229">
        <v>1</v>
      </c>
      <c r="O819" s="229"/>
    </row>
    <row r="820" spans="1:15" x14ac:dyDescent="0.2">
      <c r="A820" s="226">
        <v>819</v>
      </c>
      <c r="B820" s="226" t="str">
        <f t="shared" si="146"/>
        <v>MAIN RESERVETANK SIZE 343LFK-5-1-121-3</v>
      </c>
      <c r="C820" s="226">
        <f t="shared" ref="C820:C836" si="149">C819</f>
        <v>1</v>
      </c>
      <c r="D820" s="226" t="s">
        <v>117</v>
      </c>
      <c r="E820" s="226" t="s">
        <v>86</v>
      </c>
      <c r="F820" s="226" t="s">
        <v>98</v>
      </c>
      <c r="G820" s="226">
        <f t="shared" ref="G820:G836" si="150">+G819+1</f>
        <v>3</v>
      </c>
      <c r="H820" s="226" t="s">
        <v>16</v>
      </c>
      <c r="I820" s="227" t="s">
        <v>98</v>
      </c>
      <c r="J820" s="226" t="s">
        <v>100</v>
      </c>
      <c r="K820" s="226" t="s">
        <v>19</v>
      </c>
      <c r="L820" s="230">
        <f>'COT AGENTES'!$H$5</f>
        <v>2</v>
      </c>
      <c r="M820" s="228" t="str">
        <f t="shared" si="147"/>
        <v>FK-5-1-12</v>
      </c>
      <c r="N820" s="229">
        <v>1</v>
      </c>
      <c r="O820" s="229"/>
    </row>
    <row r="821" spans="1:15" x14ac:dyDescent="0.2">
      <c r="A821" s="226">
        <v>820</v>
      </c>
      <c r="B821" s="226" t="str">
        <f t="shared" si="146"/>
        <v>MAIN RESERVETANK SIZE 343LFK-5-1-121-4</v>
      </c>
      <c r="C821" s="226">
        <f t="shared" si="149"/>
        <v>1</v>
      </c>
      <c r="D821" s="226" t="s">
        <v>117</v>
      </c>
      <c r="E821" s="226" t="s">
        <v>86</v>
      </c>
      <c r="F821" s="226" t="s">
        <v>98</v>
      </c>
      <c r="G821" s="226">
        <f t="shared" si="150"/>
        <v>4</v>
      </c>
      <c r="H821" s="226" t="s">
        <v>16</v>
      </c>
      <c r="I821" s="227">
        <v>302207021</v>
      </c>
      <c r="J821" s="226" t="s">
        <v>101</v>
      </c>
      <c r="K821" s="226" t="s">
        <v>19</v>
      </c>
      <c r="L821" s="226">
        <f>L819</f>
        <v>1</v>
      </c>
      <c r="M821" s="228">
        <f t="shared" si="147"/>
        <v>302207021</v>
      </c>
      <c r="N821" s="229">
        <v>1</v>
      </c>
      <c r="O821" s="229"/>
    </row>
    <row r="822" spans="1:15" x14ac:dyDescent="0.2">
      <c r="A822" s="226">
        <v>821</v>
      </c>
      <c r="B822" s="226" t="str">
        <f t="shared" si="146"/>
        <v>MAIN RESERVETANK SIZE 343LFK-5-1-121-5</v>
      </c>
      <c r="C822" s="226">
        <f t="shared" si="149"/>
        <v>1</v>
      </c>
      <c r="D822" s="226" t="s">
        <v>117</v>
      </c>
      <c r="E822" s="226" t="s">
        <v>86</v>
      </c>
      <c r="F822" s="226" t="s">
        <v>98</v>
      </c>
      <c r="G822" s="226">
        <f t="shared" si="150"/>
        <v>5</v>
      </c>
      <c r="H822" s="226" t="s">
        <v>16</v>
      </c>
      <c r="I822" s="227">
        <v>314207329</v>
      </c>
      <c r="J822" s="226" t="s">
        <v>109</v>
      </c>
      <c r="K822" s="226" t="s">
        <v>19</v>
      </c>
      <c r="L822" s="226">
        <f>L819</f>
        <v>1</v>
      </c>
      <c r="M822" s="228">
        <f t="shared" si="147"/>
        <v>314207329</v>
      </c>
      <c r="N822" s="229">
        <v>1</v>
      </c>
      <c r="O822" s="229"/>
    </row>
    <row r="823" spans="1:15" x14ac:dyDescent="0.2">
      <c r="A823" s="226">
        <v>822</v>
      </c>
      <c r="B823" s="226" t="str">
        <f t="shared" si="146"/>
        <v>MAIN RESERVETANK SIZE 343LFK-5-1-121-6</v>
      </c>
      <c r="C823" s="226">
        <f t="shared" si="149"/>
        <v>1</v>
      </c>
      <c r="D823" s="226" t="s">
        <v>117</v>
      </c>
      <c r="E823" s="226" t="s">
        <v>86</v>
      </c>
      <c r="F823" s="226" t="s">
        <v>98</v>
      </c>
      <c r="G823" s="226">
        <f t="shared" si="150"/>
        <v>6</v>
      </c>
      <c r="H823" s="226" t="s">
        <v>16</v>
      </c>
      <c r="I823" s="227">
        <v>570585</v>
      </c>
      <c r="J823" s="226" t="s">
        <v>26</v>
      </c>
      <c r="K823" s="226" t="s">
        <v>19</v>
      </c>
      <c r="L823" s="226">
        <f>L819</f>
        <v>1</v>
      </c>
      <c r="M823" s="228">
        <f t="shared" si="147"/>
        <v>570585</v>
      </c>
      <c r="N823" s="229">
        <v>1</v>
      </c>
      <c r="O823" s="229"/>
    </row>
    <row r="824" spans="1:15" x14ac:dyDescent="0.2">
      <c r="A824" s="226">
        <v>823</v>
      </c>
      <c r="B824" s="226" t="str">
        <f t="shared" si="146"/>
        <v>MAIN RESERVETANK SIZE 343LFK-5-1-121-7</v>
      </c>
      <c r="C824" s="226">
        <f t="shared" si="149"/>
        <v>1</v>
      </c>
      <c r="D824" s="226" t="s">
        <v>117</v>
      </c>
      <c r="E824" s="226" t="s">
        <v>86</v>
      </c>
      <c r="F824" s="226" t="s">
        <v>98</v>
      </c>
      <c r="G824" s="226">
        <f t="shared" si="150"/>
        <v>7</v>
      </c>
      <c r="H824" s="226" t="s">
        <v>16</v>
      </c>
      <c r="I824" s="227">
        <v>304205030</v>
      </c>
      <c r="J824" s="226" t="s">
        <v>27</v>
      </c>
      <c r="K824" s="226" t="s">
        <v>19</v>
      </c>
      <c r="L824" s="226">
        <v>1</v>
      </c>
      <c r="M824" s="228">
        <f t="shared" si="147"/>
        <v>304205030</v>
      </c>
      <c r="N824" s="229">
        <v>1</v>
      </c>
      <c r="O824" s="229"/>
    </row>
    <row r="825" spans="1:15" x14ac:dyDescent="0.2">
      <c r="A825" s="226">
        <v>824</v>
      </c>
      <c r="B825" s="226" t="str">
        <f t="shared" si="146"/>
        <v>MAIN RESERVETANK SIZE 343LFK-5-1-121-8</v>
      </c>
      <c r="C825" s="226">
        <f t="shared" si="149"/>
        <v>1</v>
      </c>
      <c r="D825" s="226" t="s">
        <v>117</v>
      </c>
      <c r="E825" s="226" t="s">
        <v>86</v>
      </c>
      <c r="F825" s="226" t="s">
        <v>98</v>
      </c>
      <c r="G825" s="226">
        <f t="shared" si="150"/>
        <v>8</v>
      </c>
      <c r="H825" s="226" t="s">
        <v>16</v>
      </c>
      <c r="I825" s="227" t="s">
        <v>28</v>
      </c>
      <c r="J825" s="226" t="s">
        <v>29</v>
      </c>
      <c r="K825" s="226" t="s">
        <v>19</v>
      </c>
      <c r="L825" s="226">
        <v>1</v>
      </c>
      <c r="M825" s="228" t="str">
        <f t="shared" si="147"/>
        <v>A1638150HY</v>
      </c>
      <c r="N825" s="229">
        <v>1</v>
      </c>
      <c r="O825" s="229"/>
    </row>
    <row r="826" spans="1:15" x14ac:dyDescent="0.2">
      <c r="A826" s="226">
        <v>825</v>
      </c>
      <c r="B826" s="226" t="str">
        <f t="shared" si="146"/>
        <v>MAIN RESERVETANK SIZE 343LFK-5-1-121-9</v>
      </c>
      <c r="C826" s="226">
        <f t="shared" si="149"/>
        <v>1</v>
      </c>
      <c r="D826" s="226" t="s">
        <v>117</v>
      </c>
      <c r="E826" s="226" t="s">
        <v>86</v>
      </c>
      <c r="F826" s="226" t="s">
        <v>98</v>
      </c>
      <c r="G826" s="226">
        <f t="shared" si="150"/>
        <v>9</v>
      </c>
      <c r="H826" s="226" t="s">
        <v>16</v>
      </c>
      <c r="I826" s="227" t="s">
        <v>90</v>
      </c>
      <c r="J826" s="226" t="s">
        <v>91</v>
      </c>
      <c r="K826" s="226" t="s">
        <v>19</v>
      </c>
      <c r="L826" s="226">
        <f>L819*2</f>
        <v>2</v>
      </c>
      <c r="M826" s="228" t="str">
        <f t="shared" si="147"/>
        <v>570336-R2</v>
      </c>
      <c r="N826" s="229">
        <v>1</v>
      </c>
      <c r="O826" s="229"/>
    </row>
    <row r="827" spans="1:15" x14ac:dyDescent="0.2">
      <c r="A827" s="226">
        <v>826</v>
      </c>
      <c r="B827" s="226" t="str">
        <f t="shared" si="146"/>
        <v>MAIN RESERVETANK SIZE 343LFK-5-1-121-10</v>
      </c>
      <c r="C827" s="226">
        <f t="shared" si="149"/>
        <v>1</v>
      </c>
      <c r="D827" s="226" t="s">
        <v>117</v>
      </c>
      <c r="E827" s="226" t="s">
        <v>86</v>
      </c>
      <c r="F827" s="226" t="s">
        <v>98</v>
      </c>
      <c r="G827" s="226">
        <f t="shared" si="150"/>
        <v>10</v>
      </c>
      <c r="H827" s="226" t="s">
        <v>16</v>
      </c>
      <c r="I827" s="227">
        <v>76496</v>
      </c>
      <c r="J827" s="226" t="s">
        <v>118</v>
      </c>
      <c r="K827" s="226" t="s">
        <v>19</v>
      </c>
      <c r="L827" s="226">
        <v>1</v>
      </c>
      <c r="M827" s="228">
        <f t="shared" si="147"/>
        <v>76496</v>
      </c>
      <c r="N827" s="229">
        <v>1</v>
      </c>
      <c r="O827" s="229"/>
    </row>
    <row r="828" spans="1:15" x14ac:dyDescent="0.2">
      <c r="A828" s="226">
        <v>827</v>
      </c>
      <c r="B828" s="226" t="str">
        <f t="shared" si="146"/>
        <v>MAIN RESERVETANK SIZE 343LFK-5-1-121-11</v>
      </c>
      <c r="C828" s="226">
        <f t="shared" si="149"/>
        <v>1</v>
      </c>
      <c r="D828" s="226" t="s">
        <v>117</v>
      </c>
      <c r="E828" s="226" t="s">
        <v>86</v>
      </c>
      <c r="F828" s="226" t="s">
        <v>98</v>
      </c>
      <c r="G828" s="226">
        <f t="shared" si="150"/>
        <v>11</v>
      </c>
      <c r="H828" s="226" t="s">
        <v>16</v>
      </c>
      <c r="I828" s="227" t="s">
        <v>125</v>
      </c>
      <c r="J828" s="226" t="s">
        <v>97</v>
      </c>
      <c r="K828" s="226" t="s">
        <v>19</v>
      </c>
      <c r="L828" s="226">
        <f>L819</f>
        <v>1</v>
      </c>
      <c r="M828" s="228" t="str">
        <f t="shared" si="147"/>
        <v>69841-R2</v>
      </c>
      <c r="N828" s="229">
        <v>1</v>
      </c>
      <c r="O828" s="229"/>
    </row>
    <row r="829" spans="1:15" x14ac:dyDescent="0.2">
      <c r="A829" s="226">
        <v>828</v>
      </c>
      <c r="B829" s="226" t="str">
        <f t="shared" si="146"/>
        <v>MAIN RESERVETANK SIZE 343LFK-5-1-121-12</v>
      </c>
      <c r="C829" s="226">
        <f t="shared" si="149"/>
        <v>1</v>
      </c>
      <c r="D829" s="226" t="s">
        <v>117</v>
      </c>
      <c r="E829" s="226" t="s">
        <v>86</v>
      </c>
      <c r="F829" s="226" t="s">
        <v>98</v>
      </c>
      <c r="G829" s="226">
        <f t="shared" si="150"/>
        <v>12</v>
      </c>
      <c r="N829" s="229">
        <v>1</v>
      </c>
      <c r="O829" s="229"/>
    </row>
    <row r="830" spans="1:15" x14ac:dyDescent="0.2">
      <c r="A830" s="226">
        <v>829</v>
      </c>
      <c r="B830" s="226" t="str">
        <f t="shared" si="146"/>
        <v>MAIN RESERVETANK SIZE 343LFK-5-1-121-13</v>
      </c>
      <c r="C830" s="226">
        <f t="shared" si="149"/>
        <v>1</v>
      </c>
      <c r="D830" s="226" t="s">
        <v>117</v>
      </c>
      <c r="E830" s="226" t="s">
        <v>86</v>
      </c>
      <c r="F830" s="226" t="s">
        <v>98</v>
      </c>
      <c r="G830" s="226">
        <f t="shared" si="150"/>
        <v>13</v>
      </c>
      <c r="H830" s="226" t="s">
        <v>16</v>
      </c>
      <c r="I830" s="227">
        <v>570550</v>
      </c>
      <c r="J830" s="226" t="s">
        <v>120</v>
      </c>
      <c r="K830" s="226" t="s">
        <v>19</v>
      </c>
      <c r="L830" s="226">
        <f>L819-1</f>
        <v>0</v>
      </c>
      <c r="M830" s="228">
        <f t="shared" ref="M830:M834" si="151">I830</f>
        <v>570550</v>
      </c>
      <c r="N830" s="229">
        <v>1</v>
      </c>
      <c r="O830" s="229"/>
    </row>
    <row r="831" spans="1:15" x14ac:dyDescent="0.2">
      <c r="A831" s="226">
        <v>830</v>
      </c>
      <c r="B831" s="226" t="str">
        <f t="shared" si="146"/>
        <v>MAIN RESERVETANK SIZE 343LFK-5-1-121-14</v>
      </c>
      <c r="C831" s="226">
        <f t="shared" si="149"/>
        <v>1</v>
      </c>
      <c r="D831" s="226" t="s">
        <v>117</v>
      </c>
      <c r="E831" s="226" t="s">
        <v>86</v>
      </c>
      <c r="F831" s="226" t="s">
        <v>98</v>
      </c>
      <c r="G831" s="226">
        <f t="shared" si="150"/>
        <v>14</v>
      </c>
      <c r="H831" s="226" t="s">
        <v>16</v>
      </c>
      <c r="I831" s="227">
        <v>32338</v>
      </c>
      <c r="J831" s="226" t="s">
        <v>42</v>
      </c>
      <c r="K831" s="226" t="s">
        <v>19</v>
      </c>
      <c r="L831" s="226">
        <f>IF(L819&gt;1,1,0)</f>
        <v>0</v>
      </c>
      <c r="M831" s="228">
        <f t="shared" si="151"/>
        <v>32338</v>
      </c>
      <c r="N831" s="229">
        <v>1</v>
      </c>
      <c r="O831" s="229"/>
    </row>
    <row r="832" spans="1:15" x14ac:dyDescent="0.2">
      <c r="A832" s="226">
        <v>831</v>
      </c>
      <c r="B832" s="226" t="str">
        <f t="shared" si="146"/>
        <v>MAIN RESERVETANK SIZE 343LFK-5-1-121-15</v>
      </c>
      <c r="C832" s="226">
        <f t="shared" si="149"/>
        <v>1</v>
      </c>
      <c r="D832" s="226" t="s">
        <v>117</v>
      </c>
      <c r="E832" s="226" t="s">
        <v>86</v>
      </c>
      <c r="F832" s="226" t="s">
        <v>98</v>
      </c>
      <c r="G832" s="226">
        <f t="shared" si="150"/>
        <v>15</v>
      </c>
      <c r="H832" s="226" t="s">
        <v>16</v>
      </c>
      <c r="I832" s="227">
        <v>31810</v>
      </c>
      <c r="J832" s="226" t="s">
        <v>121</v>
      </c>
      <c r="K832" s="226" t="s">
        <v>19</v>
      </c>
      <c r="L832" s="226">
        <f>IF(L819&gt;1,1,0)</f>
        <v>0</v>
      </c>
      <c r="M832" s="228">
        <f t="shared" si="151"/>
        <v>31810</v>
      </c>
      <c r="N832" s="229">
        <v>1</v>
      </c>
      <c r="O832" s="229"/>
    </row>
    <row r="833" spans="1:15" x14ac:dyDescent="0.2">
      <c r="A833" s="226">
        <v>832</v>
      </c>
      <c r="B833" s="226" t="str">
        <f t="shared" si="146"/>
        <v>MAIN RESERVETANK SIZE 343LFK-5-1-121-16</v>
      </c>
      <c r="C833" s="226">
        <f t="shared" si="149"/>
        <v>1</v>
      </c>
      <c r="D833" s="226" t="s">
        <v>117</v>
      </c>
      <c r="E833" s="226" t="s">
        <v>86</v>
      </c>
      <c r="F833" s="226" t="s">
        <v>98</v>
      </c>
      <c r="G833" s="226">
        <f t="shared" si="150"/>
        <v>16</v>
      </c>
      <c r="H833" s="226" t="s">
        <v>16</v>
      </c>
      <c r="I833" s="227">
        <v>32336</v>
      </c>
      <c r="J833" s="226" t="s">
        <v>122</v>
      </c>
      <c r="K833" s="226" t="s">
        <v>19</v>
      </c>
      <c r="L833" s="226">
        <f>L819-1</f>
        <v>0</v>
      </c>
      <c r="M833" s="228">
        <f t="shared" si="151"/>
        <v>32336</v>
      </c>
      <c r="N833" s="229">
        <v>1</v>
      </c>
      <c r="O833" s="229"/>
    </row>
    <row r="834" spans="1:15" x14ac:dyDescent="0.2">
      <c r="A834" s="226">
        <v>833</v>
      </c>
      <c r="B834" s="226" t="str">
        <f t="shared" si="146"/>
        <v>MAIN RESERVETANK SIZE 343LFK-5-1-121-17</v>
      </c>
      <c r="C834" s="226">
        <f t="shared" si="149"/>
        <v>1</v>
      </c>
      <c r="D834" s="226" t="s">
        <v>117</v>
      </c>
      <c r="E834" s="226" t="s">
        <v>86</v>
      </c>
      <c r="F834" s="226" t="s">
        <v>98</v>
      </c>
      <c r="G834" s="226">
        <f t="shared" si="150"/>
        <v>17</v>
      </c>
      <c r="H834" s="226" t="s">
        <v>16</v>
      </c>
      <c r="I834" s="227">
        <v>31811</v>
      </c>
      <c r="J834" s="226" t="s">
        <v>123</v>
      </c>
      <c r="K834" s="226" t="s">
        <v>19</v>
      </c>
      <c r="L834" s="226">
        <f>IF(L819&gt;1,L819-1,0)</f>
        <v>0</v>
      </c>
      <c r="M834" s="228">
        <f t="shared" si="151"/>
        <v>31811</v>
      </c>
      <c r="N834" s="229">
        <v>1</v>
      </c>
      <c r="O834" s="229"/>
    </row>
    <row r="835" spans="1:15" x14ac:dyDescent="0.2">
      <c r="A835" s="226">
        <v>834</v>
      </c>
      <c r="B835" s="226" t="str">
        <f t="shared" si="146"/>
        <v>MAIN RESERVETANK SIZE 343LFK-5-1-121-18</v>
      </c>
      <c r="C835" s="226">
        <f t="shared" si="149"/>
        <v>1</v>
      </c>
      <c r="D835" s="226" t="s">
        <v>117</v>
      </c>
      <c r="E835" s="226" t="s">
        <v>86</v>
      </c>
      <c r="F835" s="226" t="s">
        <v>98</v>
      </c>
      <c r="G835" s="226">
        <f t="shared" si="150"/>
        <v>18</v>
      </c>
      <c r="N835" s="229">
        <v>1</v>
      </c>
      <c r="O835" s="229"/>
    </row>
    <row r="836" spans="1:15" x14ac:dyDescent="0.2">
      <c r="A836" s="226">
        <v>835</v>
      </c>
      <c r="B836" s="226" t="str">
        <f t="shared" si="146"/>
        <v>MAIN RESERVETANK SIZE 343LFK-5-1-121-19</v>
      </c>
      <c r="C836" s="226">
        <f t="shared" si="149"/>
        <v>1</v>
      </c>
      <c r="D836" s="226" t="s">
        <v>117</v>
      </c>
      <c r="E836" s="226" t="s">
        <v>86</v>
      </c>
      <c r="F836" s="226" t="s">
        <v>98</v>
      </c>
      <c r="G836" s="226">
        <f t="shared" si="150"/>
        <v>19</v>
      </c>
      <c r="H836" s="226" t="s">
        <v>16</v>
      </c>
      <c r="I836" s="227">
        <v>570278</v>
      </c>
      <c r="J836" s="226" t="s">
        <v>80</v>
      </c>
      <c r="K836" s="226" t="s">
        <v>19</v>
      </c>
      <c r="L836" s="226">
        <f>L819</f>
        <v>1</v>
      </c>
      <c r="M836" s="228">
        <f t="shared" si="147"/>
        <v>570278</v>
      </c>
      <c r="N836" s="229">
        <v>1</v>
      </c>
      <c r="O836" s="229"/>
    </row>
    <row r="837" spans="1:15" x14ac:dyDescent="0.2">
      <c r="A837" s="226">
        <v>836</v>
      </c>
      <c r="B837" s="226" t="str">
        <f t="shared" si="146"/>
        <v>-</v>
      </c>
      <c r="M837" s="228">
        <f t="shared" si="147"/>
        <v>0</v>
      </c>
      <c r="N837" s="229">
        <v>1</v>
      </c>
      <c r="O837" s="229"/>
    </row>
    <row r="838" spans="1:15" x14ac:dyDescent="0.2">
      <c r="A838" s="226">
        <v>837</v>
      </c>
      <c r="B838" s="226" t="str">
        <f t="shared" si="146"/>
        <v>SISTEMA MANIFOLDTANK SIZE 8LFM-2001-1</v>
      </c>
      <c r="C838" s="226">
        <f>L838</f>
        <v>1</v>
      </c>
      <c r="D838" s="226" t="s">
        <v>126</v>
      </c>
      <c r="E838" s="226" t="s">
        <v>14</v>
      </c>
      <c r="F838" s="226" t="s">
        <v>15</v>
      </c>
      <c r="G838" s="226">
        <v>1</v>
      </c>
      <c r="H838" s="226" t="s">
        <v>16</v>
      </c>
      <c r="I838" s="227" t="s">
        <v>17</v>
      </c>
      <c r="J838" s="226" t="s">
        <v>18</v>
      </c>
      <c r="K838" s="226" t="s">
        <v>19</v>
      </c>
      <c r="L838" s="226">
        <f>'COT AGENTES'!$H$3</f>
        <v>1</v>
      </c>
      <c r="M838" s="228" t="s">
        <v>20</v>
      </c>
      <c r="N838" s="229">
        <v>1</v>
      </c>
      <c r="O838" s="229"/>
    </row>
    <row r="839" spans="1:15" x14ac:dyDescent="0.2">
      <c r="A839" s="226">
        <v>838</v>
      </c>
      <c r="B839" s="226" t="str">
        <f t="shared" si="146"/>
        <v>SISTEMA MANIFOLDTANK SIZE 8LFM-2001-2</v>
      </c>
      <c r="C839" s="226">
        <f>C838</f>
        <v>1</v>
      </c>
      <c r="D839" s="226" t="s">
        <v>126</v>
      </c>
      <c r="E839" s="226" t="s">
        <v>14</v>
      </c>
      <c r="F839" s="226" t="s">
        <v>15</v>
      </c>
      <c r="G839" s="226">
        <f>+G838+1</f>
        <v>2</v>
      </c>
      <c r="H839" s="226" t="s">
        <v>16</v>
      </c>
      <c r="I839" s="227">
        <v>445732</v>
      </c>
      <c r="J839" s="226" t="s">
        <v>21</v>
      </c>
      <c r="K839" s="226" t="s">
        <v>19</v>
      </c>
      <c r="L839" s="226">
        <f>'COT AGENTES'!$H$3</f>
        <v>1</v>
      </c>
      <c r="M839" s="228">
        <f t="shared" si="147"/>
        <v>445732</v>
      </c>
      <c r="N839" s="229">
        <v>1</v>
      </c>
      <c r="O839" s="229"/>
    </row>
    <row r="840" spans="1:15" x14ac:dyDescent="0.2">
      <c r="A840" s="226">
        <v>839</v>
      </c>
      <c r="B840" s="226" t="str">
        <f t="shared" si="146"/>
        <v>SISTEMA MANIFOLDTANK SIZE 8LFM-2001-3</v>
      </c>
      <c r="C840" s="226">
        <f>C839</f>
        <v>1</v>
      </c>
      <c r="D840" s="226" t="s">
        <v>126</v>
      </c>
      <c r="E840" s="226" t="s">
        <v>14</v>
      </c>
      <c r="F840" s="226" t="s">
        <v>15</v>
      </c>
      <c r="G840" s="226">
        <f t="shared" ref="G840:G861" si="152">+G839+1</f>
        <v>3</v>
      </c>
      <c r="H840" s="226" t="s">
        <v>16</v>
      </c>
      <c r="I840" s="227" t="s">
        <v>22</v>
      </c>
      <c r="J840" s="226" t="s">
        <v>23</v>
      </c>
      <c r="K840" s="226" t="s">
        <v>19</v>
      </c>
      <c r="L840" s="230">
        <f>'COT AGENTES'!$H$5</f>
        <v>2</v>
      </c>
      <c r="M840" s="228">
        <v>453646</v>
      </c>
      <c r="N840" s="229">
        <v>1</v>
      </c>
      <c r="O840" s="229"/>
    </row>
    <row r="841" spans="1:15" x14ac:dyDescent="0.2">
      <c r="A841" s="226">
        <v>840</v>
      </c>
      <c r="B841" s="226" t="str">
        <f t="shared" si="146"/>
        <v>SISTEMA MANIFOLDTANK SIZE 8LFM-2001-4</v>
      </c>
      <c r="C841" s="226">
        <f>C840</f>
        <v>1</v>
      </c>
      <c r="D841" s="226" t="s">
        <v>126</v>
      </c>
      <c r="E841" s="226" t="s">
        <v>14</v>
      </c>
      <c r="F841" s="226" t="s">
        <v>15</v>
      </c>
      <c r="G841" s="226">
        <f t="shared" si="152"/>
        <v>4</v>
      </c>
      <c r="H841" s="226" t="s">
        <v>16</v>
      </c>
      <c r="I841" s="227">
        <v>570055</v>
      </c>
      <c r="J841" s="226" t="s">
        <v>24</v>
      </c>
      <c r="K841" s="226" t="s">
        <v>19</v>
      </c>
      <c r="L841" s="226">
        <f>L839</f>
        <v>1</v>
      </c>
      <c r="M841" s="228">
        <f t="shared" si="147"/>
        <v>570055</v>
      </c>
      <c r="N841" s="229">
        <v>1</v>
      </c>
      <c r="O841" s="229"/>
    </row>
    <row r="842" spans="1:15" x14ac:dyDescent="0.2">
      <c r="A842" s="226">
        <v>841</v>
      </c>
      <c r="B842" s="226" t="str">
        <f t="shared" si="146"/>
        <v>SISTEMA MANIFOLDTANK SIZE 8LFM-2001-5</v>
      </c>
      <c r="C842" s="226">
        <f>C841</f>
        <v>1</v>
      </c>
      <c r="D842" s="226" t="s">
        <v>126</v>
      </c>
      <c r="E842" s="226" t="s">
        <v>14</v>
      </c>
      <c r="F842" s="226" t="s">
        <v>15</v>
      </c>
      <c r="G842" s="226">
        <f t="shared" si="152"/>
        <v>5</v>
      </c>
      <c r="H842" s="226" t="s">
        <v>16</v>
      </c>
      <c r="I842" s="227">
        <v>314205321</v>
      </c>
      <c r="J842" s="226" t="s">
        <v>25</v>
      </c>
      <c r="K842" s="226" t="s">
        <v>19</v>
      </c>
      <c r="L842" s="226">
        <f>L839</f>
        <v>1</v>
      </c>
      <c r="M842" s="228">
        <f t="shared" si="147"/>
        <v>314205321</v>
      </c>
      <c r="N842" s="229">
        <v>1</v>
      </c>
      <c r="O842" s="229"/>
    </row>
    <row r="843" spans="1:15" x14ac:dyDescent="0.2">
      <c r="A843" s="226">
        <v>842</v>
      </c>
      <c r="B843" s="226" t="str">
        <f t="shared" si="146"/>
        <v>SISTEMA MANIFOLDTANK SIZE 8LFM-2001-6</v>
      </c>
      <c r="C843" s="226">
        <f t="shared" ref="C843:C849" si="153">C842</f>
        <v>1</v>
      </c>
      <c r="D843" s="226" t="s">
        <v>126</v>
      </c>
      <c r="E843" s="226" t="s">
        <v>14</v>
      </c>
      <c r="F843" s="226" t="s">
        <v>15</v>
      </c>
      <c r="G843" s="226">
        <f t="shared" si="152"/>
        <v>6</v>
      </c>
      <c r="H843" s="226" t="s">
        <v>16</v>
      </c>
      <c r="I843" s="227">
        <v>570585</v>
      </c>
      <c r="J843" s="226" t="s">
        <v>26</v>
      </c>
      <c r="K843" s="226" t="s">
        <v>19</v>
      </c>
      <c r="L843" s="226">
        <f>L839</f>
        <v>1</v>
      </c>
      <c r="M843" s="228">
        <f t="shared" si="147"/>
        <v>570585</v>
      </c>
      <c r="N843" s="229">
        <v>1</v>
      </c>
      <c r="O843" s="229"/>
    </row>
    <row r="844" spans="1:15" x14ac:dyDescent="0.2">
      <c r="A844" s="226">
        <v>843</v>
      </c>
      <c r="B844" s="226" t="str">
        <f t="shared" si="146"/>
        <v>SISTEMA MANIFOLDTANK SIZE 8LFM-2001-7</v>
      </c>
      <c r="C844" s="226">
        <f>C846</f>
        <v>1</v>
      </c>
      <c r="D844" s="226" t="s">
        <v>126</v>
      </c>
      <c r="E844" s="226" t="s">
        <v>14</v>
      </c>
      <c r="F844" s="226" t="s">
        <v>15</v>
      </c>
      <c r="G844" s="226">
        <f t="shared" si="152"/>
        <v>7</v>
      </c>
      <c r="H844" s="226" t="s">
        <v>16</v>
      </c>
      <c r="I844" s="227">
        <v>304205030</v>
      </c>
      <c r="J844" s="226" t="s">
        <v>27</v>
      </c>
      <c r="K844" s="226" t="s">
        <v>19</v>
      </c>
      <c r="L844" s="226">
        <v>1</v>
      </c>
      <c r="M844" s="228">
        <f t="shared" si="147"/>
        <v>304205030</v>
      </c>
      <c r="N844" s="229">
        <v>1</v>
      </c>
      <c r="O844" s="229"/>
    </row>
    <row r="845" spans="1:15" x14ac:dyDescent="0.2">
      <c r="A845" s="226">
        <v>844</v>
      </c>
      <c r="B845" s="226" t="str">
        <f t="shared" si="146"/>
        <v>SISTEMA MANIFOLDTANK SIZE 8LFM-2001-8</v>
      </c>
      <c r="C845" s="226">
        <f t="shared" si="153"/>
        <v>1</v>
      </c>
      <c r="D845" s="226" t="s">
        <v>126</v>
      </c>
      <c r="E845" s="226" t="s">
        <v>14</v>
      </c>
      <c r="F845" s="226" t="s">
        <v>15</v>
      </c>
      <c r="G845" s="226">
        <f t="shared" si="152"/>
        <v>8</v>
      </c>
      <c r="H845" s="226" t="s">
        <v>16</v>
      </c>
      <c r="I845" s="227" t="s">
        <v>28</v>
      </c>
      <c r="J845" s="226" t="s">
        <v>29</v>
      </c>
      <c r="K845" s="226" t="s">
        <v>19</v>
      </c>
      <c r="L845" s="226">
        <v>1</v>
      </c>
      <c r="M845" s="228" t="str">
        <f t="shared" si="147"/>
        <v>A1638150HY</v>
      </c>
      <c r="N845" s="229">
        <v>1</v>
      </c>
      <c r="O845" s="229"/>
    </row>
    <row r="846" spans="1:15" x14ac:dyDescent="0.2">
      <c r="A846" s="226">
        <v>845</v>
      </c>
      <c r="B846" s="226" t="str">
        <f t="shared" si="146"/>
        <v>SISTEMA MANIFOLDTANK SIZE 8LFM-2001-9</v>
      </c>
      <c r="C846" s="226">
        <f>C843</f>
        <v>1</v>
      </c>
      <c r="D846" s="226" t="s">
        <v>126</v>
      </c>
      <c r="E846" s="226" t="s">
        <v>14</v>
      </c>
      <c r="F846" s="226" t="s">
        <v>15</v>
      </c>
      <c r="G846" s="226">
        <f t="shared" si="152"/>
        <v>9</v>
      </c>
      <c r="H846" s="226" t="s">
        <v>16</v>
      </c>
      <c r="I846" s="227" t="s">
        <v>30</v>
      </c>
      <c r="J846" s="226" t="s">
        <v>31</v>
      </c>
      <c r="K846" s="226" t="s">
        <v>19</v>
      </c>
      <c r="L846" s="226">
        <f>L839</f>
        <v>1</v>
      </c>
      <c r="M846" s="228" t="str">
        <f t="shared" si="147"/>
        <v>570085-R2</v>
      </c>
      <c r="N846" s="229">
        <v>1</v>
      </c>
      <c r="O846" s="229"/>
    </row>
    <row r="847" spans="1:15" x14ac:dyDescent="0.2">
      <c r="A847" s="226">
        <v>846</v>
      </c>
      <c r="B847" s="226" t="str">
        <f t="shared" si="146"/>
        <v>SISTEMA MANIFOLDTANK SIZE 8LFM-2001-10</v>
      </c>
      <c r="C847" s="226">
        <f>C858</f>
        <v>1</v>
      </c>
      <c r="D847" s="226" t="s">
        <v>126</v>
      </c>
      <c r="E847" s="226" t="s">
        <v>14</v>
      </c>
      <c r="F847" s="226" t="s">
        <v>15</v>
      </c>
      <c r="G847" s="226">
        <f t="shared" si="152"/>
        <v>10</v>
      </c>
      <c r="H847" s="226" t="s">
        <v>16</v>
      </c>
      <c r="I847" s="227" t="s">
        <v>32</v>
      </c>
      <c r="J847" s="226" t="s">
        <v>33</v>
      </c>
      <c r="K847" s="226" t="s">
        <v>19</v>
      </c>
      <c r="L847" s="230">
        <f>'COT AGENTES'!$M$11</f>
        <v>1</v>
      </c>
      <c r="M847" s="228" t="s">
        <v>34</v>
      </c>
      <c r="N847" s="229">
        <v>1</v>
      </c>
      <c r="O847" s="229"/>
    </row>
    <row r="848" spans="1:15" x14ac:dyDescent="0.2">
      <c r="A848" s="226">
        <v>847</v>
      </c>
      <c r="B848" s="226" t="str">
        <f t="shared" si="146"/>
        <v>SISTEMA MANIFOLDTANK SIZE 8LFM-2001-11</v>
      </c>
      <c r="C848" s="226">
        <f t="shared" si="153"/>
        <v>1</v>
      </c>
      <c r="D848" s="226" t="s">
        <v>126</v>
      </c>
      <c r="E848" s="226" t="s">
        <v>14</v>
      </c>
      <c r="F848" s="226" t="s">
        <v>15</v>
      </c>
      <c r="G848" s="226">
        <f t="shared" si="152"/>
        <v>11</v>
      </c>
      <c r="H848" s="226" t="s">
        <v>16</v>
      </c>
      <c r="I848" s="227" t="s">
        <v>35</v>
      </c>
      <c r="J848" s="226" t="s">
        <v>36</v>
      </c>
      <c r="K848" s="226" t="s">
        <v>19</v>
      </c>
      <c r="L848" s="226">
        <v>1</v>
      </c>
      <c r="M848" s="228" t="str">
        <f t="shared" si="147"/>
        <v>442927-R2</v>
      </c>
      <c r="N848" s="229">
        <v>1</v>
      </c>
      <c r="O848" s="229"/>
    </row>
    <row r="849" spans="1:15" x14ac:dyDescent="0.2">
      <c r="A849" s="226">
        <v>848</v>
      </c>
      <c r="B849" s="226" t="str">
        <f t="shared" si="146"/>
        <v>SISTEMA MANIFOLDTANK SIZE 8LFM-2001-12</v>
      </c>
      <c r="C849" s="226">
        <f t="shared" si="153"/>
        <v>1</v>
      </c>
      <c r="D849" s="226" t="s">
        <v>126</v>
      </c>
      <c r="E849" s="226" t="s">
        <v>14</v>
      </c>
      <c r="F849" s="226" t="s">
        <v>15</v>
      </c>
      <c r="G849" s="226">
        <f t="shared" si="152"/>
        <v>12</v>
      </c>
      <c r="H849" s="226" t="s">
        <v>16</v>
      </c>
      <c r="I849" s="227" t="s">
        <v>37</v>
      </c>
      <c r="J849" s="226" t="s">
        <v>38</v>
      </c>
      <c r="K849" s="226" t="s">
        <v>19</v>
      </c>
      <c r="L849" s="226">
        <v>1</v>
      </c>
      <c r="M849" s="228" t="str">
        <f t="shared" si="147"/>
        <v>442928-R2</v>
      </c>
      <c r="N849" s="229">
        <v>1</v>
      </c>
      <c r="O849" s="229"/>
    </row>
    <row r="850" spans="1:15" x14ac:dyDescent="0.2">
      <c r="A850" s="226">
        <v>849</v>
      </c>
      <c r="B850" s="226" t="str">
        <f t="shared" si="146"/>
        <v>SISTEMA MANIFOLDTANK SIZE 8LFM-2001-13</v>
      </c>
      <c r="C850" s="226">
        <f>C851</f>
        <v>1</v>
      </c>
      <c r="D850" s="226" t="s">
        <v>126</v>
      </c>
      <c r="E850" s="226" t="s">
        <v>14</v>
      </c>
      <c r="F850" s="226" t="s">
        <v>15</v>
      </c>
      <c r="G850" s="226">
        <f t="shared" si="152"/>
        <v>13</v>
      </c>
      <c r="H850" s="226" t="s">
        <v>16</v>
      </c>
      <c r="I850" s="227" t="s">
        <v>44</v>
      </c>
      <c r="J850" s="226" t="s">
        <v>45</v>
      </c>
      <c r="K850" s="226" t="s">
        <v>19</v>
      </c>
      <c r="L850" s="226">
        <f>L839</f>
        <v>1</v>
      </c>
      <c r="M850" s="228" t="str">
        <f t="shared" si="147"/>
        <v>570539-R2</v>
      </c>
      <c r="N850" s="229">
        <v>1</v>
      </c>
      <c r="O850" s="229"/>
    </row>
    <row r="851" spans="1:15" x14ac:dyDescent="0.2">
      <c r="A851" s="226">
        <v>850</v>
      </c>
      <c r="B851" s="226" t="str">
        <f t="shared" si="146"/>
        <v>SISTEMA MANIFOLDTANK SIZE 8LFM-2001-14</v>
      </c>
      <c r="C851" s="226">
        <f>C855</f>
        <v>1</v>
      </c>
      <c r="D851" s="226" t="s">
        <v>126</v>
      </c>
      <c r="E851" s="226" t="s">
        <v>14</v>
      </c>
      <c r="F851" s="226" t="s">
        <v>15</v>
      </c>
      <c r="G851" s="226">
        <f t="shared" si="152"/>
        <v>14</v>
      </c>
      <c r="H851" s="226" t="s">
        <v>16</v>
      </c>
      <c r="I851" s="227">
        <v>570566</v>
      </c>
      <c r="J851" s="226" t="s">
        <v>119</v>
      </c>
      <c r="K851" s="226" t="s">
        <v>19</v>
      </c>
      <c r="L851" s="226">
        <f>L839</f>
        <v>1</v>
      </c>
      <c r="M851" s="228">
        <f t="shared" si="147"/>
        <v>570566</v>
      </c>
      <c r="N851" s="229">
        <v>1</v>
      </c>
      <c r="O851" s="229"/>
    </row>
    <row r="852" spans="1:15" x14ac:dyDescent="0.2">
      <c r="A852" s="226">
        <v>851</v>
      </c>
      <c r="B852" s="226" t="str">
        <f t="shared" si="146"/>
        <v>SISTEMA MANIFOLDTANK SIZE 8LFM-2001-15</v>
      </c>
      <c r="C852" s="226">
        <f>C849</f>
        <v>1</v>
      </c>
      <c r="D852" s="226" t="s">
        <v>126</v>
      </c>
      <c r="E852" s="226" t="s">
        <v>14</v>
      </c>
      <c r="F852" s="226" t="s">
        <v>15</v>
      </c>
      <c r="G852" s="226">
        <f t="shared" si="152"/>
        <v>15</v>
      </c>
      <c r="H852" s="226" t="s">
        <v>16</v>
      </c>
      <c r="I852" s="227">
        <v>570550</v>
      </c>
      <c r="J852" s="226" t="s">
        <v>120</v>
      </c>
      <c r="K852" s="226" t="s">
        <v>19</v>
      </c>
      <c r="L852" s="226">
        <f>L839-1</f>
        <v>0</v>
      </c>
      <c r="M852" s="228">
        <f t="shared" si="147"/>
        <v>570550</v>
      </c>
      <c r="N852" s="229">
        <v>1</v>
      </c>
      <c r="O852" s="229"/>
    </row>
    <row r="853" spans="1:15" x14ac:dyDescent="0.2">
      <c r="A853" s="226">
        <v>852</v>
      </c>
      <c r="B853" s="226" t="str">
        <f t="shared" si="146"/>
        <v>SISTEMA MANIFOLDTANK SIZE 8LFM-2001-16</v>
      </c>
      <c r="C853" s="226">
        <f>C857</f>
        <v>1</v>
      </c>
      <c r="D853" s="226" t="s">
        <v>126</v>
      </c>
      <c r="E853" s="226" t="s">
        <v>14</v>
      </c>
      <c r="F853" s="226" t="s">
        <v>15</v>
      </c>
      <c r="G853" s="226">
        <f t="shared" si="152"/>
        <v>16</v>
      </c>
      <c r="H853" s="226" t="s">
        <v>16</v>
      </c>
      <c r="I853" s="227">
        <v>32338</v>
      </c>
      <c r="J853" s="226" t="s">
        <v>42</v>
      </c>
      <c r="K853" s="226" t="s">
        <v>19</v>
      </c>
      <c r="L853" s="226">
        <v>1</v>
      </c>
      <c r="M853" s="228">
        <f t="shared" si="147"/>
        <v>32338</v>
      </c>
      <c r="N853" s="229">
        <v>1</v>
      </c>
      <c r="O853" s="229"/>
    </row>
    <row r="854" spans="1:15" x14ac:dyDescent="0.2">
      <c r="A854" s="226">
        <v>853</v>
      </c>
      <c r="B854" s="226" t="str">
        <f t="shared" si="146"/>
        <v>SISTEMA MANIFOLDTANK SIZE 8LFM-2001-17</v>
      </c>
      <c r="C854" s="226">
        <f>C860</f>
        <v>1</v>
      </c>
      <c r="D854" s="226" t="s">
        <v>126</v>
      </c>
      <c r="E854" s="226" t="s">
        <v>14</v>
      </c>
      <c r="F854" s="226" t="s">
        <v>15</v>
      </c>
      <c r="G854" s="226">
        <f t="shared" si="152"/>
        <v>17</v>
      </c>
      <c r="H854" s="226" t="s">
        <v>16</v>
      </c>
      <c r="I854" s="227">
        <v>31810</v>
      </c>
      <c r="J854" s="226" t="s">
        <v>121</v>
      </c>
      <c r="K854" s="226" t="s">
        <v>19</v>
      </c>
      <c r="L854" s="226">
        <v>1</v>
      </c>
      <c r="M854" s="228">
        <f t="shared" si="147"/>
        <v>31810</v>
      </c>
      <c r="N854" s="229">
        <v>1</v>
      </c>
      <c r="O854" s="229"/>
    </row>
    <row r="855" spans="1:15" x14ac:dyDescent="0.2">
      <c r="A855" s="226">
        <v>854</v>
      </c>
      <c r="B855" s="226" t="str">
        <f t="shared" si="146"/>
        <v>SISTEMA MANIFOLDTANK SIZE 8LFM-2001-18</v>
      </c>
      <c r="C855" s="226">
        <f>C854</f>
        <v>1</v>
      </c>
      <c r="D855" s="226" t="s">
        <v>126</v>
      </c>
      <c r="E855" s="226" t="s">
        <v>14</v>
      </c>
      <c r="F855" s="226" t="s">
        <v>15</v>
      </c>
      <c r="G855" s="226">
        <f t="shared" si="152"/>
        <v>18</v>
      </c>
      <c r="H855" s="226" t="s">
        <v>16</v>
      </c>
      <c r="I855" s="227">
        <v>32336</v>
      </c>
      <c r="J855" s="226" t="s">
        <v>122</v>
      </c>
      <c r="K855" s="226" t="s">
        <v>19</v>
      </c>
      <c r="L855" s="226">
        <f>L839-1</f>
        <v>0</v>
      </c>
      <c r="M855" s="228">
        <f t="shared" si="147"/>
        <v>32336</v>
      </c>
      <c r="N855" s="229">
        <v>1</v>
      </c>
      <c r="O855" s="229"/>
    </row>
    <row r="856" spans="1:15" x14ac:dyDescent="0.2">
      <c r="A856" s="226">
        <v>855</v>
      </c>
      <c r="B856" s="226" t="str">
        <f t="shared" si="146"/>
        <v>SISTEMA MANIFOLDTANK SIZE 8LFM-2001-19</v>
      </c>
      <c r="C856" s="226">
        <f t="shared" ref="C856" si="154">C855</f>
        <v>1</v>
      </c>
      <c r="D856" s="226" t="s">
        <v>126</v>
      </c>
      <c r="E856" s="226" t="s">
        <v>14</v>
      </c>
      <c r="F856" s="226" t="s">
        <v>15</v>
      </c>
      <c r="G856" s="226">
        <f t="shared" si="152"/>
        <v>19</v>
      </c>
      <c r="H856" s="226" t="s">
        <v>16</v>
      </c>
      <c r="I856" s="227">
        <v>31811</v>
      </c>
      <c r="J856" s="226" t="s">
        <v>123</v>
      </c>
      <c r="K856" s="226" t="s">
        <v>19</v>
      </c>
      <c r="L856" s="226">
        <f>IF(L839&gt;1,L839-1,0)</f>
        <v>0</v>
      </c>
      <c r="M856" s="228">
        <f t="shared" si="147"/>
        <v>31811</v>
      </c>
      <c r="N856" s="229">
        <v>1</v>
      </c>
      <c r="O856" s="229"/>
    </row>
    <row r="857" spans="1:15" x14ac:dyDescent="0.2">
      <c r="A857" s="226">
        <v>856</v>
      </c>
      <c r="B857" s="226" t="str">
        <f t="shared" si="146"/>
        <v>SISTEMA MANIFOLDTANK SIZE 8LFM-2001-20</v>
      </c>
      <c r="C857" s="226">
        <f>C852</f>
        <v>1</v>
      </c>
      <c r="D857" s="226" t="s">
        <v>126</v>
      </c>
      <c r="E857" s="226" t="s">
        <v>14</v>
      </c>
      <c r="F857" s="226" t="s">
        <v>15</v>
      </c>
      <c r="G857" s="226">
        <f t="shared" si="152"/>
        <v>20</v>
      </c>
      <c r="M857" s="228">
        <f t="shared" si="147"/>
        <v>0</v>
      </c>
      <c r="N857" s="229">
        <v>1</v>
      </c>
      <c r="O857" s="229"/>
    </row>
    <row r="858" spans="1:15" x14ac:dyDescent="0.2">
      <c r="A858" s="226">
        <v>857</v>
      </c>
      <c r="B858" s="226" t="str">
        <f t="shared" si="146"/>
        <v>SISTEMA MANIFOLDTANK SIZE 8LFM-2001-21</v>
      </c>
      <c r="C858" s="226">
        <f>C845</f>
        <v>1</v>
      </c>
      <c r="D858" s="226" t="s">
        <v>126</v>
      </c>
      <c r="E858" s="226" t="s">
        <v>14</v>
      </c>
      <c r="F858" s="226" t="s">
        <v>15</v>
      </c>
      <c r="G858" s="226">
        <f t="shared" si="152"/>
        <v>21</v>
      </c>
      <c r="H858" s="226" t="s">
        <v>16</v>
      </c>
      <c r="I858" s="227">
        <v>437900</v>
      </c>
      <c r="J858" s="226" t="s">
        <v>40</v>
      </c>
      <c r="K858" s="226" t="s">
        <v>19</v>
      </c>
      <c r="L858" s="226">
        <v>1</v>
      </c>
      <c r="M858" s="228">
        <f t="shared" si="147"/>
        <v>437900</v>
      </c>
      <c r="N858" s="229">
        <v>1</v>
      </c>
      <c r="O858" s="229"/>
    </row>
    <row r="859" spans="1:15" x14ac:dyDescent="0.2">
      <c r="A859" s="226">
        <v>858</v>
      </c>
      <c r="B859" s="226" t="str">
        <f t="shared" si="146"/>
        <v>SISTEMA MANIFOLDTANK SIZE 8LFM-2001-22</v>
      </c>
      <c r="C859" s="226">
        <f t="shared" ref="C859" si="155">C858</f>
        <v>1</v>
      </c>
      <c r="D859" s="226" t="s">
        <v>126</v>
      </c>
      <c r="E859" s="226" t="s">
        <v>14</v>
      </c>
      <c r="F859" s="226" t="s">
        <v>15</v>
      </c>
      <c r="G859" s="226">
        <f t="shared" si="152"/>
        <v>22</v>
      </c>
      <c r="H859" s="226" t="s">
        <v>16</v>
      </c>
      <c r="I859" s="227">
        <v>31811</v>
      </c>
      <c r="J859" s="226" t="s">
        <v>123</v>
      </c>
      <c r="K859" s="226" t="s">
        <v>19</v>
      </c>
      <c r="L859" s="226">
        <v>1</v>
      </c>
      <c r="M859" s="228">
        <f t="shared" si="147"/>
        <v>31811</v>
      </c>
      <c r="N859" s="229">
        <v>1</v>
      </c>
      <c r="O859" s="229"/>
    </row>
    <row r="860" spans="1:15" x14ac:dyDescent="0.2">
      <c r="A860" s="226">
        <v>859</v>
      </c>
      <c r="B860" s="226" t="str">
        <f t="shared" si="146"/>
        <v>SISTEMA MANIFOLDTANK SIZE 8LFM-2001-23</v>
      </c>
      <c r="C860" s="226">
        <f>C853</f>
        <v>1</v>
      </c>
      <c r="D860" s="226" t="s">
        <v>126</v>
      </c>
      <c r="E860" s="226" t="s">
        <v>14</v>
      </c>
      <c r="F860" s="226" t="s">
        <v>15</v>
      </c>
      <c r="G860" s="226">
        <f t="shared" si="152"/>
        <v>23</v>
      </c>
      <c r="H860" s="226" t="s">
        <v>16</v>
      </c>
      <c r="I860" s="227">
        <v>73597</v>
      </c>
      <c r="J860" s="226" t="s">
        <v>41</v>
      </c>
      <c r="K860" s="226" t="s">
        <v>19</v>
      </c>
      <c r="L860" s="226">
        <v>1</v>
      </c>
      <c r="M860" s="228">
        <f t="shared" si="147"/>
        <v>73597</v>
      </c>
      <c r="N860" s="229">
        <v>1</v>
      </c>
      <c r="O860" s="229"/>
    </row>
    <row r="861" spans="1:15" x14ac:dyDescent="0.2">
      <c r="A861" s="226">
        <v>860</v>
      </c>
      <c r="B861" s="226" t="str">
        <f t="shared" si="146"/>
        <v>SISTEMA MANIFOLDTANK SIZE 8LFM-2001-24</v>
      </c>
      <c r="C861" s="226">
        <f>C849</f>
        <v>1</v>
      </c>
      <c r="D861" s="226" t="s">
        <v>126</v>
      </c>
      <c r="E861" s="226" t="s">
        <v>14</v>
      </c>
      <c r="F861" s="226" t="s">
        <v>15</v>
      </c>
      <c r="G861" s="226">
        <f t="shared" si="152"/>
        <v>24</v>
      </c>
      <c r="H861" s="226" t="s">
        <v>16</v>
      </c>
      <c r="I861" s="227">
        <v>76498</v>
      </c>
      <c r="J861" s="226" t="s">
        <v>46</v>
      </c>
      <c r="K861" s="226" t="s">
        <v>19</v>
      </c>
      <c r="L861" s="226">
        <v>1</v>
      </c>
      <c r="M861" s="228">
        <f t="shared" si="147"/>
        <v>76498</v>
      </c>
      <c r="N861" s="229">
        <v>1</v>
      </c>
      <c r="O861" s="229"/>
    </row>
    <row r="862" spans="1:15" x14ac:dyDescent="0.2">
      <c r="A862" s="226">
        <v>861</v>
      </c>
      <c r="B862" s="226" t="str">
        <f t="shared" si="146"/>
        <v>-</v>
      </c>
      <c r="M862" s="228">
        <f t="shared" si="147"/>
        <v>0</v>
      </c>
      <c r="N862" s="229">
        <v>1</v>
      </c>
      <c r="O862" s="229"/>
    </row>
    <row r="863" spans="1:15" x14ac:dyDescent="0.2">
      <c r="A863" s="226">
        <v>862</v>
      </c>
      <c r="B863" s="226" t="str">
        <f t="shared" si="146"/>
        <v>SISTEMA MANIFOLDTANK SIZE 16LFM-2001-1</v>
      </c>
      <c r="C863" s="226">
        <f>L863</f>
        <v>1</v>
      </c>
      <c r="D863" s="226" t="s">
        <v>126</v>
      </c>
      <c r="E863" s="226" t="s">
        <v>47</v>
      </c>
      <c r="F863" s="226" t="s">
        <v>15</v>
      </c>
      <c r="G863" s="226">
        <v>1</v>
      </c>
      <c r="H863" s="226" t="s">
        <v>16</v>
      </c>
      <c r="I863" s="227" t="s">
        <v>17</v>
      </c>
      <c r="J863" s="226" t="s">
        <v>48</v>
      </c>
      <c r="K863" s="226" t="s">
        <v>19</v>
      </c>
      <c r="L863" s="226">
        <f>'COT AGENTES'!$H$3</f>
        <v>1</v>
      </c>
      <c r="M863" s="228" t="s">
        <v>49</v>
      </c>
      <c r="N863" s="229">
        <v>1</v>
      </c>
      <c r="O863" s="229"/>
    </row>
    <row r="864" spans="1:15" x14ac:dyDescent="0.2">
      <c r="A864" s="226">
        <v>863</v>
      </c>
      <c r="B864" s="226" t="str">
        <f t="shared" si="146"/>
        <v>SISTEMA MANIFOLDTANK SIZE 16LFM-2001-2</v>
      </c>
      <c r="C864" s="226">
        <f>C863</f>
        <v>1</v>
      </c>
      <c r="D864" s="226" t="s">
        <v>126</v>
      </c>
      <c r="E864" s="226" t="s">
        <v>47</v>
      </c>
      <c r="F864" s="226" t="s">
        <v>15</v>
      </c>
      <c r="G864" s="226">
        <f t="shared" ref="G864:G886" si="156">+G863+1</f>
        <v>2</v>
      </c>
      <c r="H864" s="226" t="s">
        <v>16</v>
      </c>
      <c r="I864" s="227">
        <v>445733</v>
      </c>
      <c r="J864" s="226" t="s">
        <v>50</v>
      </c>
      <c r="K864" s="226" t="s">
        <v>19</v>
      </c>
      <c r="L864" s="226">
        <f>L863</f>
        <v>1</v>
      </c>
      <c r="M864" s="228">
        <f t="shared" si="147"/>
        <v>445733</v>
      </c>
      <c r="N864" s="229">
        <v>1</v>
      </c>
      <c r="O864" s="229"/>
    </row>
    <row r="865" spans="1:15" x14ac:dyDescent="0.2">
      <c r="A865" s="226">
        <v>864</v>
      </c>
      <c r="B865" s="226" t="str">
        <f t="shared" si="146"/>
        <v>SISTEMA MANIFOLDTANK SIZE 16LFM-2001-3</v>
      </c>
      <c r="C865" s="226">
        <f t="shared" ref="C865:C886" si="157">C864</f>
        <v>1</v>
      </c>
      <c r="D865" s="226" t="s">
        <v>126</v>
      </c>
      <c r="E865" s="226" t="s">
        <v>47</v>
      </c>
      <c r="F865" s="226" t="s">
        <v>15</v>
      </c>
      <c r="G865" s="226">
        <f t="shared" si="156"/>
        <v>3</v>
      </c>
      <c r="H865" s="226" t="s">
        <v>16</v>
      </c>
      <c r="I865" s="227" t="s">
        <v>22</v>
      </c>
      <c r="J865" s="226" t="s">
        <v>23</v>
      </c>
      <c r="K865" s="226" t="s">
        <v>19</v>
      </c>
      <c r="L865" s="230">
        <f>'COT AGENTES'!$H$5</f>
        <v>2</v>
      </c>
      <c r="M865" s="228">
        <v>453646</v>
      </c>
      <c r="N865" s="229">
        <v>1</v>
      </c>
      <c r="O865" s="229"/>
    </row>
    <row r="866" spans="1:15" x14ac:dyDescent="0.2">
      <c r="A866" s="226">
        <v>865</v>
      </c>
      <c r="B866" s="226" t="str">
        <f t="shared" si="146"/>
        <v>SISTEMA MANIFOLDTANK SIZE 16LFM-2001-4</v>
      </c>
      <c r="C866" s="226">
        <f t="shared" si="157"/>
        <v>1</v>
      </c>
      <c r="D866" s="226" t="s">
        <v>126</v>
      </c>
      <c r="E866" s="226" t="s">
        <v>47</v>
      </c>
      <c r="F866" s="226" t="s">
        <v>15</v>
      </c>
      <c r="G866" s="226">
        <f t="shared" si="156"/>
        <v>4</v>
      </c>
      <c r="H866" s="226" t="s">
        <v>16</v>
      </c>
      <c r="I866" s="227">
        <v>570055</v>
      </c>
      <c r="J866" s="226" t="s">
        <v>24</v>
      </c>
      <c r="K866" s="226" t="s">
        <v>19</v>
      </c>
      <c r="L866" s="226">
        <f>L864</f>
        <v>1</v>
      </c>
      <c r="M866" s="228">
        <f t="shared" si="147"/>
        <v>570055</v>
      </c>
      <c r="N866" s="229">
        <v>1</v>
      </c>
      <c r="O866" s="229"/>
    </row>
    <row r="867" spans="1:15" x14ac:dyDescent="0.2">
      <c r="A867" s="226">
        <v>866</v>
      </c>
      <c r="B867" s="226" t="str">
        <f t="shared" si="146"/>
        <v>SISTEMA MANIFOLDTANK SIZE 16LFM-2001-5</v>
      </c>
      <c r="C867" s="226">
        <f t="shared" si="157"/>
        <v>1</v>
      </c>
      <c r="D867" s="226" t="s">
        <v>126</v>
      </c>
      <c r="E867" s="226" t="s">
        <v>47</v>
      </c>
      <c r="F867" s="226" t="s">
        <v>15</v>
      </c>
      <c r="G867" s="226">
        <f t="shared" si="156"/>
        <v>5</v>
      </c>
      <c r="H867" s="226" t="s">
        <v>16</v>
      </c>
      <c r="I867" s="227">
        <v>314205321</v>
      </c>
      <c r="J867" s="226" t="s">
        <v>25</v>
      </c>
      <c r="K867" s="226" t="s">
        <v>19</v>
      </c>
      <c r="L867" s="226">
        <f>L864</f>
        <v>1</v>
      </c>
      <c r="M867" s="228">
        <f t="shared" si="147"/>
        <v>314205321</v>
      </c>
      <c r="N867" s="229">
        <v>1</v>
      </c>
      <c r="O867" s="229"/>
    </row>
    <row r="868" spans="1:15" x14ac:dyDescent="0.2">
      <c r="A868" s="226">
        <v>867</v>
      </c>
      <c r="B868" s="226" t="str">
        <f t="shared" si="146"/>
        <v>SISTEMA MANIFOLDTANK SIZE 16LFM-2001-6</v>
      </c>
      <c r="C868" s="226">
        <f t="shared" si="157"/>
        <v>1</v>
      </c>
      <c r="D868" s="226" t="s">
        <v>126</v>
      </c>
      <c r="E868" s="226" t="s">
        <v>47</v>
      </c>
      <c r="F868" s="226" t="s">
        <v>15</v>
      </c>
      <c r="G868" s="226">
        <f t="shared" si="156"/>
        <v>6</v>
      </c>
      <c r="H868" s="226" t="s">
        <v>16</v>
      </c>
      <c r="I868" s="227">
        <v>570585</v>
      </c>
      <c r="J868" s="226" t="s">
        <v>26</v>
      </c>
      <c r="K868" s="226" t="s">
        <v>19</v>
      </c>
      <c r="L868" s="226">
        <f>L864</f>
        <v>1</v>
      </c>
      <c r="M868" s="228">
        <f t="shared" si="147"/>
        <v>570585</v>
      </c>
      <c r="N868" s="229">
        <v>1</v>
      </c>
      <c r="O868" s="229"/>
    </row>
    <row r="869" spans="1:15" x14ac:dyDescent="0.2">
      <c r="A869" s="226">
        <v>868</v>
      </c>
      <c r="B869" s="226" t="str">
        <f t="shared" si="146"/>
        <v>SISTEMA MANIFOLDTANK SIZE 16LFM-2001-7</v>
      </c>
      <c r="C869" s="226">
        <f t="shared" si="157"/>
        <v>1</v>
      </c>
      <c r="D869" s="226" t="s">
        <v>126</v>
      </c>
      <c r="E869" s="226" t="s">
        <v>47</v>
      </c>
      <c r="F869" s="226" t="s">
        <v>15</v>
      </c>
      <c r="G869" s="226">
        <f t="shared" si="156"/>
        <v>7</v>
      </c>
      <c r="H869" s="226" t="s">
        <v>16</v>
      </c>
      <c r="I869" s="227">
        <v>304205030</v>
      </c>
      <c r="J869" s="226" t="s">
        <v>27</v>
      </c>
      <c r="K869" s="226" t="s">
        <v>19</v>
      </c>
      <c r="L869" s="226">
        <v>1</v>
      </c>
      <c r="M869" s="228">
        <f t="shared" si="147"/>
        <v>304205030</v>
      </c>
      <c r="N869" s="229">
        <v>1</v>
      </c>
      <c r="O869" s="229"/>
    </row>
    <row r="870" spans="1:15" x14ac:dyDescent="0.2">
      <c r="A870" s="226">
        <v>869</v>
      </c>
      <c r="B870" s="226" t="str">
        <f t="shared" si="146"/>
        <v>SISTEMA MANIFOLDTANK SIZE 16LFM-2001-8</v>
      </c>
      <c r="C870" s="226">
        <f t="shared" si="157"/>
        <v>1</v>
      </c>
      <c r="D870" s="226" t="s">
        <v>126</v>
      </c>
      <c r="E870" s="226" t="s">
        <v>47</v>
      </c>
      <c r="F870" s="226" t="s">
        <v>15</v>
      </c>
      <c r="G870" s="226">
        <f t="shared" si="156"/>
        <v>8</v>
      </c>
      <c r="H870" s="226" t="s">
        <v>16</v>
      </c>
      <c r="I870" s="227" t="s">
        <v>28</v>
      </c>
      <c r="J870" s="226" t="s">
        <v>29</v>
      </c>
      <c r="K870" s="226" t="s">
        <v>19</v>
      </c>
      <c r="L870" s="226">
        <v>1</v>
      </c>
      <c r="M870" s="228" t="str">
        <f t="shared" si="147"/>
        <v>A1638150HY</v>
      </c>
      <c r="N870" s="229">
        <v>1</v>
      </c>
      <c r="O870" s="229"/>
    </row>
    <row r="871" spans="1:15" x14ac:dyDescent="0.2">
      <c r="A871" s="226">
        <v>870</v>
      </c>
      <c r="B871" s="226" t="str">
        <f t="shared" si="146"/>
        <v>SISTEMA MANIFOLDTANK SIZE 16LFM-2001-9</v>
      </c>
      <c r="C871" s="226">
        <f t="shared" si="157"/>
        <v>1</v>
      </c>
      <c r="D871" s="226" t="s">
        <v>126</v>
      </c>
      <c r="E871" s="226" t="s">
        <v>47</v>
      </c>
      <c r="F871" s="226" t="s">
        <v>15</v>
      </c>
      <c r="G871" s="226">
        <f t="shared" si="156"/>
        <v>9</v>
      </c>
      <c r="H871" s="226" t="s">
        <v>16</v>
      </c>
      <c r="I871" s="227" t="s">
        <v>30</v>
      </c>
      <c r="J871" s="226" t="s">
        <v>31</v>
      </c>
      <c r="K871" s="226" t="s">
        <v>19</v>
      </c>
      <c r="L871" s="226">
        <f>L864*2</f>
        <v>2</v>
      </c>
      <c r="M871" s="228" t="str">
        <f t="shared" si="147"/>
        <v>570085-R2</v>
      </c>
      <c r="N871" s="229">
        <v>1</v>
      </c>
      <c r="O871" s="229"/>
    </row>
    <row r="872" spans="1:15" x14ac:dyDescent="0.2">
      <c r="A872" s="226">
        <v>871</v>
      </c>
      <c r="B872" s="226" t="str">
        <f t="shared" si="146"/>
        <v>SISTEMA MANIFOLDTANK SIZE 16LFM-2001-10</v>
      </c>
      <c r="C872" s="226">
        <f t="shared" si="157"/>
        <v>1</v>
      </c>
      <c r="D872" s="226" t="s">
        <v>126</v>
      </c>
      <c r="E872" s="226" t="s">
        <v>47</v>
      </c>
      <c r="F872" s="226" t="s">
        <v>15</v>
      </c>
      <c r="G872" s="226">
        <f t="shared" si="156"/>
        <v>10</v>
      </c>
      <c r="H872" s="226" t="s">
        <v>16</v>
      </c>
      <c r="I872" s="227" t="s">
        <v>32</v>
      </c>
      <c r="J872" s="226" t="s">
        <v>33</v>
      </c>
      <c r="K872" s="226" t="s">
        <v>19</v>
      </c>
      <c r="L872" s="230">
        <f>'COT AGENTES'!$M$11</f>
        <v>1</v>
      </c>
      <c r="M872" s="228" t="s">
        <v>51</v>
      </c>
      <c r="N872" s="229">
        <v>1</v>
      </c>
      <c r="O872" s="229"/>
    </row>
    <row r="873" spans="1:15" x14ac:dyDescent="0.2">
      <c r="A873" s="226">
        <v>872</v>
      </c>
      <c r="B873" s="226" t="str">
        <f t="shared" si="146"/>
        <v>SISTEMA MANIFOLDTANK SIZE 16LFM-2001-11</v>
      </c>
      <c r="C873" s="226">
        <f t="shared" si="157"/>
        <v>1</v>
      </c>
      <c r="D873" s="226" t="s">
        <v>126</v>
      </c>
      <c r="E873" s="226" t="s">
        <v>47</v>
      </c>
      <c r="F873" s="226" t="s">
        <v>15</v>
      </c>
      <c r="G873" s="226">
        <f t="shared" si="156"/>
        <v>11</v>
      </c>
      <c r="H873" s="226" t="s">
        <v>16</v>
      </c>
      <c r="I873" s="227" t="s">
        <v>35</v>
      </c>
      <c r="J873" s="226" t="s">
        <v>36</v>
      </c>
      <c r="K873" s="226" t="s">
        <v>19</v>
      </c>
      <c r="L873" s="226">
        <v>1</v>
      </c>
      <c r="M873" s="228" t="str">
        <f t="shared" si="147"/>
        <v>442927-R2</v>
      </c>
      <c r="N873" s="229">
        <v>1</v>
      </c>
      <c r="O873" s="229"/>
    </row>
    <row r="874" spans="1:15" x14ac:dyDescent="0.2">
      <c r="A874" s="226">
        <v>873</v>
      </c>
      <c r="B874" s="226" t="str">
        <f t="shared" si="146"/>
        <v>SISTEMA MANIFOLDTANK SIZE 16LFM-2001-12</v>
      </c>
      <c r="C874" s="226">
        <f t="shared" si="157"/>
        <v>1</v>
      </c>
      <c r="D874" s="226" t="s">
        <v>126</v>
      </c>
      <c r="E874" s="226" t="s">
        <v>47</v>
      </c>
      <c r="F874" s="226" t="s">
        <v>15</v>
      </c>
      <c r="G874" s="226">
        <f t="shared" si="156"/>
        <v>12</v>
      </c>
      <c r="H874" s="226" t="s">
        <v>16</v>
      </c>
      <c r="I874" s="227" t="s">
        <v>37</v>
      </c>
      <c r="J874" s="226" t="s">
        <v>38</v>
      </c>
      <c r="K874" s="226" t="s">
        <v>19</v>
      </c>
      <c r="L874" s="226">
        <v>1</v>
      </c>
      <c r="M874" s="228" t="str">
        <f t="shared" si="147"/>
        <v>442928-R2</v>
      </c>
      <c r="N874" s="229">
        <v>1</v>
      </c>
      <c r="O874" s="229"/>
    </row>
    <row r="875" spans="1:15" x14ac:dyDescent="0.2">
      <c r="A875" s="226">
        <v>874</v>
      </c>
      <c r="B875" s="226" t="str">
        <f t="shared" si="146"/>
        <v>SISTEMA MANIFOLDTANK SIZE 16LFM-2001-13</v>
      </c>
      <c r="C875" s="226">
        <f t="shared" si="157"/>
        <v>1</v>
      </c>
      <c r="D875" s="226" t="s">
        <v>126</v>
      </c>
      <c r="E875" s="226" t="s">
        <v>47</v>
      </c>
      <c r="F875" s="226" t="s">
        <v>15</v>
      </c>
      <c r="G875" s="226">
        <f t="shared" si="156"/>
        <v>13</v>
      </c>
      <c r="H875" s="226" t="s">
        <v>16</v>
      </c>
      <c r="I875" s="227" t="s">
        <v>44</v>
      </c>
      <c r="J875" s="226" t="s">
        <v>45</v>
      </c>
      <c r="K875" s="226" t="s">
        <v>19</v>
      </c>
      <c r="L875" s="226">
        <f>L864</f>
        <v>1</v>
      </c>
      <c r="M875" s="228" t="str">
        <f t="shared" si="147"/>
        <v>570539-R2</v>
      </c>
      <c r="N875" s="229">
        <v>1</v>
      </c>
      <c r="O875" s="229"/>
    </row>
    <row r="876" spans="1:15" x14ac:dyDescent="0.2">
      <c r="A876" s="226">
        <v>875</v>
      </c>
      <c r="B876" s="226" t="str">
        <f t="shared" si="146"/>
        <v>SISTEMA MANIFOLDTANK SIZE 16LFM-2001-14</v>
      </c>
      <c r="C876" s="226">
        <f t="shared" si="157"/>
        <v>1</v>
      </c>
      <c r="D876" s="226" t="s">
        <v>126</v>
      </c>
      <c r="E876" s="226" t="s">
        <v>47</v>
      </c>
      <c r="F876" s="226" t="s">
        <v>15</v>
      </c>
      <c r="G876" s="226">
        <f t="shared" si="156"/>
        <v>14</v>
      </c>
      <c r="H876" s="226" t="s">
        <v>16</v>
      </c>
      <c r="I876" s="227">
        <v>570566</v>
      </c>
      <c r="J876" s="226" t="s">
        <v>119</v>
      </c>
      <c r="K876" s="226" t="s">
        <v>19</v>
      </c>
      <c r="L876" s="226">
        <f>L864</f>
        <v>1</v>
      </c>
      <c r="M876" s="228">
        <f t="shared" si="147"/>
        <v>570566</v>
      </c>
      <c r="N876" s="229">
        <v>1</v>
      </c>
      <c r="O876" s="229"/>
    </row>
    <row r="877" spans="1:15" x14ac:dyDescent="0.2">
      <c r="A877" s="226">
        <v>876</v>
      </c>
      <c r="B877" s="226" t="str">
        <f t="shared" si="146"/>
        <v>SISTEMA MANIFOLDTANK SIZE 16LFM-2001-15</v>
      </c>
      <c r="C877" s="226">
        <f t="shared" si="157"/>
        <v>1</v>
      </c>
      <c r="D877" s="226" t="s">
        <v>126</v>
      </c>
      <c r="E877" s="226" t="s">
        <v>47</v>
      </c>
      <c r="F877" s="226" t="s">
        <v>15</v>
      </c>
      <c r="G877" s="226">
        <f t="shared" si="156"/>
        <v>15</v>
      </c>
      <c r="H877" s="226" t="s">
        <v>16</v>
      </c>
      <c r="I877" s="227">
        <v>570550</v>
      </c>
      <c r="J877" s="226" t="s">
        <v>120</v>
      </c>
      <c r="K877" s="226" t="s">
        <v>19</v>
      </c>
      <c r="L877" s="226">
        <f>L863-1</f>
        <v>0</v>
      </c>
      <c r="M877" s="228">
        <f t="shared" si="147"/>
        <v>570550</v>
      </c>
      <c r="N877" s="229">
        <v>1</v>
      </c>
      <c r="O877" s="229"/>
    </row>
    <row r="878" spans="1:15" x14ac:dyDescent="0.2">
      <c r="A878" s="226">
        <v>877</v>
      </c>
      <c r="B878" s="226" t="str">
        <f t="shared" si="146"/>
        <v>SISTEMA MANIFOLDTANK SIZE 16LFM-2001-16</v>
      </c>
      <c r="C878" s="226">
        <f t="shared" si="157"/>
        <v>1</v>
      </c>
      <c r="D878" s="226" t="s">
        <v>126</v>
      </c>
      <c r="E878" s="226" t="s">
        <v>47</v>
      </c>
      <c r="F878" s="226" t="s">
        <v>15</v>
      </c>
      <c r="G878" s="226">
        <f t="shared" si="156"/>
        <v>16</v>
      </c>
      <c r="H878" s="226" t="s">
        <v>16</v>
      </c>
      <c r="I878" s="227">
        <v>32338</v>
      </c>
      <c r="J878" s="226" t="s">
        <v>42</v>
      </c>
      <c r="K878" s="226" t="s">
        <v>19</v>
      </c>
      <c r="L878" s="226">
        <v>1</v>
      </c>
      <c r="M878" s="228">
        <f t="shared" si="147"/>
        <v>32338</v>
      </c>
      <c r="N878" s="229">
        <v>1</v>
      </c>
      <c r="O878" s="229"/>
    </row>
    <row r="879" spans="1:15" x14ac:dyDescent="0.2">
      <c r="A879" s="226">
        <v>878</v>
      </c>
      <c r="B879" s="226" t="str">
        <f t="shared" ref="B879:B942" si="158">D879&amp;E879&amp;F879&amp;C879&amp;"-"&amp;G879&amp;IF(M879&lt;&gt;"",O879,"")</f>
        <v>SISTEMA MANIFOLDTANK SIZE 16LFM-2001-17</v>
      </c>
      <c r="C879" s="226">
        <f t="shared" si="157"/>
        <v>1</v>
      </c>
      <c r="D879" s="226" t="s">
        <v>126</v>
      </c>
      <c r="E879" s="226" t="s">
        <v>47</v>
      </c>
      <c r="F879" s="226" t="s">
        <v>15</v>
      </c>
      <c r="G879" s="226">
        <f t="shared" si="156"/>
        <v>17</v>
      </c>
      <c r="H879" s="226" t="s">
        <v>16</v>
      </c>
      <c r="I879" s="227">
        <v>31810</v>
      </c>
      <c r="J879" s="226" t="s">
        <v>121</v>
      </c>
      <c r="K879" s="226" t="s">
        <v>19</v>
      </c>
      <c r="L879" s="226">
        <v>1</v>
      </c>
      <c r="M879" s="228">
        <f t="shared" si="147"/>
        <v>31810</v>
      </c>
      <c r="N879" s="229">
        <v>1</v>
      </c>
      <c r="O879" s="229"/>
    </row>
    <row r="880" spans="1:15" x14ac:dyDescent="0.2">
      <c r="A880" s="226">
        <v>879</v>
      </c>
      <c r="B880" s="226" t="str">
        <f t="shared" si="158"/>
        <v>SISTEMA MANIFOLDTANK SIZE 16LFM-2001-18</v>
      </c>
      <c r="C880" s="226">
        <f t="shared" si="157"/>
        <v>1</v>
      </c>
      <c r="D880" s="226" t="s">
        <v>126</v>
      </c>
      <c r="E880" s="226" t="s">
        <v>47</v>
      </c>
      <c r="F880" s="226" t="s">
        <v>15</v>
      </c>
      <c r="G880" s="226">
        <f t="shared" si="156"/>
        <v>18</v>
      </c>
      <c r="H880" s="226" t="s">
        <v>16</v>
      </c>
      <c r="I880" s="227">
        <v>32336</v>
      </c>
      <c r="J880" s="226" t="s">
        <v>122</v>
      </c>
      <c r="K880" s="226" t="s">
        <v>19</v>
      </c>
      <c r="L880" s="226">
        <f>L863-1</f>
        <v>0</v>
      </c>
      <c r="M880" s="228">
        <f t="shared" ref="M880:M943" si="159">I880</f>
        <v>32336</v>
      </c>
      <c r="N880" s="229">
        <v>1</v>
      </c>
      <c r="O880" s="229"/>
    </row>
    <row r="881" spans="1:15" x14ac:dyDescent="0.2">
      <c r="A881" s="226">
        <v>880</v>
      </c>
      <c r="B881" s="226" t="str">
        <f t="shared" si="158"/>
        <v>SISTEMA MANIFOLDTANK SIZE 16LFM-2001-19</v>
      </c>
      <c r="C881" s="226">
        <f t="shared" si="157"/>
        <v>1</v>
      </c>
      <c r="D881" s="226" t="s">
        <v>126</v>
      </c>
      <c r="E881" s="226" t="s">
        <v>47</v>
      </c>
      <c r="F881" s="226" t="s">
        <v>15</v>
      </c>
      <c r="G881" s="226">
        <f t="shared" si="156"/>
        <v>19</v>
      </c>
      <c r="H881" s="226" t="s">
        <v>16</v>
      </c>
      <c r="I881" s="227">
        <v>31811</v>
      </c>
      <c r="J881" s="226" t="s">
        <v>123</v>
      </c>
      <c r="K881" s="226" t="s">
        <v>19</v>
      </c>
      <c r="L881" s="226">
        <f>IF(L864&gt;1,L864-1,0)</f>
        <v>0</v>
      </c>
      <c r="M881" s="228">
        <f t="shared" si="159"/>
        <v>31811</v>
      </c>
      <c r="N881" s="229">
        <v>1</v>
      </c>
      <c r="O881" s="229"/>
    </row>
    <row r="882" spans="1:15" x14ac:dyDescent="0.2">
      <c r="A882" s="226">
        <v>881</v>
      </c>
      <c r="B882" s="226" t="str">
        <f t="shared" si="158"/>
        <v>SISTEMA MANIFOLDTANK SIZE 16LFM-2001-20</v>
      </c>
      <c r="C882" s="226">
        <f t="shared" si="157"/>
        <v>1</v>
      </c>
      <c r="D882" s="226" t="s">
        <v>126</v>
      </c>
      <c r="E882" s="226" t="s">
        <v>47</v>
      </c>
      <c r="F882" s="226" t="s">
        <v>15</v>
      </c>
      <c r="G882" s="226">
        <f t="shared" si="156"/>
        <v>20</v>
      </c>
      <c r="M882" s="228">
        <f t="shared" si="159"/>
        <v>0</v>
      </c>
      <c r="N882" s="229">
        <v>1</v>
      </c>
      <c r="O882" s="229"/>
    </row>
    <row r="883" spans="1:15" x14ac:dyDescent="0.2">
      <c r="A883" s="226">
        <v>882</v>
      </c>
      <c r="B883" s="226" t="str">
        <f t="shared" si="158"/>
        <v>SISTEMA MANIFOLDTANK SIZE 16LFM-2001-21</v>
      </c>
      <c r="C883" s="226">
        <f>C882</f>
        <v>1</v>
      </c>
      <c r="D883" s="226" t="s">
        <v>126</v>
      </c>
      <c r="E883" s="226" t="s">
        <v>47</v>
      </c>
      <c r="F883" s="226" t="s">
        <v>15</v>
      </c>
      <c r="G883" s="226">
        <f t="shared" si="156"/>
        <v>21</v>
      </c>
      <c r="H883" s="226" t="s">
        <v>16</v>
      </c>
      <c r="I883" s="227">
        <v>437900</v>
      </c>
      <c r="J883" s="226" t="s">
        <v>40</v>
      </c>
      <c r="K883" s="226" t="s">
        <v>19</v>
      </c>
      <c r="L883" s="226">
        <v>1</v>
      </c>
      <c r="M883" s="228">
        <f t="shared" si="159"/>
        <v>437900</v>
      </c>
      <c r="N883" s="229">
        <v>1</v>
      </c>
      <c r="O883" s="229"/>
    </row>
    <row r="884" spans="1:15" x14ac:dyDescent="0.2">
      <c r="A884" s="226">
        <v>883</v>
      </c>
      <c r="B884" s="226" t="str">
        <f t="shared" si="158"/>
        <v>SISTEMA MANIFOLDTANK SIZE 16LFM-2001-22</v>
      </c>
      <c r="C884" s="226">
        <f t="shared" si="157"/>
        <v>1</v>
      </c>
      <c r="D884" s="226" t="s">
        <v>126</v>
      </c>
      <c r="E884" s="226" t="s">
        <v>47</v>
      </c>
      <c r="F884" s="226" t="s">
        <v>15</v>
      </c>
      <c r="G884" s="226">
        <f t="shared" si="156"/>
        <v>22</v>
      </c>
      <c r="H884" s="226" t="s">
        <v>16</v>
      </c>
      <c r="I884" s="227">
        <v>31811</v>
      </c>
      <c r="J884" s="226" t="s">
        <v>123</v>
      </c>
      <c r="K884" s="226" t="s">
        <v>19</v>
      </c>
      <c r="L884" s="226">
        <v>1</v>
      </c>
      <c r="M884" s="228">
        <f t="shared" si="159"/>
        <v>31811</v>
      </c>
      <c r="N884" s="229">
        <v>1</v>
      </c>
      <c r="O884" s="229"/>
    </row>
    <row r="885" spans="1:15" x14ac:dyDescent="0.2">
      <c r="A885" s="226">
        <v>884</v>
      </c>
      <c r="B885" s="226" t="str">
        <f t="shared" si="158"/>
        <v>SISTEMA MANIFOLDTANK SIZE 16LFM-2001-23</v>
      </c>
      <c r="C885" s="226">
        <f t="shared" si="157"/>
        <v>1</v>
      </c>
      <c r="D885" s="226" t="s">
        <v>126</v>
      </c>
      <c r="E885" s="226" t="s">
        <v>47</v>
      </c>
      <c r="F885" s="226" t="s">
        <v>15</v>
      </c>
      <c r="G885" s="226">
        <f t="shared" si="156"/>
        <v>23</v>
      </c>
      <c r="H885" s="226" t="s">
        <v>16</v>
      </c>
      <c r="I885" s="227">
        <v>73597</v>
      </c>
      <c r="J885" s="226" t="s">
        <v>41</v>
      </c>
      <c r="K885" s="226" t="s">
        <v>19</v>
      </c>
      <c r="L885" s="226">
        <v>1</v>
      </c>
      <c r="M885" s="228">
        <f t="shared" si="159"/>
        <v>73597</v>
      </c>
      <c r="N885" s="229">
        <v>1</v>
      </c>
      <c r="O885" s="229"/>
    </row>
    <row r="886" spans="1:15" x14ac:dyDescent="0.2">
      <c r="A886" s="226">
        <v>885</v>
      </c>
      <c r="B886" s="226" t="str">
        <f t="shared" si="158"/>
        <v>SISTEMA MANIFOLDTANK SIZE 16LFM-2001-24</v>
      </c>
      <c r="C886" s="226">
        <f t="shared" si="157"/>
        <v>1</v>
      </c>
      <c r="D886" s="226" t="s">
        <v>126</v>
      </c>
      <c r="E886" s="226" t="s">
        <v>47</v>
      </c>
      <c r="F886" s="226" t="s">
        <v>15</v>
      </c>
      <c r="G886" s="226">
        <f t="shared" si="156"/>
        <v>24</v>
      </c>
      <c r="H886" s="226" t="s">
        <v>16</v>
      </c>
      <c r="I886" s="227">
        <v>76498</v>
      </c>
      <c r="J886" s="226" t="s">
        <v>46</v>
      </c>
      <c r="K886" s="226" t="s">
        <v>19</v>
      </c>
      <c r="L886" s="226">
        <v>1</v>
      </c>
      <c r="M886" s="228">
        <f t="shared" si="159"/>
        <v>76498</v>
      </c>
      <c r="N886" s="229">
        <v>1</v>
      </c>
      <c r="O886" s="229"/>
    </row>
    <row r="887" spans="1:15" x14ac:dyDescent="0.2">
      <c r="A887" s="226">
        <v>886</v>
      </c>
      <c r="B887" s="226" t="str">
        <f t="shared" si="158"/>
        <v>-</v>
      </c>
      <c r="M887" s="228">
        <f t="shared" si="159"/>
        <v>0</v>
      </c>
      <c r="N887" s="229">
        <v>1</v>
      </c>
      <c r="O887" s="229"/>
    </row>
    <row r="888" spans="1:15" x14ac:dyDescent="0.2">
      <c r="A888" s="226">
        <v>887</v>
      </c>
      <c r="B888" s="226" t="str">
        <f t="shared" si="158"/>
        <v>SISTEMA MANIFOLDTANK SIZE 32LFM-2001-1</v>
      </c>
      <c r="C888" s="226">
        <f>L888</f>
        <v>1</v>
      </c>
      <c r="D888" s="226" t="s">
        <v>126</v>
      </c>
      <c r="E888" s="226" t="s">
        <v>52</v>
      </c>
      <c r="F888" s="226" t="s">
        <v>15</v>
      </c>
      <c r="G888" s="226">
        <v>1</v>
      </c>
      <c r="H888" s="226" t="s">
        <v>16</v>
      </c>
      <c r="I888" s="227" t="s">
        <v>17</v>
      </c>
      <c r="J888" s="226" t="s">
        <v>53</v>
      </c>
      <c r="K888" s="226" t="s">
        <v>19</v>
      </c>
      <c r="L888" s="226">
        <f>'COT AGENTES'!$H$3</f>
        <v>1</v>
      </c>
      <c r="M888" s="228" t="s">
        <v>54</v>
      </c>
      <c r="N888" s="229">
        <v>1</v>
      </c>
      <c r="O888" s="229"/>
    </row>
    <row r="889" spans="1:15" x14ac:dyDescent="0.2">
      <c r="A889" s="226">
        <v>888</v>
      </c>
      <c r="B889" s="226" t="str">
        <f t="shared" si="158"/>
        <v>SISTEMA MANIFOLDTANK SIZE 32LFM-2001-2</v>
      </c>
      <c r="C889" s="226">
        <f>C888</f>
        <v>1</v>
      </c>
      <c r="D889" s="226" t="s">
        <v>126</v>
      </c>
      <c r="E889" s="226" t="s">
        <v>52</v>
      </c>
      <c r="F889" s="226" t="s">
        <v>15</v>
      </c>
      <c r="G889" s="226">
        <f t="shared" ref="G889:G911" si="160">+G888+1</f>
        <v>2</v>
      </c>
      <c r="H889" s="226" t="s">
        <v>16</v>
      </c>
      <c r="I889" s="227">
        <v>445734</v>
      </c>
      <c r="J889" s="226" t="s">
        <v>55</v>
      </c>
      <c r="K889" s="226" t="s">
        <v>19</v>
      </c>
      <c r="L889" s="226">
        <f>L888</f>
        <v>1</v>
      </c>
      <c r="M889" s="228">
        <f t="shared" si="159"/>
        <v>445734</v>
      </c>
      <c r="N889" s="229">
        <v>1</v>
      </c>
      <c r="O889" s="229"/>
    </row>
    <row r="890" spans="1:15" x14ac:dyDescent="0.2">
      <c r="A890" s="226">
        <v>889</v>
      </c>
      <c r="B890" s="226" t="str">
        <f t="shared" si="158"/>
        <v>SISTEMA MANIFOLDTANK SIZE 32LFM-2001-3</v>
      </c>
      <c r="C890" s="226">
        <f t="shared" ref="C890:C911" si="161">C889</f>
        <v>1</v>
      </c>
      <c r="D890" s="226" t="s">
        <v>126</v>
      </c>
      <c r="E890" s="226" t="s">
        <v>52</v>
      </c>
      <c r="F890" s="226" t="s">
        <v>15</v>
      </c>
      <c r="G890" s="226">
        <f t="shared" si="160"/>
        <v>3</v>
      </c>
      <c r="H890" s="226" t="s">
        <v>16</v>
      </c>
      <c r="I890" s="227" t="s">
        <v>22</v>
      </c>
      <c r="J890" s="226" t="s">
        <v>23</v>
      </c>
      <c r="K890" s="226" t="s">
        <v>19</v>
      </c>
      <c r="L890" s="230">
        <f>'COT AGENTES'!$H$5</f>
        <v>2</v>
      </c>
      <c r="M890" s="228">
        <v>453646</v>
      </c>
      <c r="N890" s="229">
        <v>1</v>
      </c>
      <c r="O890" s="229"/>
    </row>
    <row r="891" spans="1:15" x14ac:dyDescent="0.2">
      <c r="A891" s="226">
        <v>890</v>
      </c>
      <c r="B891" s="226" t="str">
        <f t="shared" si="158"/>
        <v>SISTEMA MANIFOLDTANK SIZE 32LFM-2001-4</v>
      </c>
      <c r="C891" s="226">
        <f t="shared" si="161"/>
        <v>1</v>
      </c>
      <c r="D891" s="226" t="s">
        <v>126</v>
      </c>
      <c r="E891" s="226" t="s">
        <v>52</v>
      </c>
      <c r="F891" s="226" t="s">
        <v>15</v>
      </c>
      <c r="G891" s="226">
        <f t="shared" si="160"/>
        <v>4</v>
      </c>
      <c r="H891" s="226" t="s">
        <v>16</v>
      </c>
      <c r="I891" s="227">
        <v>570055</v>
      </c>
      <c r="J891" s="226" t="s">
        <v>24</v>
      </c>
      <c r="K891" s="226" t="s">
        <v>19</v>
      </c>
      <c r="L891" s="226">
        <f>L889</f>
        <v>1</v>
      </c>
      <c r="M891" s="228">
        <f t="shared" si="159"/>
        <v>570055</v>
      </c>
      <c r="N891" s="229">
        <v>1</v>
      </c>
      <c r="O891" s="229"/>
    </row>
    <row r="892" spans="1:15" x14ac:dyDescent="0.2">
      <c r="A892" s="226">
        <v>891</v>
      </c>
      <c r="B892" s="226" t="str">
        <f t="shared" si="158"/>
        <v>SISTEMA MANIFOLDTANK SIZE 32LFM-2001-5</v>
      </c>
      <c r="C892" s="226">
        <f t="shared" si="161"/>
        <v>1</v>
      </c>
      <c r="D892" s="226" t="s">
        <v>126</v>
      </c>
      <c r="E892" s="226" t="s">
        <v>52</v>
      </c>
      <c r="F892" s="226" t="s">
        <v>15</v>
      </c>
      <c r="G892" s="226">
        <f t="shared" si="160"/>
        <v>5</v>
      </c>
      <c r="H892" s="226" t="s">
        <v>16</v>
      </c>
      <c r="I892" s="227">
        <v>314205314</v>
      </c>
      <c r="J892" s="226" t="s">
        <v>56</v>
      </c>
      <c r="K892" s="226" t="s">
        <v>19</v>
      </c>
      <c r="L892" s="226">
        <f>L889</f>
        <v>1</v>
      </c>
      <c r="M892" s="228">
        <f t="shared" si="159"/>
        <v>314205314</v>
      </c>
      <c r="N892" s="229">
        <v>1</v>
      </c>
      <c r="O892" s="229"/>
    </row>
    <row r="893" spans="1:15" x14ac:dyDescent="0.2">
      <c r="A893" s="226">
        <v>892</v>
      </c>
      <c r="B893" s="226" t="str">
        <f t="shared" si="158"/>
        <v>SISTEMA MANIFOLDTANK SIZE 32LFM-2001-6</v>
      </c>
      <c r="C893" s="226">
        <f t="shared" si="161"/>
        <v>1</v>
      </c>
      <c r="D893" s="226" t="s">
        <v>126</v>
      </c>
      <c r="E893" s="226" t="s">
        <v>52</v>
      </c>
      <c r="F893" s="226" t="s">
        <v>15</v>
      </c>
      <c r="G893" s="226">
        <f t="shared" si="160"/>
        <v>6</v>
      </c>
      <c r="H893" s="226" t="s">
        <v>16</v>
      </c>
      <c r="I893" s="227">
        <v>570585</v>
      </c>
      <c r="J893" s="226" t="s">
        <v>26</v>
      </c>
      <c r="K893" s="226" t="s">
        <v>19</v>
      </c>
      <c r="L893" s="226">
        <f>L889</f>
        <v>1</v>
      </c>
      <c r="M893" s="228">
        <f t="shared" si="159"/>
        <v>570585</v>
      </c>
      <c r="N893" s="229">
        <v>1</v>
      </c>
      <c r="O893" s="229"/>
    </row>
    <row r="894" spans="1:15" x14ac:dyDescent="0.2">
      <c r="A894" s="226">
        <v>893</v>
      </c>
      <c r="B894" s="226" t="str">
        <f t="shared" si="158"/>
        <v>SISTEMA MANIFOLDTANK SIZE 32LFM-2001-7</v>
      </c>
      <c r="C894" s="226">
        <f t="shared" si="161"/>
        <v>1</v>
      </c>
      <c r="D894" s="226" t="s">
        <v>126</v>
      </c>
      <c r="E894" s="226" t="s">
        <v>52</v>
      </c>
      <c r="F894" s="226" t="s">
        <v>15</v>
      </c>
      <c r="G894" s="226">
        <f t="shared" si="160"/>
        <v>7</v>
      </c>
      <c r="H894" s="226" t="s">
        <v>16</v>
      </c>
      <c r="I894" s="227">
        <v>304205030</v>
      </c>
      <c r="J894" s="226" t="s">
        <v>27</v>
      </c>
      <c r="K894" s="226" t="s">
        <v>19</v>
      </c>
      <c r="L894" s="226">
        <v>1</v>
      </c>
      <c r="M894" s="228">
        <f t="shared" si="159"/>
        <v>304205030</v>
      </c>
      <c r="N894" s="229">
        <v>1</v>
      </c>
      <c r="O894" s="229"/>
    </row>
    <row r="895" spans="1:15" x14ac:dyDescent="0.2">
      <c r="A895" s="226">
        <v>894</v>
      </c>
      <c r="B895" s="226" t="str">
        <f t="shared" si="158"/>
        <v>SISTEMA MANIFOLDTANK SIZE 32LFM-2001-8</v>
      </c>
      <c r="C895" s="226">
        <f t="shared" si="161"/>
        <v>1</v>
      </c>
      <c r="D895" s="226" t="s">
        <v>126</v>
      </c>
      <c r="E895" s="226" t="s">
        <v>52</v>
      </c>
      <c r="F895" s="226" t="s">
        <v>15</v>
      </c>
      <c r="G895" s="226">
        <f t="shared" si="160"/>
        <v>8</v>
      </c>
      <c r="H895" s="226" t="s">
        <v>16</v>
      </c>
      <c r="I895" s="227" t="s">
        <v>28</v>
      </c>
      <c r="J895" s="226" t="s">
        <v>29</v>
      </c>
      <c r="K895" s="226" t="s">
        <v>19</v>
      </c>
      <c r="L895" s="226">
        <v>1</v>
      </c>
      <c r="M895" s="228" t="str">
        <f t="shared" si="159"/>
        <v>A1638150HY</v>
      </c>
      <c r="N895" s="229">
        <v>1</v>
      </c>
      <c r="O895" s="229"/>
    </row>
    <row r="896" spans="1:15" x14ac:dyDescent="0.2">
      <c r="A896" s="226">
        <v>895</v>
      </c>
      <c r="B896" s="226" t="str">
        <f t="shared" si="158"/>
        <v>SISTEMA MANIFOLDTANK SIZE 32LFM-2001-9</v>
      </c>
      <c r="C896" s="226">
        <f t="shared" si="161"/>
        <v>1</v>
      </c>
      <c r="D896" s="226" t="s">
        <v>126</v>
      </c>
      <c r="E896" s="226" t="s">
        <v>52</v>
      </c>
      <c r="F896" s="226" t="s">
        <v>15</v>
      </c>
      <c r="G896" s="226">
        <f t="shared" si="160"/>
        <v>9</v>
      </c>
      <c r="H896" s="226" t="s">
        <v>16</v>
      </c>
      <c r="I896" s="227" t="s">
        <v>30</v>
      </c>
      <c r="J896" s="226" t="s">
        <v>31</v>
      </c>
      <c r="K896" s="226" t="s">
        <v>19</v>
      </c>
      <c r="L896" s="226">
        <f>L889*2</f>
        <v>2</v>
      </c>
      <c r="M896" s="228" t="str">
        <f t="shared" si="159"/>
        <v>570085-R2</v>
      </c>
      <c r="N896" s="229">
        <v>1</v>
      </c>
      <c r="O896" s="229"/>
    </row>
    <row r="897" spans="1:15" x14ac:dyDescent="0.2">
      <c r="A897" s="226">
        <v>896</v>
      </c>
      <c r="B897" s="226" t="str">
        <f t="shared" si="158"/>
        <v>SISTEMA MANIFOLDTANK SIZE 32LFM-2001-10</v>
      </c>
      <c r="C897" s="226">
        <f t="shared" si="161"/>
        <v>1</v>
      </c>
      <c r="D897" s="226" t="s">
        <v>126</v>
      </c>
      <c r="E897" s="226" t="s">
        <v>52</v>
      </c>
      <c r="F897" s="226" t="s">
        <v>15</v>
      </c>
      <c r="G897" s="226">
        <f t="shared" si="160"/>
        <v>10</v>
      </c>
      <c r="H897" s="226" t="s">
        <v>16</v>
      </c>
      <c r="I897" s="227" t="s">
        <v>32</v>
      </c>
      <c r="J897" s="226" t="s">
        <v>33</v>
      </c>
      <c r="K897" s="226" t="s">
        <v>19</v>
      </c>
      <c r="L897" s="230">
        <f>'COT AGENTES'!$M$11</f>
        <v>1</v>
      </c>
      <c r="M897" s="228" t="s">
        <v>57</v>
      </c>
      <c r="N897" s="229">
        <v>1</v>
      </c>
      <c r="O897" s="229"/>
    </row>
    <row r="898" spans="1:15" x14ac:dyDescent="0.2">
      <c r="A898" s="226">
        <v>897</v>
      </c>
      <c r="B898" s="226" t="str">
        <f t="shared" si="158"/>
        <v>SISTEMA MANIFOLDTANK SIZE 32LFM-2001-11</v>
      </c>
      <c r="C898" s="226">
        <f t="shared" si="161"/>
        <v>1</v>
      </c>
      <c r="D898" s="226" t="s">
        <v>126</v>
      </c>
      <c r="E898" s="226" t="s">
        <v>52</v>
      </c>
      <c r="F898" s="226" t="s">
        <v>15</v>
      </c>
      <c r="G898" s="226">
        <f t="shared" si="160"/>
        <v>11</v>
      </c>
      <c r="H898" s="226" t="s">
        <v>16</v>
      </c>
      <c r="I898" s="227" t="s">
        <v>35</v>
      </c>
      <c r="J898" s="226" t="s">
        <v>36</v>
      </c>
      <c r="K898" s="226" t="s">
        <v>19</v>
      </c>
      <c r="L898" s="226">
        <v>1</v>
      </c>
      <c r="M898" s="228" t="str">
        <f t="shared" si="159"/>
        <v>442927-R2</v>
      </c>
      <c r="N898" s="229">
        <v>1</v>
      </c>
      <c r="O898" s="229"/>
    </row>
    <row r="899" spans="1:15" x14ac:dyDescent="0.2">
      <c r="A899" s="226">
        <v>898</v>
      </c>
      <c r="B899" s="226" t="str">
        <f t="shared" si="158"/>
        <v>SISTEMA MANIFOLDTANK SIZE 32LFM-2001-12</v>
      </c>
      <c r="C899" s="226">
        <f t="shared" si="161"/>
        <v>1</v>
      </c>
      <c r="D899" s="226" t="s">
        <v>126</v>
      </c>
      <c r="E899" s="226" t="s">
        <v>52</v>
      </c>
      <c r="F899" s="226" t="s">
        <v>15</v>
      </c>
      <c r="G899" s="226">
        <f t="shared" si="160"/>
        <v>12</v>
      </c>
      <c r="H899" s="226" t="s">
        <v>16</v>
      </c>
      <c r="I899" s="227" t="s">
        <v>37</v>
      </c>
      <c r="J899" s="226" t="s">
        <v>38</v>
      </c>
      <c r="K899" s="226" t="s">
        <v>19</v>
      </c>
      <c r="L899" s="226">
        <v>1</v>
      </c>
      <c r="M899" s="228" t="str">
        <f t="shared" si="159"/>
        <v>442928-R2</v>
      </c>
      <c r="N899" s="229">
        <v>1</v>
      </c>
      <c r="O899" s="229"/>
    </row>
    <row r="900" spans="1:15" x14ac:dyDescent="0.2">
      <c r="A900" s="226">
        <v>899</v>
      </c>
      <c r="B900" s="226" t="str">
        <f t="shared" si="158"/>
        <v>SISTEMA MANIFOLDTANK SIZE 32LFM-2001-13</v>
      </c>
      <c r="C900" s="226">
        <f t="shared" si="161"/>
        <v>1</v>
      </c>
      <c r="D900" s="226" t="s">
        <v>126</v>
      </c>
      <c r="E900" s="226" t="s">
        <v>52</v>
      </c>
      <c r="F900" s="226" t="s">
        <v>15</v>
      </c>
      <c r="G900" s="226">
        <f t="shared" si="160"/>
        <v>13</v>
      </c>
      <c r="H900" s="226" t="s">
        <v>16</v>
      </c>
      <c r="I900" s="227" t="s">
        <v>44</v>
      </c>
      <c r="J900" s="226" t="s">
        <v>45</v>
      </c>
      <c r="K900" s="226" t="s">
        <v>19</v>
      </c>
      <c r="L900" s="226">
        <f>L889</f>
        <v>1</v>
      </c>
      <c r="M900" s="228" t="str">
        <f t="shared" si="159"/>
        <v>570539-R2</v>
      </c>
      <c r="N900" s="229">
        <v>1</v>
      </c>
      <c r="O900" s="229"/>
    </row>
    <row r="901" spans="1:15" x14ac:dyDescent="0.2">
      <c r="A901" s="226">
        <v>900</v>
      </c>
      <c r="B901" s="226" t="str">
        <f t="shared" si="158"/>
        <v>SISTEMA MANIFOLDTANK SIZE 32LFM-2001-14</v>
      </c>
      <c r="C901" s="226">
        <f t="shared" si="161"/>
        <v>1</v>
      </c>
      <c r="D901" s="226" t="s">
        <v>126</v>
      </c>
      <c r="E901" s="226" t="s">
        <v>52</v>
      </c>
      <c r="F901" s="226" t="s">
        <v>15</v>
      </c>
      <c r="G901" s="226">
        <f t="shared" si="160"/>
        <v>14</v>
      </c>
      <c r="H901" s="226" t="s">
        <v>16</v>
      </c>
      <c r="I901" s="227">
        <v>570566</v>
      </c>
      <c r="J901" s="226" t="s">
        <v>119</v>
      </c>
      <c r="K901" s="226" t="s">
        <v>19</v>
      </c>
      <c r="L901" s="226">
        <f>L889</f>
        <v>1</v>
      </c>
      <c r="M901" s="228">
        <f t="shared" si="159"/>
        <v>570566</v>
      </c>
      <c r="N901" s="229">
        <v>1</v>
      </c>
      <c r="O901" s="229"/>
    </row>
    <row r="902" spans="1:15" x14ac:dyDescent="0.2">
      <c r="A902" s="226">
        <v>901</v>
      </c>
      <c r="B902" s="226" t="str">
        <f t="shared" si="158"/>
        <v>SISTEMA MANIFOLDTANK SIZE 32LFM-2001-15</v>
      </c>
      <c r="C902" s="226">
        <f t="shared" si="161"/>
        <v>1</v>
      </c>
      <c r="D902" s="226" t="s">
        <v>126</v>
      </c>
      <c r="E902" s="226" t="s">
        <v>52</v>
      </c>
      <c r="F902" s="226" t="s">
        <v>15</v>
      </c>
      <c r="G902" s="226">
        <f t="shared" si="160"/>
        <v>15</v>
      </c>
      <c r="H902" s="226" t="s">
        <v>16</v>
      </c>
      <c r="I902" s="227">
        <v>570550</v>
      </c>
      <c r="J902" s="226" t="s">
        <v>120</v>
      </c>
      <c r="K902" s="226" t="s">
        <v>19</v>
      </c>
      <c r="L902" s="226">
        <f>L889-1</f>
        <v>0</v>
      </c>
      <c r="M902" s="228">
        <f t="shared" si="159"/>
        <v>570550</v>
      </c>
      <c r="N902" s="229">
        <v>1</v>
      </c>
      <c r="O902" s="229"/>
    </row>
    <row r="903" spans="1:15" x14ac:dyDescent="0.2">
      <c r="A903" s="226">
        <v>902</v>
      </c>
      <c r="B903" s="226" t="str">
        <f t="shared" si="158"/>
        <v>SISTEMA MANIFOLDTANK SIZE 32LFM-2001-16</v>
      </c>
      <c r="C903" s="226">
        <f t="shared" si="161"/>
        <v>1</v>
      </c>
      <c r="D903" s="226" t="s">
        <v>126</v>
      </c>
      <c r="E903" s="226" t="s">
        <v>52</v>
      </c>
      <c r="F903" s="226" t="s">
        <v>15</v>
      </c>
      <c r="G903" s="226">
        <f t="shared" si="160"/>
        <v>16</v>
      </c>
      <c r="H903" s="226" t="s">
        <v>16</v>
      </c>
      <c r="I903" s="227">
        <v>32338</v>
      </c>
      <c r="J903" s="226" t="s">
        <v>42</v>
      </c>
      <c r="K903" s="226" t="s">
        <v>19</v>
      </c>
      <c r="L903" s="226">
        <v>1</v>
      </c>
      <c r="M903" s="228">
        <f t="shared" si="159"/>
        <v>32338</v>
      </c>
      <c r="N903" s="229">
        <v>1</v>
      </c>
      <c r="O903" s="229"/>
    </row>
    <row r="904" spans="1:15" x14ac:dyDescent="0.2">
      <c r="A904" s="226">
        <v>903</v>
      </c>
      <c r="B904" s="226" t="str">
        <f t="shared" si="158"/>
        <v>SISTEMA MANIFOLDTANK SIZE 32LFM-2001-17</v>
      </c>
      <c r="C904" s="226">
        <f t="shared" si="161"/>
        <v>1</v>
      </c>
      <c r="D904" s="226" t="s">
        <v>126</v>
      </c>
      <c r="E904" s="226" t="s">
        <v>52</v>
      </c>
      <c r="F904" s="226" t="s">
        <v>15</v>
      </c>
      <c r="G904" s="226">
        <f t="shared" si="160"/>
        <v>17</v>
      </c>
      <c r="H904" s="226" t="s">
        <v>16</v>
      </c>
      <c r="I904" s="227">
        <v>31810</v>
      </c>
      <c r="J904" s="226" t="s">
        <v>121</v>
      </c>
      <c r="K904" s="226" t="s">
        <v>19</v>
      </c>
      <c r="L904" s="226">
        <v>1</v>
      </c>
      <c r="M904" s="228">
        <f t="shared" si="159"/>
        <v>31810</v>
      </c>
      <c r="N904" s="229">
        <v>1</v>
      </c>
      <c r="O904" s="229"/>
    </row>
    <row r="905" spans="1:15" x14ac:dyDescent="0.2">
      <c r="A905" s="226">
        <v>904</v>
      </c>
      <c r="B905" s="226" t="str">
        <f t="shared" si="158"/>
        <v>SISTEMA MANIFOLDTANK SIZE 32LFM-2001-18</v>
      </c>
      <c r="C905" s="226">
        <f t="shared" si="161"/>
        <v>1</v>
      </c>
      <c r="D905" s="226" t="s">
        <v>126</v>
      </c>
      <c r="E905" s="226" t="s">
        <v>52</v>
      </c>
      <c r="F905" s="226" t="s">
        <v>15</v>
      </c>
      <c r="G905" s="226">
        <f t="shared" si="160"/>
        <v>18</v>
      </c>
      <c r="H905" s="226" t="s">
        <v>16</v>
      </c>
      <c r="I905" s="227">
        <v>32336</v>
      </c>
      <c r="J905" s="226" t="s">
        <v>122</v>
      </c>
      <c r="K905" s="226" t="s">
        <v>19</v>
      </c>
      <c r="L905" s="226">
        <f>L889-1</f>
        <v>0</v>
      </c>
      <c r="M905" s="228">
        <f t="shared" si="159"/>
        <v>32336</v>
      </c>
      <c r="N905" s="229">
        <v>1</v>
      </c>
      <c r="O905" s="229"/>
    </row>
    <row r="906" spans="1:15" x14ac:dyDescent="0.2">
      <c r="A906" s="226">
        <v>905</v>
      </c>
      <c r="B906" s="226" t="str">
        <f t="shared" si="158"/>
        <v>SISTEMA MANIFOLDTANK SIZE 32LFM-2001-19</v>
      </c>
      <c r="C906" s="226">
        <f t="shared" si="161"/>
        <v>1</v>
      </c>
      <c r="D906" s="226" t="s">
        <v>126</v>
      </c>
      <c r="E906" s="226" t="s">
        <v>52</v>
      </c>
      <c r="F906" s="226" t="s">
        <v>15</v>
      </c>
      <c r="G906" s="226">
        <f t="shared" si="160"/>
        <v>19</v>
      </c>
      <c r="H906" s="226" t="s">
        <v>16</v>
      </c>
      <c r="I906" s="227">
        <v>31811</v>
      </c>
      <c r="J906" s="226" t="s">
        <v>123</v>
      </c>
      <c r="K906" s="226" t="s">
        <v>19</v>
      </c>
      <c r="L906" s="226">
        <f>IF(L889&gt;1,L889-1,0)</f>
        <v>0</v>
      </c>
      <c r="M906" s="228">
        <f t="shared" si="159"/>
        <v>31811</v>
      </c>
      <c r="N906" s="229">
        <v>1</v>
      </c>
      <c r="O906" s="229"/>
    </row>
    <row r="907" spans="1:15" x14ac:dyDescent="0.2">
      <c r="A907" s="226">
        <v>906</v>
      </c>
      <c r="B907" s="226" t="str">
        <f t="shared" si="158"/>
        <v>SISTEMA MANIFOLDTANK SIZE 32LFM-2001-20</v>
      </c>
      <c r="C907" s="226">
        <f t="shared" si="161"/>
        <v>1</v>
      </c>
      <c r="D907" s="226" t="s">
        <v>126</v>
      </c>
      <c r="E907" s="226" t="s">
        <v>52</v>
      </c>
      <c r="F907" s="226" t="s">
        <v>15</v>
      </c>
      <c r="G907" s="226">
        <f t="shared" si="160"/>
        <v>20</v>
      </c>
      <c r="M907" s="228">
        <f t="shared" si="159"/>
        <v>0</v>
      </c>
      <c r="N907" s="229">
        <v>1</v>
      </c>
      <c r="O907" s="229"/>
    </row>
    <row r="908" spans="1:15" x14ac:dyDescent="0.2">
      <c r="A908" s="226">
        <v>907</v>
      </c>
      <c r="B908" s="226" t="str">
        <f t="shared" si="158"/>
        <v>SISTEMA MANIFOLDTANK SIZE 32LFM-2001-21</v>
      </c>
      <c r="C908" s="226">
        <f t="shared" si="161"/>
        <v>1</v>
      </c>
      <c r="D908" s="226" t="s">
        <v>126</v>
      </c>
      <c r="E908" s="226" t="s">
        <v>52</v>
      </c>
      <c r="F908" s="226" t="s">
        <v>15</v>
      </c>
      <c r="G908" s="226">
        <f t="shared" si="160"/>
        <v>21</v>
      </c>
      <c r="H908" s="226" t="s">
        <v>16</v>
      </c>
      <c r="I908" s="227">
        <v>437900</v>
      </c>
      <c r="J908" s="226" t="s">
        <v>40</v>
      </c>
      <c r="K908" s="226" t="s">
        <v>19</v>
      </c>
      <c r="L908" s="226">
        <v>1</v>
      </c>
      <c r="M908" s="228">
        <f t="shared" si="159"/>
        <v>437900</v>
      </c>
      <c r="N908" s="229">
        <v>1</v>
      </c>
      <c r="O908" s="229"/>
    </row>
    <row r="909" spans="1:15" x14ac:dyDescent="0.2">
      <c r="A909" s="226">
        <v>908</v>
      </c>
      <c r="B909" s="226" t="str">
        <f t="shared" si="158"/>
        <v>SISTEMA MANIFOLDTANK SIZE 32LFM-2001-22</v>
      </c>
      <c r="C909" s="226">
        <f t="shared" si="161"/>
        <v>1</v>
      </c>
      <c r="D909" s="226" t="s">
        <v>126</v>
      </c>
      <c r="E909" s="226" t="s">
        <v>52</v>
      </c>
      <c r="F909" s="226" t="s">
        <v>15</v>
      </c>
      <c r="G909" s="226">
        <f t="shared" si="160"/>
        <v>22</v>
      </c>
      <c r="H909" s="226" t="s">
        <v>16</v>
      </c>
      <c r="I909" s="227">
        <v>31811</v>
      </c>
      <c r="J909" s="226" t="s">
        <v>123</v>
      </c>
      <c r="K909" s="226" t="s">
        <v>19</v>
      </c>
      <c r="L909" s="226">
        <v>1</v>
      </c>
      <c r="M909" s="228">
        <f t="shared" si="159"/>
        <v>31811</v>
      </c>
      <c r="N909" s="229">
        <v>1</v>
      </c>
      <c r="O909" s="229"/>
    </row>
    <row r="910" spans="1:15" x14ac:dyDescent="0.2">
      <c r="A910" s="226">
        <v>909</v>
      </c>
      <c r="B910" s="226" t="str">
        <f t="shared" si="158"/>
        <v>SISTEMA MANIFOLDTANK SIZE 32LFM-2001-23</v>
      </c>
      <c r="C910" s="226">
        <f t="shared" si="161"/>
        <v>1</v>
      </c>
      <c r="D910" s="226" t="s">
        <v>126</v>
      </c>
      <c r="E910" s="226" t="s">
        <v>52</v>
      </c>
      <c r="F910" s="226" t="s">
        <v>15</v>
      </c>
      <c r="G910" s="226">
        <f t="shared" si="160"/>
        <v>23</v>
      </c>
      <c r="H910" s="226" t="s">
        <v>16</v>
      </c>
      <c r="I910" s="227">
        <v>73597</v>
      </c>
      <c r="J910" s="226" t="s">
        <v>41</v>
      </c>
      <c r="K910" s="226" t="s">
        <v>19</v>
      </c>
      <c r="L910" s="226">
        <v>1</v>
      </c>
      <c r="M910" s="228">
        <f t="shared" si="159"/>
        <v>73597</v>
      </c>
      <c r="N910" s="229">
        <v>1</v>
      </c>
      <c r="O910" s="229"/>
    </row>
    <row r="911" spans="1:15" x14ac:dyDescent="0.2">
      <c r="A911" s="226">
        <v>910</v>
      </c>
      <c r="B911" s="226" t="str">
        <f t="shared" si="158"/>
        <v>SISTEMA MANIFOLDTANK SIZE 32LFM-2001-24</v>
      </c>
      <c r="C911" s="226">
        <f t="shared" si="161"/>
        <v>1</v>
      </c>
      <c r="D911" s="226" t="s">
        <v>126</v>
      </c>
      <c r="E911" s="226" t="s">
        <v>52</v>
      </c>
      <c r="F911" s="226" t="s">
        <v>15</v>
      </c>
      <c r="G911" s="226">
        <f t="shared" si="160"/>
        <v>24</v>
      </c>
      <c r="H911" s="226" t="s">
        <v>16</v>
      </c>
      <c r="I911" s="227">
        <v>76498</v>
      </c>
      <c r="J911" s="226" t="s">
        <v>46</v>
      </c>
      <c r="K911" s="226" t="s">
        <v>19</v>
      </c>
      <c r="L911" s="226">
        <v>1</v>
      </c>
      <c r="M911" s="228">
        <f t="shared" si="159"/>
        <v>76498</v>
      </c>
      <c r="N911" s="229">
        <v>1</v>
      </c>
      <c r="O911" s="229"/>
    </row>
    <row r="912" spans="1:15" x14ac:dyDescent="0.2">
      <c r="A912" s="226">
        <v>911</v>
      </c>
      <c r="B912" s="226" t="str">
        <f t="shared" si="158"/>
        <v>-</v>
      </c>
      <c r="M912" s="228">
        <f t="shared" si="159"/>
        <v>0</v>
      </c>
      <c r="N912" s="229">
        <v>1</v>
      </c>
      <c r="O912" s="229"/>
    </row>
    <row r="913" spans="1:15" x14ac:dyDescent="0.2">
      <c r="A913" s="226">
        <v>912</v>
      </c>
      <c r="B913" s="226" t="str">
        <f t="shared" si="158"/>
        <v>SISTEMA MANIFOLDTANK SIZE 52LFM-2001-1</v>
      </c>
      <c r="C913" s="226">
        <f>L913</f>
        <v>1</v>
      </c>
      <c r="D913" s="226" t="s">
        <v>126</v>
      </c>
      <c r="E913" s="226" t="s">
        <v>58</v>
      </c>
      <c r="F913" s="226" t="s">
        <v>15</v>
      </c>
      <c r="G913" s="226">
        <v>1</v>
      </c>
      <c r="H913" s="226" t="s">
        <v>16</v>
      </c>
      <c r="I913" s="227" t="s">
        <v>17</v>
      </c>
      <c r="J913" s="226" t="s">
        <v>59</v>
      </c>
      <c r="K913" s="226" t="s">
        <v>19</v>
      </c>
      <c r="L913" s="226">
        <f>'COT AGENTES'!$H$3</f>
        <v>1</v>
      </c>
      <c r="M913" s="228" t="s">
        <v>60</v>
      </c>
      <c r="N913" s="229">
        <v>1</v>
      </c>
      <c r="O913" s="229"/>
    </row>
    <row r="914" spans="1:15" x14ac:dyDescent="0.2">
      <c r="A914" s="226">
        <v>913</v>
      </c>
      <c r="B914" s="226" t="str">
        <f t="shared" si="158"/>
        <v>SISTEMA MANIFOLDTANK SIZE 52LFM-2001-2</v>
      </c>
      <c r="C914" s="226">
        <f>C913</f>
        <v>1</v>
      </c>
      <c r="D914" s="226" t="s">
        <v>126</v>
      </c>
      <c r="E914" s="226" t="s">
        <v>58</v>
      </c>
      <c r="F914" s="226" t="s">
        <v>15</v>
      </c>
      <c r="G914" s="226">
        <f t="shared" ref="G914:G936" si="162">+G913+1</f>
        <v>2</v>
      </c>
      <c r="H914" s="226" t="s">
        <v>16</v>
      </c>
      <c r="I914" s="227">
        <v>445735</v>
      </c>
      <c r="J914" s="226" t="s">
        <v>61</v>
      </c>
      <c r="K914" s="226" t="s">
        <v>19</v>
      </c>
      <c r="L914" s="226">
        <f>L913</f>
        <v>1</v>
      </c>
      <c r="M914" s="228">
        <f t="shared" si="159"/>
        <v>445735</v>
      </c>
      <c r="N914" s="229">
        <v>1</v>
      </c>
      <c r="O914" s="229"/>
    </row>
    <row r="915" spans="1:15" x14ac:dyDescent="0.2">
      <c r="A915" s="226">
        <v>914</v>
      </c>
      <c r="B915" s="226" t="str">
        <f t="shared" si="158"/>
        <v>SISTEMA MANIFOLDTANK SIZE 52LFM-2001-3</v>
      </c>
      <c r="C915" s="226">
        <f t="shared" ref="C915:C936" si="163">C914</f>
        <v>1</v>
      </c>
      <c r="D915" s="226" t="s">
        <v>126</v>
      </c>
      <c r="E915" s="226" t="s">
        <v>58</v>
      </c>
      <c r="F915" s="226" t="s">
        <v>15</v>
      </c>
      <c r="G915" s="226">
        <f t="shared" si="162"/>
        <v>3</v>
      </c>
      <c r="H915" s="226" t="s">
        <v>16</v>
      </c>
      <c r="I915" s="227" t="s">
        <v>22</v>
      </c>
      <c r="J915" s="226" t="s">
        <v>23</v>
      </c>
      <c r="K915" s="226" t="s">
        <v>19</v>
      </c>
      <c r="L915" s="230">
        <f>'COT AGENTES'!$H$5</f>
        <v>2</v>
      </c>
      <c r="M915" s="228">
        <v>453646</v>
      </c>
      <c r="N915" s="229">
        <v>1</v>
      </c>
      <c r="O915" s="229"/>
    </row>
    <row r="916" spans="1:15" x14ac:dyDescent="0.2">
      <c r="A916" s="226">
        <v>915</v>
      </c>
      <c r="B916" s="226" t="str">
        <f t="shared" si="158"/>
        <v>SISTEMA MANIFOLDTANK SIZE 52LFM-2001-4</v>
      </c>
      <c r="C916" s="226">
        <f t="shared" si="163"/>
        <v>1</v>
      </c>
      <c r="D916" s="226" t="s">
        <v>126</v>
      </c>
      <c r="E916" s="226" t="s">
        <v>58</v>
      </c>
      <c r="F916" s="226" t="s">
        <v>15</v>
      </c>
      <c r="G916" s="226">
        <f t="shared" si="162"/>
        <v>4</v>
      </c>
      <c r="H916" s="226" t="s">
        <v>16</v>
      </c>
      <c r="I916" s="227">
        <v>570055</v>
      </c>
      <c r="J916" s="226" t="s">
        <v>24</v>
      </c>
      <c r="K916" s="226" t="s">
        <v>19</v>
      </c>
      <c r="L916" s="226">
        <f>L914</f>
        <v>1</v>
      </c>
      <c r="M916" s="228">
        <f t="shared" si="159"/>
        <v>570055</v>
      </c>
      <c r="N916" s="229">
        <v>1</v>
      </c>
      <c r="O916" s="229"/>
    </row>
    <row r="917" spans="1:15" x14ac:dyDescent="0.2">
      <c r="A917" s="226">
        <v>916</v>
      </c>
      <c r="B917" s="226" t="str">
        <f t="shared" si="158"/>
        <v>SISTEMA MANIFOLDTANK SIZE 52LFM-2001-5</v>
      </c>
      <c r="C917" s="226">
        <f t="shared" si="163"/>
        <v>1</v>
      </c>
      <c r="D917" s="226" t="s">
        <v>126</v>
      </c>
      <c r="E917" s="226" t="s">
        <v>58</v>
      </c>
      <c r="F917" s="226" t="s">
        <v>15</v>
      </c>
      <c r="G917" s="226">
        <f t="shared" si="162"/>
        <v>5</v>
      </c>
      <c r="H917" s="226" t="s">
        <v>16</v>
      </c>
      <c r="I917" s="227">
        <v>314205321</v>
      </c>
      <c r="J917" s="226" t="s">
        <v>25</v>
      </c>
      <c r="K917" s="226" t="s">
        <v>19</v>
      </c>
      <c r="L917" s="226">
        <f>L914</f>
        <v>1</v>
      </c>
      <c r="M917" s="228">
        <f t="shared" si="159"/>
        <v>314205321</v>
      </c>
      <c r="N917" s="229">
        <v>1</v>
      </c>
      <c r="O917" s="229"/>
    </row>
    <row r="918" spans="1:15" x14ac:dyDescent="0.2">
      <c r="A918" s="226">
        <v>917</v>
      </c>
      <c r="B918" s="226" t="str">
        <f t="shared" si="158"/>
        <v>SISTEMA MANIFOLDTANK SIZE 52LFM-2001-6</v>
      </c>
      <c r="C918" s="226">
        <f t="shared" si="163"/>
        <v>1</v>
      </c>
      <c r="D918" s="226" t="s">
        <v>126</v>
      </c>
      <c r="E918" s="226" t="s">
        <v>58</v>
      </c>
      <c r="F918" s="226" t="s">
        <v>15</v>
      </c>
      <c r="G918" s="226">
        <f t="shared" si="162"/>
        <v>6</v>
      </c>
      <c r="H918" s="226" t="s">
        <v>16</v>
      </c>
      <c r="I918" s="227">
        <v>570585</v>
      </c>
      <c r="J918" s="226" t="s">
        <v>26</v>
      </c>
      <c r="K918" s="226" t="s">
        <v>19</v>
      </c>
      <c r="L918" s="226">
        <f>L914</f>
        <v>1</v>
      </c>
      <c r="M918" s="228">
        <f t="shared" si="159"/>
        <v>570585</v>
      </c>
      <c r="N918" s="229">
        <v>1</v>
      </c>
      <c r="O918" s="229"/>
    </row>
    <row r="919" spans="1:15" x14ac:dyDescent="0.2">
      <c r="A919" s="226">
        <v>918</v>
      </c>
      <c r="B919" s="226" t="str">
        <f t="shared" si="158"/>
        <v>SISTEMA MANIFOLDTANK SIZE 52LFM-2001-7</v>
      </c>
      <c r="C919" s="226">
        <f t="shared" si="163"/>
        <v>1</v>
      </c>
      <c r="D919" s="226" t="s">
        <v>126</v>
      </c>
      <c r="E919" s="226" t="s">
        <v>58</v>
      </c>
      <c r="F919" s="226" t="s">
        <v>15</v>
      </c>
      <c r="G919" s="226">
        <f t="shared" si="162"/>
        <v>7</v>
      </c>
      <c r="H919" s="226" t="s">
        <v>16</v>
      </c>
      <c r="I919" s="227">
        <v>304205030</v>
      </c>
      <c r="J919" s="226" t="s">
        <v>27</v>
      </c>
      <c r="K919" s="226" t="s">
        <v>19</v>
      </c>
      <c r="L919" s="226">
        <v>1</v>
      </c>
      <c r="M919" s="228">
        <f t="shared" si="159"/>
        <v>304205030</v>
      </c>
      <c r="N919" s="229">
        <v>1</v>
      </c>
      <c r="O919" s="229"/>
    </row>
    <row r="920" spans="1:15" x14ac:dyDescent="0.2">
      <c r="A920" s="226">
        <v>919</v>
      </c>
      <c r="B920" s="226" t="str">
        <f t="shared" si="158"/>
        <v>SISTEMA MANIFOLDTANK SIZE 52LFM-2001-8</v>
      </c>
      <c r="C920" s="226">
        <f t="shared" si="163"/>
        <v>1</v>
      </c>
      <c r="D920" s="226" t="s">
        <v>126</v>
      </c>
      <c r="E920" s="226" t="s">
        <v>58</v>
      </c>
      <c r="F920" s="226" t="s">
        <v>15</v>
      </c>
      <c r="G920" s="226">
        <f t="shared" si="162"/>
        <v>8</v>
      </c>
      <c r="H920" s="226" t="s">
        <v>16</v>
      </c>
      <c r="I920" s="227" t="s">
        <v>28</v>
      </c>
      <c r="J920" s="226" t="s">
        <v>29</v>
      </c>
      <c r="K920" s="226" t="s">
        <v>19</v>
      </c>
      <c r="L920" s="226">
        <v>1</v>
      </c>
      <c r="M920" s="228" t="str">
        <f t="shared" si="159"/>
        <v>A1638150HY</v>
      </c>
      <c r="N920" s="229">
        <v>1</v>
      </c>
      <c r="O920" s="229"/>
    </row>
    <row r="921" spans="1:15" x14ac:dyDescent="0.2">
      <c r="A921" s="226">
        <v>920</v>
      </c>
      <c r="B921" s="226" t="str">
        <f t="shared" si="158"/>
        <v>SISTEMA MANIFOLDTANK SIZE 52LFM-2001-9</v>
      </c>
      <c r="C921" s="226">
        <f t="shared" si="163"/>
        <v>1</v>
      </c>
      <c r="D921" s="226" t="s">
        <v>126</v>
      </c>
      <c r="E921" s="226" t="s">
        <v>58</v>
      </c>
      <c r="F921" s="226" t="s">
        <v>15</v>
      </c>
      <c r="G921" s="226">
        <f t="shared" si="162"/>
        <v>9</v>
      </c>
      <c r="H921" s="226" t="s">
        <v>16</v>
      </c>
      <c r="I921" s="227" t="s">
        <v>62</v>
      </c>
      <c r="J921" s="226" t="s">
        <v>63</v>
      </c>
      <c r="K921" s="226" t="s">
        <v>19</v>
      </c>
      <c r="L921" s="226">
        <f>L914*2</f>
        <v>2</v>
      </c>
      <c r="M921" s="228" t="str">
        <f t="shared" si="159"/>
        <v>570092-R2</v>
      </c>
      <c r="N921" s="229">
        <v>1</v>
      </c>
      <c r="O921" s="229"/>
    </row>
    <row r="922" spans="1:15" x14ac:dyDescent="0.2">
      <c r="A922" s="226">
        <v>921</v>
      </c>
      <c r="B922" s="226" t="str">
        <f t="shared" si="158"/>
        <v>SISTEMA MANIFOLDTANK SIZE 52LFM-2001-10</v>
      </c>
      <c r="C922" s="226">
        <f t="shared" si="163"/>
        <v>1</v>
      </c>
      <c r="D922" s="226" t="s">
        <v>126</v>
      </c>
      <c r="E922" s="226" t="s">
        <v>58</v>
      </c>
      <c r="F922" s="226" t="s">
        <v>15</v>
      </c>
      <c r="G922" s="226">
        <f t="shared" si="162"/>
        <v>10</v>
      </c>
      <c r="H922" s="226" t="s">
        <v>16</v>
      </c>
      <c r="I922" s="227" t="s">
        <v>32</v>
      </c>
      <c r="J922" s="226" t="s">
        <v>33</v>
      </c>
      <c r="K922" s="226" t="s">
        <v>19</v>
      </c>
      <c r="L922" s="230">
        <f>'COT AGENTES'!$M$11</f>
        <v>1</v>
      </c>
      <c r="M922" s="228" t="s">
        <v>64</v>
      </c>
      <c r="N922" s="229">
        <v>1</v>
      </c>
      <c r="O922" s="229"/>
    </row>
    <row r="923" spans="1:15" x14ac:dyDescent="0.2">
      <c r="A923" s="226">
        <v>922</v>
      </c>
      <c r="B923" s="226" t="str">
        <f t="shared" si="158"/>
        <v>SISTEMA MANIFOLDTANK SIZE 52LFM-2001-11</v>
      </c>
      <c r="C923" s="226">
        <f t="shared" si="163"/>
        <v>1</v>
      </c>
      <c r="D923" s="226" t="s">
        <v>126</v>
      </c>
      <c r="E923" s="226" t="s">
        <v>58</v>
      </c>
      <c r="F923" s="226" t="s">
        <v>15</v>
      </c>
      <c r="G923" s="226">
        <f t="shared" si="162"/>
        <v>11</v>
      </c>
      <c r="H923" s="226" t="s">
        <v>16</v>
      </c>
      <c r="I923" s="227" t="s">
        <v>35</v>
      </c>
      <c r="J923" s="226" t="s">
        <v>36</v>
      </c>
      <c r="K923" s="226" t="s">
        <v>19</v>
      </c>
      <c r="L923" s="226">
        <v>1</v>
      </c>
      <c r="M923" s="228" t="str">
        <f t="shared" si="159"/>
        <v>442927-R2</v>
      </c>
      <c r="N923" s="229">
        <v>1</v>
      </c>
      <c r="O923" s="229"/>
    </row>
    <row r="924" spans="1:15" x14ac:dyDescent="0.2">
      <c r="A924" s="226">
        <v>923</v>
      </c>
      <c r="B924" s="226" t="str">
        <f t="shared" si="158"/>
        <v>SISTEMA MANIFOLDTANK SIZE 52LFM-2001-12</v>
      </c>
      <c r="C924" s="226">
        <f t="shared" si="163"/>
        <v>1</v>
      </c>
      <c r="D924" s="226" t="s">
        <v>126</v>
      </c>
      <c r="E924" s="226" t="s">
        <v>58</v>
      </c>
      <c r="F924" s="226" t="s">
        <v>15</v>
      </c>
      <c r="G924" s="226">
        <f t="shared" si="162"/>
        <v>12</v>
      </c>
      <c r="H924" s="226" t="s">
        <v>16</v>
      </c>
      <c r="I924" s="227" t="s">
        <v>37</v>
      </c>
      <c r="J924" s="226" t="s">
        <v>38</v>
      </c>
      <c r="K924" s="226" t="s">
        <v>19</v>
      </c>
      <c r="L924" s="226">
        <v>1</v>
      </c>
      <c r="M924" s="228" t="str">
        <f t="shared" si="159"/>
        <v>442928-R2</v>
      </c>
      <c r="N924" s="229">
        <v>1</v>
      </c>
      <c r="O924" s="229"/>
    </row>
    <row r="925" spans="1:15" x14ac:dyDescent="0.2">
      <c r="A925" s="226">
        <v>924</v>
      </c>
      <c r="B925" s="226" t="str">
        <f t="shared" si="158"/>
        <v>SISTEMA MANIFOLDTANK SIZE 52LFM-2001-13</v>
      </c>
      <c r="C925" s="226">
        <f t="shared" si="163"/>
        <v>1</v>
      </c>
      <c r="D925" s="226" t="s">
        <v>126</v>
      </c>
      <c r="E925" s="226" t="s">
        <v>58</v>
      </c>
      <c r="F925" s="226" t="s">
        <v>15</v>
      </c>
      <c r="G925" s="226">
        <f t="shared" si="162"/>
        <v>13</v>
      </c>
      <c r="H925" s="226" t="s">
        <v>16</v>
      </c>
      <c r="I925" s="227" t="s">
        <v>67</v>
      </c>
      <c r="J925" s="226" t="s">
        <v>68</v>
      </c>
      <c r="K925" s="226" t="s">
        <v>19</v>
      </c>
      <c r="L925" s="226">
        <f>L914</f>
        <v>1</v>
      </c>
      <c r="M925" s="228" t="str">
        <f t="shared" si="159"/>
        <v>570538-R2</v>
      </c>
      <c r="N925" s="229">
        <v>1</v>
      </c>
      <c r="O925" s="229"/>
    </row>
    <row r="926" spans="1:15" x14ac:dyDescent="0.2">
      <c r="A926" s="226">
        <v>925</v>
      </c>
      <c r="B926" s="226" t="str">
        <f t="shared" si="158"/>
        <v>SISTEMA MANIFOLDTANK SIZE 52LFM-2001-14</v>
      </c>
      <c r="C926" s="226">
        <f t="shared" si="163"/>
        <v>1</v>
      </c>
      <c r="D926" s="226" t="s">
        <v>126</v>
      </c>
      <c r="E926" s="226" t="s">
        <v>58</v>
      </c>
      <c r="F926" s="226" t="s">
        <v>15</v>
      </c>
      <c r="G926" s="226">
        <f t="shared" si="162"/>
        <v>14</v>
      </c>
      <c r="H926" s="226" t="s">
        <v>16</v>
      </c>
      <c r="I926" s="227">
        <v>570568</v>
      </c>
      <c r="J926" s="226" t="s">
        <v>124</v>
      </c>
      <c r="K926" s="226" t="s">
        <v>19</v>
      </c>
      <c r="L926" s="226">
        <f>L914</f>
        <v>1</v>
      </c>
      <c r="M926" s="228">
        <f t="shared" si="159"/>
        <v>570568</v>
      </c>
      <c r="N926" s="229">
        <v>1</v>
      </c>
      <c r="O926" s="229"/>
    </row>
    <row r="927" spans="1:15" x14ac:dyDescent="0.2">
      <c r="A927" s="226">
        <v>926</v>
      </c>
      <c r="B927" s="226" t="str">
        <f t="shared" si="158"/>
        <v>SISTEMA MANIFOLDTANK SIZE 52LFM-2001-15</v>
      </c>
      <c r="C927" s="226">
        <f t="shared" si="163"/>
        <v>1</v>
      </c>
      <c r="D927" s="226" t="s">
        <v>126</v>
      </c>
      <c r="E927" s="226" t="s">
        <v>58</v>
      </c>
      <c r="F927" s="226" t="s">
        <v>15</v>
      </c>
      <c r="G927" s="226">
        <f t="shared" si="162"/>
        <v>15</v>
      </c>
      <c r="H927" s="226" t="s">
        <v>16</v>
      </c>
      <c r="I927" s="227">
        <v>570550</v>
      </c>
      <c r="J927" s="226" t="s">
        <v>120</v>
      </c>
      <c r="K927" s="226" t="s">
        <v>19</v>
      </c>
      <c r="L927" s="226">
        <f>L914-1</f>
        <v>0</v>
      </c>
      <c r="M927" s="228">
        <f t="shared" si="159"/>
        <v>570550</v>
      </c>
      <c r="N927" s="229">
        <v>1</v>
      </c>
      <c r="O927" s="229"/>
    </row>
    <row r="928" spans="1:15" x14ac:dyDescent="0.2">
      <c r="A928" s="226">
        <v>927</v>
      </c>
      <c r="B928" s="226" t="str">
        <f t="shared" si="158"/>
        <v>SISTEMA MANIFOLDTANK SIZE 52LFM-2001-16</v>
      </c>
      <c r="C928" s="226">
        <f t="shared" si="163"/>
        <v>1</v>
      </c>
      <c r="D928" s="226" t="s">
        <v>126</v>
      </c>
      <c r="E928" s="226" t="s">
        <v>58</v>
      </c>
      <c r="F928" s="226" t="s">
        <v>15</v>
      </c>
      <c r="G928" s="226">
        <f t="shared" si="162"/>
        <v>16</v>
      </c>
      <c r="H928" s="226" t="s">
        <v>16</v>
      </c>
      <c r="I928" s="227">
        <v>32338</v>
      </c>
      <c r="J928" s="226" t="s">
        <v>42</v>
      </c>
      <c r="K928" s="226" t="s">
        <v>19</v>
      </c>
      <c r="L928" s="226">
        <v>1</v>
      </c>
      <c r="M928" s="228">
        <f t="shared" si="159"/>
        <v>32338</v>
      </c>
      <c r="N928" s="229">
        <v>1</v>
      </c>
      <c r="O928" s="229"/>
    </row>
    <row r="929" spans="1:15" x14ac:dyDescent="0.2">
      <c r="A929" s="226">
        <v>928</v>
      </c>
      <c r="B929" s="226" t="str">
        <f t="shared" si="158"/>
        <v>SISTEMA MANIFOLDTANK SIZE 52LFM-2001-17</v>
      </c>
      <c r="C929" s="226">
        <f t="shared" si="163"/>
        <v>1</v>
      </c>
      <c r="D929" s="226" t="s">
        <v>126</v>
      </c>
      <c r="E929" s="226" t="s">
        <v>58</v>
      </c>
      <c r="F929" s="226" t="s">
        <v>15</v>
      </c>
      <c r="G929" s="226">
        <f t="shared" si="162"/>
        <v>17</v>
      </c>
      <c r="H929" s="226" t="s">
        <v>16</v>
      </c>
      <c r="I929" s="227">
        <v>31810</v>
      </c>
      <c r="J929" s="226" t="s">
        <v>121</v>
      </c>
      <c r="K929" s="226" t="s">
        <v>19</v>
      </c>
      <c r="L929" s="226">
        <v>1</v>
      </c>
      <c r="M929" s="228">
        <f t="shared" si="159"/>
        <v>31810</v>
      </c>
      <c r="N929" s="229">
        <v>1</v>
      </c>
      <c r="O929" s="229"/>
    </row>
    <row r="930" spans="1:15" x14ac:dyDescent="0.2">
      <c r="A930" s="226">
        <v>929</v>
      </c>
      <c r="B930" s="226" t="str">
        <f t="shared" si="158"/>
        <v>SISTEMA MANIFOLDTANK SIZE 52LFM-2001-18</v>
      </c>
      <c r="C930" s="226">
        <f t="shared" si="163"/>
        <v>1</v>
      </c>
      <c r="D930" s="226" t="s">
        <v>126</v>
      </c>
      <c r="E930" s="226" t="s">
        <v>58</v>
      </c>
      <c r="F930" s="226" t="s">
        <v>15</v>
      </c>
      <c r="G930" s="226">
        <f t="shared" si="162"/>
        <v>18</v>
      </c>
      <c r="H930" s="226" t="s">
        <v>16</v>
      </c>
      <c r="I930" s="227">
        <v>32336</v>
      </c>
      <c r="J930" s="226" t="s">
        <v>122</v>
      </c>
      <c r="K930" s="226" t="s">
        <v>19</v>
      </c>
      <c r="L930" s="226">
        <f>L914-1</f>
        <v>0</v>
      </c>
      <c r="M930" s="228">
        <f t="shared" si="159"/>
        <v>32336</v>
      </c>
      <c r="N930" s="229">
        <v>1</v>
      </c>
      <c r="O930" s="229"/>
    </row>
    <row r="931" spans="1:15" x14ac:dyDescent="0.2">
      <c r="A931" s="226">
        <v>930</v>
      </c>
      <c r="B931" s="226" t="str">
        <f t="shared" si="158"/>
        <v>SISTEMA MANIFOLDTANK SIZE 52LFM-2001-19</v>
      </c>
      <c r="C931" s="226">
        <f t="shared" si="163"/>
        <v>1</v>
      </c>
      <c r="D931" s="226" t="s">
        <v>126</v>
      </c>
      <c r="E931" s="226" t="s">
        <v>58</v>
      </c>
      <c r="F931" s="226" t="s">
        <v>15</v>
      </c>
      <c r="G931" s="226">
        <f t="shared" si="162"/>
        <v>19</v>
      </c>
      <c r="H931" s="226" t="s">
        <v>16</v>
      </c>
      <c r="I931" s="227">
        <v>31811</v>
      </c>
      <c r="J931" s="226" t="s">
        <v>123</v>
      </c>
      <c r="K931" s="226" t="s">
        <v>19</v>
      </c>
      <c r="L931" s="226">
        <f>IF(L914&gt;1,L914-1,0)</f>
        <v>0</v>
      </c>
      <c r="M931" s="228">
        <f t="shared" si="159"/>
        <v>31811</v>
      </c>
      <c r="N931" s="229">
        <v>1</v>
      </c>
      <c r="O931" s="229"/>
    </row>
    <row r="932" spans="1:15" x14ac:dyDescent="0.2">
      <c r="A932" s="226">
        <v>931</v>
      </c>
      <c r="B932" s="226" t="str">
        <f t="shared" si="158"/>
        <v>SISTEMA MANIFOLDTANK SIZE 52LFM-2001-20</v>
      </c>
      <c r="C932" s="226">
        <f t="shared" si="163"/>
        <v>1</v>
      </c>
      <c r="D932" s="226" t="s">
        <v>126</v>
      </c>
      <c r="E932" s="226" t="s">
        <v>58</v>
      </c>
      <c r="F932" s="226" t="s">
        <v>15</v>
      </c>
      <c r="G932" s="226">
        <f t="shared" si="162"/>
        <v>20</v>
      </c>
      <c r="M932" s="228">
        <f t="shared" si="159"/>
        <v>0</v>
      </c>
      <c r="N932" s="229">
        <v>1</v>
      </c>
      <c r="O932" s="229"/>
    </row>
    <row r="933" spans="1:15" x14ac:dyDescent="0.2">
      <c r="A933" s="226">
        <v>932</v>
      </c>
      <c r="B933" s="226" t="str">
        <f t="shared" si="158"/>
        <v>SISTEMA MANIFOLDTANK SIZE 52LFM-2001-21</v>
      </c>
      <c r="C933" s="226">
        <f t="shared" si="163"/>
        <v>1</v>
      </c>
      <c r="D933" s="226" t="s">
        <v>126</v>
      </c>
      <c r="E933" s="226" t="s">
        <v>58</v>
      </c>
      <c r="F933" s="226" t="s">
        <v>15</v>
      </c>
      <c r="G933" s="226">
        <f t="shared" si="162"/>
        <v>21</v>
      </c>
      <c r="H933" s="226" t="s">
        <v>16</v>
      </c>
      <c r="I933" s="227">
        <v>437900</v>
      </c>
      <c r="J933" s="226" t="s">
        <v>40</v>
      </c>
      <c r="K933" s="226" t="s">
        <v>19</v>
      </c>
      <c r="L933" s="226">
        <v>1</v>
      </c>
      <c r="M933" s="228">
        <f t="shared" si="159"/>
        <v>437900</v>
      </c>
      <c r="N933" s="229">
        <v>1</v>
      </c>
      <c r="O933" s="229"/>
    </row>
    <row r="934" spans="1:15" x14ac:dyDescent="0.2">
      <c r="A934" s="226">
        <v>933</v>
      </c>
      <c r="B934" s="226" t="str">
        <f t="shared" si="158"/>
        <v>SISTEMA MANIFOLDTANK SIZE 52LFM-2001-22</v>
      </c>
      <c r="C934" s="226">
        <f t="shared" si="163"/>
        <v>1</v>
      </c>
      <c r="D934" s="226" t="s">
        <v>126</v>
      </c>
      <c r="E934" s="226" t="s">
        <v>58</v>
      </c>
      <c r="F934" s="226" t="s">
        <v>15</v>
      </c>
      <c r="G934" s="226">
        <f t="shared" si="162"/>
        <v>22</v>
      </c>
      <c r="H934" s="226" t="s">
        <v>16</v>
      </c>
      <c r="I934" s="227">
        <v>31811</v>
      </c>
      <c r="J934" s="226" t="s">
        <v>123</v>
      </c>
      <c r="K934" s="226" t="s">
        <v>19</v>
      </c>
      <c r="L934" s="226">
        <v>1</v>
      </c>
      <c r="M934" s="228">
        <f t="shared" si="159"/>
        <v>31811</v>
      </c>
      <c r="N934" s="229">
        <v>1</v>
      </c>
      <c r="O934" s="229"/>
    </row>
    <row r="935" spans="1:15" x14ac:dyDescent="0.2">
      <c r="A935" s="226">
        <v>934</v>
      </c>
      <c r="B935" s="226" t="str">
        <f t="shared" si="158"/>
        <v>SISTEMA MANIFOLDTANK SIZE 52LFM-2001-23</v>
      </c>
      <c r="C935" s="226">
        <f t="shared" si="163"/>
        <v>1</v>
      </c>
      <c r="D935" s="226" t="s">
        <v>126</v>
      </c>
      <c r="E935" s="226" t="s">
        <v>58</v>
      </c>
      <c r="F935" s="226" t="s">
        <v>15</v>
      </c>
      <c r="G935" s="226">
        <f t="shared" si="162"/>
        <v>23</v>
      </c>
      <c r="H935" s="226" t="s">
        <v>16</v>
      </c>
      <c r="I935" s="227">
        <v>415142</v>
      </c>
      <c r="J935" s="226" t="s">
        <v>66</v>
      </c>
      <c r="K935" s="226" t="s">
        <v>19</v>
      </c>
      <c r="L935" s="226">
        <v>1</v>
      </c>
      <c r="M935" s="228">
        <f t="shared" si="159"/>
        <v>415142</v>
      </c>
      <c r="N935" s="229">
        <v>1</v>
      </c>
      <c r="O935" s="229"/>
    </row>
    <row r="936" spans="1:15" x14ac:dyDescent="0.2">
      <c r="A936" s="226">
        <v>935</v>
      </c>
      <c r="B936" s="226" t="str">
        <f t="shared" si="158"/>
        <v>SISTEMA MANIFOLDTANK SIZE 52LFM-2001-24</v>
      </c>
      <c r="C936" s="226">
        <f t="shared" si="163"/>
        <v>1</v>
      </c>
      <c r="D936" s="226" t="s">
        <v>126</v>
      </c>
      <c r="E936" s="226" t="s">
        <v>58</v>
      </c>
      <c r="F936" s="226" t="s">
        <v>15</v>
      </c>
      <c r="G936" s="226">
        <f t="shared" si="162"/>
        <v>24</v>
      </c>
      <c r="H936" s="226" t="s">
        <v>16</v>
      </c>
      <c r="I936" s="227">
        <v>76498</v>
      </c>
      <c r="J936" s="226" t="s">
        <v>46</v>
      </c>
      <c r="K936" s="226" t="s">
        <v>19</v>
      </c>
      <c r="L936" s="226">
        <v>1</v>
      </c>
      <c r="M936" s="228">
        <f t="shared" si="159"/>
        <v>76498</v>
      </c>
      <c r="N936" s="229">
        <v>1</v>
      </c>
      <c r="O936" s="229"/>
    </row>
    <row r="937" spans="1:15" x14ac:dyDescent="0.2">
      <c r="A937" s="226">
        <v>936</v>
      </c>
      <c r="B937" s="226" t="str">
        <f t="shared" si="158"/>
        <v>-</v>
      </c>
      <c r="M937" s="228">
        <f t="shared" si="159"/>
        <v>0</v>
      </c>
      <c r="N937" s="229">
        <v>1</v>
      </c>
      <c r="O937" s="229"/>
    </row>
    <row r="938" spans="1:15" x14ac:dyDescent="0.2">
      <c r="A938" s="226">
        <v>937</v>
      </c>
      <c r="B938" s="226" t="str">
        <f t="shared" si="158"/>
        <v>SISTEMA MANIFOLDTANK SIZE 106LFM-2001-1</v>
      </c>
      <c r="C938" s="226">
        <f>L938</f>
        <v>1</v>
      </c>
      <c r="D938" s="226" t="s">
        <v>126</v>
      </c>
      <c r="E938" s="226" t="s">
        <v>69</v>
      </c>
      <c r="F938" s="226" t="s">
        <v>15</v>
      </c>
      <c r="G938" s="226">
        <v>1</v>
      </c>
      <c r="H938" s="226" t="s">
        <v>16</v>
      </c>
      <c r="I938" s="227" t="s">
        <v>17</v>
      </c>
      <c r="J938" s="226" t="s">
        <v>70</v>
      </c>
      <c r="K938" s="226" t="s">
        <v>19</v>
      </c>
      <c r="L938" s="226">
        <f>'COT AGENTES'!$H$3</f>
        <v>1</v>
      </c>
      <c r="M938" s="228" t="s">
        <v>71</v>
      </c>
      <c r="N938" s="229">
        <v>1</v>
      </c>
      <c r="O938" s="229"/>
    </row>
    <row r="939" spans="1:15" x14ac:dyDescent="0.2">
      <c r="A939" s="226">
        <v>938</v>
      </c>
      <c r="B939" s="226" t="str">
        <f t="shared" si="158"/>
        <v>SISTEMA MANIFOLDTANK SIZE 106LFM-2001-2</v>
      </c>
      <c r="C939" s="226">
        <f>C938</f>
        <v>1</v>
      </c>
      <c r="D939" s="226" t="s">
        <v>126</v>
      </c>
      <c r="E939" s="226" t="s">
        <v>69</v>
      </c>
      <c r="F939" s="226" t="s">
        <v>15</v>
      </c>
      <c r="G939" s="226">
        <f t="shared" ref="G939:G962" si="164">+G938+1</f>
        <v>2</v>
      </c>
      <c r="H939" s="226" t="s">
        <v>16</v>
      </c>
      <c r="I939" s="227">
        <v>445736</v>
      </c>
      <c r="J939" s="226" t="s">
        <v>72</v>
      </c>
      <c r="K939" s="226" t="s">
        <v>19</v>
      </c>
      <c r="L939" s="226">
        <f>L938</f>
        <v>1</v>
      </c>
      <c r="M939" s="228">
        <f t="shared" si="159"/>
        <v>445736</v>
      </c>
      <c r="N939" s="229">
        <v>1</v>
      </c>
      <c r="O939" s="229"/>
    </row>
    <row r="940" spans="1:15" x14ac:dyDescent="0.2">
      <c r="A940" s="226">
        <v>939</v>
      </c>
      <c r="B940" s="226" t="str">
        <f t="shared" si="158"/>
        <v>SISTEMA MANIFOLDTANK SIZE 106LFM-2001-3</v>
      </c>
      <c r="C940" s="226">
        <f t="shared" ref="C940:C962" si="165">C939</f>
        <v>1</v>
      </c>
      <c r="D940" s="226" t="s">
        <v>126</v>
      </c>
      <c r="E940" s="226" t="s">
        <v>69</v>
      </c>
      <c r="F940" s="226" t="s">
        <v>15</v>
      </c>
      <c r="G940" s="226">
        <f t="shared" si="164"/>
        <v>3</v>
      </c>
      <c r="H940" s="226" t="s">
        <v>16</v>
      </c>
      <c r="I940" s="227" t="s">
        <v>22</v>
      </c>
      <c r="J940" s="226" t="s">
        <v>23</v>
      </c>
      <c r="K940" s="226" t="s">
        <v>19</v>
      </c>
      <c r="L940" s="230">
        <f>'COT AGENTES'!$H$5</f>
        <v>2</v>
      </c>
      <c r="M940" s="228">
        <v>453646</v>
      </c>
      <c r="N940" s="229">
        <v>1</v>
      </c>
      <c r="O940" s="229"/>
    </row>
    <row r="941" spans="1:15" x14ac:dyDescent="0.2">
      <c r="A941" s="226">
        <v>940</v>
      </c>
      <c r="B941" s="226" t="str">
        <f t="shared" si="158"/>
        <v>SISTEMA MANIFOLDTANK SIZE 106LFM-2001-4</v>
      </c>
      <c r="C941" s="226">
        <f t="shared" si="165"/>
        <v>1</v>
      </c>
      <c r="D941" s="226" t="s">
        <v>126</v>
      </c>
      <c r="E941" s="226" t="s">
        <v>69</v>
      </c>
      <c r="F941" s="226" t="s">
        <v>15</v>
      </c>
      <c r="G941" s="226">
        <f t="shared" si="164"/>
        <v>4</v>
      </c>
      <c r="H941" s="226" t="s">
        <v>16</v>
      </c>
      <c r="I941" s="227">
        <v>570055</v>
      </c>
      <c r="J941" s="226" t="s">
        <v>24</v>
      </c>
      <c r="K941" s="226" t="s">
        <v>19</v>
      </c>
      <c r="L941" s="226">
        <f>L939</f>
        <v>1</v>
      </c>
      <c r="M941" s="228">
        <f t="shared" si="159"/>
        <v>570055</v>
      </c>
      <c r="N941" s="229">
        <v>1</v>
      </c>
      <c r="O941" s="229"/>
    </row>
    <row r="942" spans="1:15" x14ac:dyDescent="0.2">
      <c r="A942" s="226">
        <v>941</v>
      </c>
      <c r="B942" s="226" t="str">
        <f t="shared" si="158"/>
        <v>SISTEMA MANIFOLDTANK SIZE 106LFM-2001-5</v>
      </c>
      <c r="C942" s="226">
        <f t="shared" si="165"/>
        <v>1</v>
      </c>
      <c r="D942" s="226" t="s">
        <v>126</v>
      </c>
      <c r="E942" s="226" t="s">
        <v>69</v>
      </c>
      <c r="F942" s="226" t="s">
        <v>15</v>
      </c>
      <c r="G942" s="226">
        <f t="shared" si="164"/>
        <v>5</v>
      </c>
      <c r="H942" s="226" t="s">
        <v>16</v>
      </c>
      <c r="I942" s="227">
        <v>314205314</v>
      </c>
      <c r="J942" s="226" t="s">
        <v>56</v>
      </c>
      <c r="K942" s="226" t="s">
        <v>19</v>
      </c>
      <c r="L942" s="226">
        <f>L939</f>
        <v>1</v>
      </c>
      <c r="M942" s="228">
        <f t="shared" si="159"/>
        <v>314205314</v>
      </c>
      <c r="N942" s="229">
        <v>1</v>
      </c>
      <c r="O942" s="229"/>
    </row>
    <row r="943" spans="1:15" x14ac:dyDescent="0.2">
      <c r="A943" s="226">
        <v>942</v>
      </c>
      <c r="B943" s="226" t="str">
        <f t="shared" ref="B943:B1006" si="166">D943&amp;E943&amp;F943&amp;C943&amp;"-"&amp;G943&amp;IF(M943&lt;&gt;"",O943,"")</f>
        <v>SISTEMA MANIFOLDTANK SIZE 106LFM-2001-6</v>
      </c>
      <c r="C943" s="226">
        <f t="shared" si="165"/>
        <v>1</v>
      </c>
      <c r="D943" s="226" t="s">
        <v>126</v>
      </c>
      <c r="E943" s="226" t="s">
        <v>69</v>
      </c>
      <c r="F943" s="226" t="s">
        <v>15</v>
      </c>
      <c r="G943" s="226">
        <f t="shared" si="164"/>
        <v>6</v>
      </c>
      <c r="H943" s="226" t="s">
        <v>16</v>
      </c>
      <c r="I943" s="227">
        <v>570585</v>
      </c>
      <c r="J943" s="226" t="s">
        <v>26</v>
      </c>
      <c r="K943" s="226" t="s">
        <v>19</v>
      </c>
      <c r="L943" s="226">
        <f>L939</f>
        <v>1</v>
      </c>
      <c r="M943" s="228">
        <f t="shared" si="159"/>
        <v>570585</v>
      </c>
      <c r="N943" s="229">
        <v>1</v>
      </c>
      <c r="O943" s="229"/>
    </row>
    <row r="944" spans="1:15" x14ac:dyDescent="0.2">
      <c r="A944" s="226">
        <v>943</v>
      </c>
      <c r="B944" s="226" t="str">
        <f t="shared" si="166"/>
        <v>SISTEMA MANIFOLDTANK SIZE 106LFM-2001-7</v>
      </c>
      <c r="C944" s="226">
        <f t="shared" si="165"/>
        <v>1</v>
      </c>
      <c r="D944" s="226" t="s">
        <v>126</v>
      </c>
      <c r="E944" s="226" t="s">
        <v>69</v>
      </c>
      <c r="F944" s="226" t="s">
        <v>15</v>
      </c>
      <c r="G944" s="226">
        <f t="shared" si="164"/>
        <v>7</v>
      </c>
      <c r="H944" s="226" t="s">
        <v>16</v>
      </c>
      <c r="I944" s="227">
        <v>304205030</v>
      </c>
      <c r="J944" s="226" t="s">
        <v>27</v>
      </c>
      <c r="K944" s="226" t="s">
        <v>19</v>
      </c>
      <c r="L944" s="226">
        <v>1</v>
      </c>
      <c r="M944" s="228">
        <f t="shared" ref="M944:M1007" si="167">I944</f>
        <v>304205030</v>
      </c>
      <c r="N944" s="229">
        <v>1</v>
      </c>
      <c r="O944" s="229"/>
    </row>
    <row r="945" spans="1:15" x14ac:dyDescent="0.2">
      <c r="A945" s="226">
        <v>944</v>
      </c>
      <c r="B945" s="226" t="str">
        <f t="shared" si="166"/>
        <v>SISTEMA MANIFOLDTANK SIZE 106LFM-2001-8</v>
      </c>
      <c r="C945" s="226">
        <f t="shared" si="165"/>
        <v>1</v>
      </c>
      <c r="D945" s="226" t="s">
        <v>126</v>
      </c>
      <c r="E945" s="226" t="s">
        <v>69</v>
      </c>
      <c r="F945" s="226" t="s">
        <v>15</v>
      </c>
      <c r="G945" s="226">
        <f t="shared" si="164"/>
        <v>8</v>
      </c>
      <c r="H945" s="226" t="s">
        <v>16</v>
      </c>
      <c r="I945" s="227" t="s">
        <v>28</v>
      </c>
      <c r="J945" s="226" t="s">
        <v>29</v>
      </c>
      <c r="K945" s="226" t="s">
        <v>19</v>
      </c>
      <c r="L945" s="226">
        <v>1</v>
      </c>
      <c r="M945" s="228" t="str">
        <f t="shared" si="167"/>
        <v>A1638150HY</v>
      </c>
      <c r="N945" s="229">
        <v>1</v>
      </c>
      <c r="O945" s="229"/>
    </row>
    <row r="946" spans="1:15" x14ac:dyDescent="0.2">
      <c r="A946" s="226">
        <v>945</v>
      </c>
      <c r="B946" s="226" t="str">
        <f t="shared" si="166"/>
        <v>SISTEMA MANIFOLDTANK SIZE 106LFM-2001-9</v>
      </c>
      <c r="C946" s="226">
        <f t="shared" si="165"/>
        <v>1</v>
      </c>
      <c r="D946" s="226" t="s">
        <v>126</v>
      </c>
      <c r="E946" s="226" t="s">
        <v>69</v>
      </c>
      <c r="F946" s="226" t="s">
        <v>15</v>
      </c>
      <c r="G946" s="226">
        <f t="shared" si="164"/>
        <v>9</v>
      </c>
      <c r="H946" s="226" t="s">
        <v>16</v>
      </c>
      <c r="I946" s="227" t="s">
        <v>62</v>
      </c>
      <c r="J946" s="226" t="s">
        <v>63</v>
      </c>
      <c r="K946" s="226" t="s">
        <v>19</v>
      </c>
      <c r="L946" s="226">
        <f>L939*2</f>
        <v>2</v>
      </c>
      <c r="M946" s="228" t="str">
        <f t="shared" si="167"/>
        <v>570092-R2</v>
      </c>
      <c r="N946" s="229">
        <v>1</v>
      </c>
      <c r="O946" s="229"/>
    </row>
    <row r="947" spans="1:15" x14ac:dyDescent="0.2">
      <c r="A947" s="226">
        <v>946</v>
      </c>
      <c r="B947" s="226" t="str">
        <f t="shared" si="166"/>
        <v>SISTEMA MANIFOLDTANK SIZE 106LFM-2001-10</v>
      </c>
      <c r="C947" s="226">
        <f t="shared" si="165"/>
        <v>1</v>
      </c>
      <c r="D947" s="226" t="s">
        <v>126</v>
      </c>
      <c r="E947" s="226" t="s">
        <v>69</v>
      </c>
      <c r="F947" s="226" t="s">
        <v>15</v>
      </c>
      <c r="G947" s="226">
        <f t="shared" si="164"/>
        <v>10</v>
      </c>
      <c r="H947" s="226" t="s">
        <v>16</v>
      </c>
      <c r="I947" s="227" t="s">
        <v>32</v>
      </c>
      <c r="J947" s="226" t="s">
        <v>33</v>
      </c>
      <c r="K947" s="226" t="s">
        <v>19</v>
      </c>
      <c r="L947" s="230">
        <f>'COT AGENTES'!$M$11</f>
        <v>1</v>
      </c>
      <c r="M947" s="228" t="s">
        <v>73</v>
      </c>
      <c r="N947" s="229">
        <v>1</v>
      </c>
      <c r="O947" s="229"/>
    </row>
    <row r="948" spans="1:15" x14ac:dyDescent="0.2">
      <c r="A948" s="226">
        <v>947</v>
      </c>
      <c r="B948" s="226" t="str">
        <f t="shared" si="166"/>
        <v>SISTEMA MANIFOLDTANK SIZE 106LFM-2001-11</v>
      </c>
      <c r="C948" s="226">
        <f t="shared" si="165"/>
        <v>1</v>
      </c>
      <c r="D948" s="226" t="s">
        <v>126</v>
      </c>
      <c r="E948" s="226" t="s">
        <v>69</v>
      </c>
      <c r="F948" s="226" t="s">
        <v>15</v>
      </c>
      <c r="G948" s="226">
        <f t="shared" si="164"/>
        <v>11</v>
      </c>
      <c r="H948" s="226" t="s">
        <v>16</v>
      </c>
      <c r="I948" s="227" t="s">
        <v>35</v>
      </c>
      <c r="J948" s="226" t="s">
        <v>36</v>
      </c>
      <c r="K948" s="226" t="s">
        <v>19</v>
      </c>
      <c r="L948" s="226">
        <v>1</v>
      </c>
      <c r="M948" s="228" t="str">
        <f t="shared" si="167"/>
        <v>442927-R2</v>
      </c>
      <c r="N948" s="229">
        <v>1</v>
      </c>
      <c r="O948" s="229"/>
    </row>
    <row r="949" spans="1:15" x14ac:dyDescent="0.2">
      <c r="A949" s="226">
        <v>948</v>
      </c>
      <c r="B949" s="226" t="str">
        <f t="shared" si="166"/>
        <v>SISTEMA MANIFOLDTANK SIZE 106LFM-2001-12</v>
      </c>
      <c r="C949" s="226">
        <f t="shared" si="165"/>
        <v>1</v>
      </c>
      <c r="D949" s="226" t="s">
        <v>126</v>
      </c>
      <c r="E949" s="226" t="s">
        <v>69</v>
      </c>
      <c r="F949" s="226" t="s">
        <v>15</v>
      </c>
      <c r="G949" s="226">
        <f t="shared" si="164"/>
        <v>12</v>
      </c>
      <c r="H949" s="226" t="s">
        <v>16</v>
      </c>
      <c r="I949" s="227" t="s">
        <v>37</v>
      </c>
      <c r="J949" s="226" t="s">
        <v>38</v>
      </c>
      <c r="K949" s="226" t="s">
        <v>19</v>
      </c>
      <c r="L949" s="226">
        <v>1</v>
      </c>
      <c r="M949" s="228" t="str">
        <f t="shared" si="167"/>
        <v>442928-R2</v>
      </c>
      <c r="N949" s="229">
        <v>1</v>
      </c>
      <c r="O949" s="229"/>
    </row>
    <row r="950" spans="1:15" x14ac:dyDescent="0.2">
      <c r="A950" s="226">
        <v>949</v>
      </c>
      <c r="B950" s="226" t="str">
        <f t="shared" si="166"/>
        <v>SISTEMA MANIFOLDTANK SIZE 106LFM-2001-13</v>
      </c>
      <c r="C950" s="226">
        <f t="shared" si="165"/>
        <v>1</v>
      </c>
      <c r="D950" s="226" t="s">
        <v>126</v>
      </c>
      <c r="E950" s="226" t="s">
        <v>69</v>
      </c>
      <c r="F950" s="226" t="s">
        <v>15</v>
      </c>
      <c r="G950" s="226">
        <f t="shared" si="164"/>
        <v>13</v>
      </c>
      <c r="H950" s="226" t="s">
        <v>16</v>
      </c>
      <c r="I950" s="227" t="s">
        <v>67</v>
      </c>
      <c r="J950" s="226" t="s">
        <v>68</v>
      </c>
      <c r="K950" s="226" t="s">
        <v>19</v>
      </c>
      <c r="L950" s="226">
        <f>L939</f>
        <v>1</v>
      </c>
      <c r="M950" s="228" t="str">
        <f t="shared" si="167"/>
        <v>570538-R2</v>
      </c>
      <c r="N950" s="229">
        <v>1</v>
      </c>
      <c r="O950" s="229"/>
    </row>
    <row r="951" spans="1:15" x14ac:dyDescent="0.2">
      <c r="A951" s="226">
        <v>950</v>
      </c>
      <c r="B951" s="226" t="str">
        <f t="shared" si="166"/>
        <v>SISTEMA MANIFOLDTANK SIZE 106LFM-2001-14</v>
      </c>
      <c r="C951" s="226">
        <f t="shared" si="165"/>
        <v>1</v>
      </c>
      <c r="D951" s="226" t="s">
        <v>126</v>
      </c>
      <c r="E951" s="226" t="s">
        <v>69</v>
      </c>
      <c r="F951" s="226" t="s">
        <v>15</v>
      </c>
      <c r="G951" s="226">
        <f t="shared" si="164"/>
        <v>14</v>
      </c>
      <c r="H951" s="226" t="s">
        <v>16</v>
      </c>
      <c r="I951" s="227">
        <v>570568</v>
      </c>
      <c r="J951" s="226" t="s">
        <v>124</v>
      </c>
      <c r="K951" s="226" t="s">
        <v>19</v>
      </c>
      <c r="L951" s="226">
        <f>L939</f>
        <v>1</v>
      </c>
      <c r="M951" s="228">
        <f t="shared" si="167"/>
        <v>570568</v>
      </c>
      <c r="N951" s="229">
        <v>1</v>
      </c>
      <c r="O951" s="229"/>
    </row>
    <row r="952" spans="1:15" x14ac:dyDescent="0.2">
      <c r="A952" s="226">
        <v>951</v>
      </c>
      <c r="B952" s="226" t="str">
        <f t="shared" si="166"/>
        <v>SISTEMA MANIFOLDTANK SIZE 106LFM-2001-15</v>
      </c>
      <c r="C952" s="226">
        <f t="shared" si="165"/>
        <v>1</v>
      </c>
      <c r="D952" s="226" t="s">
        <v>126</v>
      </c>
      <c r="E952" s="226" t="s">
        <v>69</v>
      </c>
      <c r="F952" s="226" t="s">
        <v>15</v>
      </c>
      <c r="G952" s="226">
        <f t="shared" si="164"/>
        <v>15</v>
      </c>
      <c r="H952" s="226" t="s">
        <v>16</v>
      </c>
      <c r="I952" s="227">
        <v>570550</v>
      </c>
      <c r="J952" s="226" t="s">
        <v>120</v>
      </c>
      <c r="K952" s="226" t="s">
        <v>19</v>
      </c>
      <c r="L952" s="226">
        <f>L939-1</f>
        <v>0</v>
      </c>
      <c r="M952" s="228">
        <f t="shared" si="167"/>
        <v>570550</v>
      </c>
      <c r="N952" s="229">
        <v>1</v>
      </c>
      <c r="O952" s="229"/>
    </row>
    <row r="953" spans="1:15" x14ac:dyDescent="0.2">
      <c r="A953" s="226">
        <v>952</v>
      </c>
      <c r="B953" s="226" t="str">
        <f t="shared" si="166"/>
        <v>SISTEMA MANIFOLDTANK SIZE 106LFM-2001-16</v>
      </c>
      <c r="C953" s="226">
        <f t="shared" si="165"/>
        <v>1</v>
      </c>
      <c r="D953" s="226" t="s">
        <v>126</v>
      </c>
      <c r="E953" s="226" t="s">
        <v>69</v>
      </c>
      <c r="F953" s="226" t="s">
        <v>15</v>
      </c>
      <c r="G953" s="226">
        <f t="shared" si="164"/>
        <v>16</v>
      </c>
      <c r="H953" s="226" t="s">
        <v>16</v>
      </c>
      <c r="I953" s="227">
        <v>32338</v>
      </c>
      <c r="J953" s="226" t="s">
        <v>42</v>
      </c>
      <c r="K953" s="226" t="s">
        <v>19</v>
      </c>
      <c r="L953" s="226">
        <v>1</v>
      </c>
      <c r="M953" s="228">
        <f t="shared" si="167"/>
        <v>32338</v>
      </c>
      <c r="N953" s="229">
        <v>1</v>
      </c>
      <c r="O953" s="229"/>
    </row>
    <row r="954" spans="1:15" x14ac:dyDescent="0.2">
      <c r="A954" s="226">
        <v>953</v>
      </c>
      <c r="B954" s="226" t="str">
        <f t="shared" si="166"/>
        <v>SISTEMA MANIFOLDTANK SIZE 106LFM-2001-17</v>
      </c>
      <c r="C954" s="226">
        <f t="shared" si="165"/>
        <v>1</v>
      </c>
      <c r="D954" s="226" t="s">
        <v>126</v>
      </c>
      <c r="E954" s="226" t="s">
        <v>69</v>
      </c>
      <c r="F954" s="226" t="s">
        <v>15</v>
      </c>
      <c r="G954" s="226">
        <f t="shared" si="164"/>
        <v>17</v>
      </c>
      <c r="H954" s="226" t="s">
        <v>16</v>
      </c>
      <c r="I954" s="227">
        <v>31810</v>
      </c>
      <c r="J954" s="226" t="s">
        <v>121</v>
      </c>
      <c r="K954" s="226" t="s">
        <v>19</v>
      </c>
      <c r="L954" s="226">
        <v>1</v>
      </c>
      <c r="M954" s="228">
        <f t="shared" si="167"/>
        <v>31810</v>
      </c>
      <c r="N954" s="229">
        <v>1</v>
      </c>
      <c r="O954" s="229"/>
    </row>
    <row r="955" spans="1:15" x14ac:dyDescent="0.2">
      <c r="A955" s="226">
        <v>954</v>
      </c>
      <c r="B955" s="226" t="str">
        <f t="shared" si="166"/>
        <v>SISTEMA MANIFOLDTANK SIZE 106LFM-2001-18</v>
      </c>
      <c r="C955" s="226">
        <f t="shared" si="165"/>
        <v>1</v>
      </c>
      <c r="D955" s="226" t="s">
        <v>126</v>
      </c>
      <c r="E955" s="226" t="s">
        <v>69</v>
      </c>
      <c r="F955" s="226" t="s">
        <v>15</v>
      </c>
      <c r="G955" s="226">
        <f t="shared" si="164"/>
        <v>18</v>
      </c>
      <c r="H955" s="226" t="s">
        <v>16</v>
      </c>
      <c r="I955" s="227">
        <v>32336</v>
      </c>
      <c r="J955" s="226" t="s">
        <v>122</v>
      </c>
      <c r="K955" s="226" t="s">
        <v>19</v>
      </c>
      <c r="L955" s="226">
        <f>L939-1</f>
        <v>0</v>
      </c>
      <c r="M955" s="228">
        <f t="shared" si="167"/>
        <v>32336</v>
      </c>
      <c r="N955" s="229">
        <v>1</v>
      </c>
      <c r="O955" s="229"/>
    </row>
    <row r="956" spans="1:15" x14ac:dyDescent="0.2">
      <c r="A956" s="226">
        <v>955</v>
      </c>
      <c r="B956" s="226" t="str">
        <f t="shared" si="166"/>
        <v>SISTEMA MANIFOLDTANK SIZE 106LFM-2001-19</v>
      </c>
      <c r="C956" s="226">
        <f t="shared" si="165"/>
        <v>1</v>
      </c>
      <c r="D956" s="226" t="s">
        <v>126</v>
      </c>
      <c r="E956" s="226" t="s">
        <v>69</v>
      </c>
      <c r="F956" s="226" t="s">
        <v>15</v>
      </c>
      <c r="G956" s="226">
        <f t="shared" si="164"/>
        <v>19</v>
      </c>
      <c r="H956" s="226" t="s">
        <v>16</v>
      </c>
      <c r="I956" s="227">
        <v>31811</v>
      </c>
      <c r="J956" s="226" t="s">
        <v>123</v>
      </c>
      <c r="K956" s="226" t="s">
        <v>19</v>
      </c>
      <c r="L956" s="226">
        <f>IF(L939&gt;1,L939-1,0)</f>
        <v>0</v>
      </c>
      <c r="M956" s="228">
        <f t="shared" si="167"/>
        <v>31811</v>
      </c>
      <c r="N956" s="229">
        <v>1</v>
      </c>
      <c r="O956" s="229"/>
    </row>
    <row r="957" spans="1:15" x14ac:dyDescent="0.2">
      <c r="A957" s="226">
        <v>956</v>
      </c>
      <c r="B957" s="226" t="str">
        <f t="shared" si="166"/>
        <v>SISTEMA MANIFOLDTANK SIZE 106LFM-2001-20</v>
      </c>
      <c r="C957" s="226">
        <f t="shared" si="165"/>
        <v>1</v>
      </c>
      <c r="D957" s="226" t="s">
        <v>126</v>
      </c>
      <c r="E957" s="226" t="s">
        <v>69</v>
      </c>
      <c r="F957" s="226" t="s">
        <v>15</v>
      </c>
      <c r="G957" s="226">
        <f t="shared" si="164"/>
        <v>20</v>
      </c>
      <c r="M957" s="228">
        <f t="shared" si="167"/>
        <v>0</v>
      </c>
      <c r="N957" s="229">
        <v>1</v>
      </c>
      <c r="O957" s="229"/>
    </row>
    <row r="958" spans="1:15" x14ac:dyDescent="0.2">
      <c r="A958" s="226">
        <v>957</v>
      </c>
      <c r="B958" s="226" t="str">
        <f t="shared" si="166"/>
        <v>SISTEMA MANIFOLDTANK SIZE 106LFM-2001-21</v>
      </c>
      <c r="C958" s="226">
        <f t="shared" si="165"/>
        <v>1</v>
      </c>
      <c r="D958" s="226" t="s">
        <v>126</v>
      </c>
      <c r="E958" s="226" t="s">
        <v>69</v>
      </c>
      <c r="F958" s="226" t="s">
        <v>15</v>
      </c>
      <c r="G958" s="226">
        <f t="shared" si="164"/>
        <v>21</v>
      </c>
      <c r="H958" s="226" t="s">
        <v>16</v>
      </c>
      <c r="I958" s="227">
        <v>437900</v>
      </c>
      <c r="J958" s="226" t="s">
        <v>40</v>
      </c>
      <c r="K958" s="226" t="s">
        <v>19</v>
      </c>
      <c r="L958" s="226">
        <v>1</v>
      </c>
      <c r="M958" s="228">
        <f t="shared" si="167"/>
        <v>437900</v>
      </c>
      <c r="N958" s="229">
        <v>1</v>
      </c>
      <c r="O958" s="229"/>
    </row>
    <row r="959" spans="1:15" x14ac:dyDescent="0.2">
      <c r="A959" s="226">
        <v>958</v>
      </c>
      <c r="B959" s="226" t="str">
        <f t="shared" si="166"/>
        <v>SISTEMA MANIFOLDTANK SIZE 106LFM-2001-22</v>
      </c>
      <c r="C959" s="226">
        <f t="shared" si="165"/>
        <v>1</v>
      </c>
      <c r="D959" s="226" t="s">
        <v>126</v>
      </c>
      <c r="E959" s="226" t="s">
        <v>69</v>
      </c>
      <c r="F959" s="226" t="s">
        <v>15</v>
      </c>
      <c r="G959" s="226">
        <f t="shared" si="164"/>
        <v>22</v>
      </c>
      <c r="H959" s="226" t="s">
        <v>16</v>
      </c>
      <c r="I959" s="227">
        <v>31811</v>
      </c>
      <c r="J959" s="226" t="s">
        <v>123</v>
      </c>
      <c r="K959" s="226" t="s">
        <v>19</v>
      </c>
      <c r="L959" s="226">
        <v>1</v>
      </c>
      <c r="M959" s="228">
        <f t="shared" si="167"/>
        <v>31811</v>
      </c>
      <c r="N959" s="229">
        <v>1</v>
      </c>
      <c r="O959" s="229"/>
    </row>
    <row r="960" spans="1:15" x14ac:dyDescent="0.2">
      <c r="A960" s="226">
        <v>959</v>
      </c>
      <c r="B960" s="226" t="str">
        <f t="shared" si="166"/>
        <v>SISTEMA MANIFOLDTANK SIZE 106LFM-2001-23</v>
      </c>
      <c r="C960" s="226">
        <f t="shared" si="165"/>
        <v>1</v>
      </c>
      <c r="D960" s="226" t="s">
        <v>126</v>
      </c>
      <c r="E960" s="226" t="s">
        <v>69</v>
      </c>
      <c r="F960" s="226" t="s">
        <v>15</v>
      </c>
      <c r="G960" s="226">
        <f t="shared" si="164"/>
        <v>23</v>
      </c>
      <c r="H960" s="226" t="s">
        <v>16</v>
      </c>
      <c r="I960" s="227">
        <v>415142</v>
      </c>
      <c r="J960" s="226" t="s">
        <v>66</v>
      </c>
      <c r="K960" s="226" t="s">
        <v>19</v>
      </c>
      <c r="L960" s="226">
        <v>1</v>
      </c>
      <c r="M960" s="228">
        <f t="shared" si="167"/>
        <v>415142</v>
      </c>
      <c r="N960" s="229">
        <v>1</v>
      </c>
      <c r="O960" s="229"/>
    </row>
    <row r="961" spans="1:15" x14ac:dyDescent="0.2">
      <c r="A961" s="226">
        <v>960</v>
      </c>
      <c r="B961" s="226" t="str">
        <f t="shared" si="166"/>
        <v>SISTEMA MANIFOLDTANK SIZE 106LFM-2001-24</v>
      </c>
      <c r="C961" s="226">
        <f t="shared" si="165"/>
        <v>1</v>
      </c>
      <c r="D961" s="226" t="s">
        <v>126</v>
      </c>
      <c r="E961" s="226" t="s">
        <v>69</v>
      </c>
      <c r="F961" s="226" t="s">
        <v>15</v>
      </c>
      <c r="G961" s="226">
        <f t="shared" si="164"/>
        <v>24</v>
      </c>
      <c r="H961" s="226" t="s">
        <v>16</v>
      </c>
      <c r="I961" s="227">
        <v>76498</v>
      </c>
      <c r="J961" s="226" t="s">
        <v>46</v>
      </c>
      <c r="K961" s="226" t="s">
        <v>19</v>
      </c>
      <c r="L961" s="226">
        <v>1</v>
      </c>
      <c r="M961" s="228">
        <f t="shared" si="167"/>
        <v>76498</v>
      </c>
      <c r="N961" s="229">
        <v>1</v>
      </c>
      <c r="O961" s="229"/>
    </row>
    <row r="962" spans="1:15" x14ac:dyDescent="0.2">
      <c r="A962" s="226">
        <v>961</v>
      </c>
      <c r="B962" s="226" t="str">
        <f t="shared" si="166"/>
        <v>SISTEMA MANIFOLDTANK SIZE 106LFM-2001-25</v>
      </c>
      <c r="C962" s="226">
        <f t="shared" si="165"/>
        <v>1</v>
      </c>
      <c r="D962" s="226" t="s">
        <v>126</v>
      </c>
      <c r="E962" s="226" t="s">
        <v>69</v>
      </c>
      <c r="F962" s="226" t="s">
        <v>15</v>
      </c>
      <c r="G962" s="226">
        <f t="shared" si="164"/>
        <v>25</v>
      </c>
      <c r="H962" s="226" t="s">
        <v>16</v>
      </c>
      <c r="I962" s="228">
        <v>570277</v>
      </c>
      <c r="J962" s="226" t="s">
        <v>74</v>
      </c>
      <c r="K962" s="226" t="s">
        <v>19</v>
      </c>
      <c r="L962" s="226">
        <f>L939</f>
        <v>1</v>
      </c>
      <c r="M962" s="228">
        <f t="shared" si="167"/>
        <v>570277</v>
      </c>
      <c r="N962" s="229">
        <v>1</v>
      </c>
      <c r="O962" s="229"/>
    </row>
    <row r="963" spans="1:15" x14ac:dyDescent="0.2">
      <c r="A963" s="226">
        <v>962</v>
      </c>
      <c r="B963" s="226" t="str">
        <f t="shared" si="166"/>
        <v>-</v>
      </c>
      <c r="M963" s="228">
        <f t="shared" si="167"/>
        <v>0</v>
      </c>
      <c r="N963" s="229">
        <v>1</v>
      </c>
      <c r="O963" s="229"/>
    </row>
    <row r="964" spans="1:15" x14ac:dyDescent="0.2">
      <c r="A964" s="226">
        <v>963</v>
      </c>
      <c r="B964" s="226" t="str">
        <f t="shared" si="166"/>
        <v>SISTEMA MANIFOLDTANK SIZE 147LFM-2001-1</v>
      </c>
      <c r="C964" s="226">
        <f>L964</f>
        <v>1</v>
      </c>
      <c r="D964" s="226" t="s">
        <v>126</v>
      </c>
      <c r="E964" s="226" t="s">
        <v>75</v>
      </c>
      <c r="F964" s="226" t="s">
        <v>15</v>
      </c>
      <c r="G964" s="226">
        <v>1</v>
      </c>
      <c r="H964" s="226" t="s">
        <v>16</v>
      </c>
      <c r="I964" s="227" t="s">
        <v>17</v>
      </c>
      <c r="J964" s="226" t="s">
        <v>76</v>
      </c>
      <c r="K964" s="226" t="s">
        <v>19</v>
      </c>
      <c r="L964" s="226">
        <f>'COT AGENTES'!$H$3</f>
        <v>1</v>
      </c>
      <c r="M964" s="228" t="s">
        <v>77</v>
      </c>
      <c r="N964" s="229">
        <v>1</v>
      </c>
      <c r="O964" s="229"/>
    </row>
    <row r="965" spans="1:15" x14ac:dyDescent="0.2">
      <c r="A965" s="226">
        <v>964</v>
      </c>
      <c r="B965" s="226" t="str">
        <f t="shared" si="166"/>
        <v>SISTEMA MANIFOLDTANK SIZE 147LFM-2001-2</v>
      </c>
      <c r="C965" s="226">
        <f>C964</f>
        <v>1</v>
      </c>
      <c r="D965" s="226" t="s">
        <v>126</v>
      </c>
      <c r="E965" s="226" t="s">
        <v>75</v>
      </c>
      <c r="F965" s="226" t="s">
        <v>15</v>
      </c>
      <c r="G965" s="226">
        <f>+G964+1</f>
        <v>2</v>
      </c>
      <c r="H965" s="226" t="s">
        <v>16</v>
      </c>
      <c r="I965" s="227">
        <v>445737</v>
      </c>
      <c r="J965" s="226" t="s">
        <v>78</v>
      </c>
      <c r="K965" s="226" t="s">
        <v>19</v>
      </c>
      <c r="L965" s="226">
        <f>L964</f>
        <v>1</v>
      </c>
      <c r="M965" s="228">
        <f t="shared" si="167"/>
        <v>445737</v>
      </c>
      <c r="N965" s="229">
        <v>1</v>
      </c>
      <c r="O965" s="229"/>
    </row>
    <row r="966" spans="1:15" x14ac:dyDescent="0.2">
      <c r="A966" s="226">
        <v>965</v>
      </c>
      <c r="B966" s="226" t="str">
        <f t="shared" si="166"/>
        <v>SISTEMA MANIFOLDTANK SIZE 147LFM-2001-3</v>
      </c>
      <c r="C966" s="226">
        <f t="shared" ref="C966:C988" si="168">C965</f>
        <v>1</v>
      </c>
      <c r="D966" s="226" t="s">
        <v>126</v>
      </c>
      <c r="E966" s="226" t="s">
        <v>75</v>
      </c>
      <c r="F966" s="226" t="s">
        <v>15</v>
      </c>
      <c r="G966" s="226">
        <f t="shared" ref="G966:G988" si="169">+G965+1</f>
        <v>3</v>
      </c>
      <c r="H966" s="226" t="s">
        <v>16</v>
      </c>
      <c r="I966" s="227" t="s">
        <v>22</v>
      </c>
      <c r="J966" s="226" t="s">
        <v>23</v>
      </c>
      <c r="K966" s="226" t="s">
        <v>19</v>
      </c>
      <c r="L966" s="230">
        <f>'COT AGENTES'!$H$5</f>
        <v>2</v>
      </c>
      <c r="M966" s="228">
        <v>453646</v>
      </c>
      <c r="N966" s="229">
        <v>1</v>
      </c>
      <c r="O966" s="229"/>
    </row>
    <row r="967" spans="1:15" x14ac:dyDescent="0.2">
      <c r="A967" s="226">
        <v>966</v>
      </c>
      <c r="B967" s="226" t="str">
        <f t="shared" si="166"/>
        <v>SISTEMA MANIFOLDTANK SIZE 147LFM-2001-4</v>
      </c>
      <c r="C967" s="226">
        <f t="shared" si="168"/>
        <v>1</v>
      </c>
      <c r="D967" s="226" t="s">
        <v>126</v>
      </c>
      <c r="E967" s="226" t="s">
        <v>75</v>
      </c>
      <c r="F967" s="226" t="s">
        <v>15</v>
      </c>
      <c r="G967" s="226">
        <f t="shared" si="169"/>
        <v>4</v>
      </c>
      <c r="H967" s="226" t="s">
        <v>16</v>
      </c>
      <c r="I967" s="227">
        <v>570055</v>
      </c>
      <c r="J967" s="226" t="s">
        <v>24</v>
      </c>
      <c r="K967" s="226" t="s">
        <v>19</v>
      </c>
      <c r="L967" s="226">
        <f>L965</f>
        <v>1</v>
      </c>
      <c r="M967" s="228">
        <f t="shared" si="167"/>
        <v>570055</v>
      </c>
      <c r="N967" s="229">
        <v>1</v>
      </c>
      <c r="O967" s="229"/>
    </row>
    <row r="968" spans="1:15" x14ac:dyDescent="0.2">
      <c r="A968" s="226">
        <v>967</v>
      </c>
      <c r="B968" s="226" t="str">
        <f t="shared" si="166"/>
        <v>SISTEMA MANIFOLDTANK SIZE 147LFM-2001-5</v>
      </c>
      <c r="C968" s="226">
        <f t="shared" si="168"/>
        <v>1</v>
      </c>
      <c r="D968" s="226" t="s">
        <v>126</v>
      </c>
      <c r="E968" s="226" t="s">
        <v>75</v>
      </c>
      <c r="F968" s="226" t="s">
        <v>15</v>
      </c>
      <c r="G968" s="226">
        <f t="shared" si="169"/>
        <v>5</v>
      </c>
      <c r="H968" s="226" t="s">
        <v>16</v>
      </c>
      <c r="I968" s="227">
        <v>314205314</v>
      </c>
      <c r="J968" s="226" t="s">
        <v>56</v>
      </c>
      <c r="K968" s="226" t="s">
        <v>19</v>
      </c>
      <c r="L968" s="226">
        <f>L965</f>
        <v>1</v>
      </c>
      <c r="M968" s="228">
        <f t="shared" si="167"/>
        <v>314205314</v>
      </c>
      <c r="N968" s="229">
        <v>1</v>
      </c>
      <c r="O968" s="229"/>
    </row>
    <row r="969" spans="1:15" x14ac:dyDescent="0.2">
      <c r="A969" s="226">
        <v>968</v>
      </c>
      <c r="B969" s="226" t="str">
        <f t="shared" si="166"/>
        <v>SISTEMA MANIFOLDTANK SIZE 147LFM-2001-6</v>
      </c>
      <c r="C969" s="226">
        <f t="shared" si="168"/>
        <v>1</v>
      </c>
      <c r="D969" s="226" t="s">
        <v>126</v>
      </c>
      <c r="E969" s="226" t="s">
        <v>75</v>
      </c>
      <c r="F969" s="226" t="s">
        <v>15</v>
      </c>
      <c r="G969" s="226">
        <f t="shared" si="169"/>
        <v>6</v>
      </c>
      <c r="H969" s="226" t="s">
        <v>16</v>
      </c>
      <c r="I969" s="227">
        <v>570585</v>
      </c>
      <c r="J969" s="226" t="s">
        <v>26</v>
      </c>
      <c r="K969" s="226" t="s">
        <v>19</v>
      </c>
      <c r="L969" s="226">
        <f>L965</f>
        <v>1</v>
      </c>
      <c r="M969" s="228">
        <f t="shared" si="167"/>
        <v>570585</v>
      </c>
      <c r="N969" s="229">
        <v>1</v>
      </c>
      <c r="O969" s="229"/>
    </row>
    <row r="970" spans="1:15" x14ac:dyDescent="0.2">
      <c r="A970" s="226">
        <v>969</v>
      </c>
      <c r="B970" s="226" t="str">
        <f t="shared" si="166"/>
        <v>SISTEMA MANIFOLDTANK SIZE 147LFM-2001-7</v>
      </c>
      <c r="C970" s="226">
        <f t="shared" si="168"/>
        <v>1</v>
      </c>
      <c r="D970" s="226" t="s">
        <v>126</v>
      </c>
      <c r="E970" s="226" t="s">
        <v>75</v>
      </c>
      <c r="F970" s="226" t="s">
        <v>15</v>
      </c>
      <c r="G970" s="226">
        <f t="shared" si="169"/>
        <v>7</v>
      </c>
      <c r="H970" s="226" t="s">
        <v>16</v>
      </c>
      <c r="I970" s="227">
        <v>304205030</v>
      </c>
      <c r="J970" s="226" t="s">
        <v>27</v>
      </c>
      <c r="K970" s="226" t="s">
        <v>19</v>
      </c>
      <c r="L970" s="226">
        <v>1</v>
      </c>
      <c r="M970" s="228">
        <f t="shared" si="167"/>
        <v>304205030</v>
      </c>
      <c r="N970" s="229">
        <v>1</v>
      </c>
      <c r="O970" s="229"/>
    </row>
    <row r="971" spans="1:15" x14ac:dyDescent="0.2">
      <c r="A971" s="226">
        <v>970</v>
      </c>
      <c r="B971" s="226" t="str">
        <f t="shared" si="166"/>
        <v>SISTEMA MANIFOLDTANK SIZE 147LFM-2001-8</v>
      </c>
      <c r="C971" s="226">
        <f t="shared" si="168"/>
        <v>1</v>
      </c>
      <c r="D971" s="226" t="s">
        <v>126</v>
      </c>
      <c r="E971" s="226" t="s">
        <v>75</v>
      </c>
      <c r="F971" s="226" t="s">
        <v>15</v>
      </c>
      <c r="G971" s="226">
        <f t="shared" si="169"/>
        <v>8</v>
      </c>
      <c r="H971" s="226" t="s">
        <v>16</v>
      </c>
      <c r="I971" s="227" t="s">
        <v>28</v>
      </c>
      <c r="J971" s="226" t="s">
        <v>29</v>
      </c>
      <c r="K971" s="226" t="s">
        <v>19</v>
      </c>
      <c r="L971" s="226">
        <v>1</v>
      </c>
      <c r="M971" s="228" t="str">
        <f t="shared" si="167"/>
        <v>A1638150HY</v>
      </c>
      <c r="N971" s="229">
        <v>1</v>
      </c>
      <c r="O971" s="229"/>
    </row>
    <row r="972" spans="1:15" x14ac:dyDescent="0.2">
      <c r="A972" s="226">
        <v>971</v>
      </c>
      <c r="B972" s="226" t="str">
        <f t="shared" si="166"/>
        <v>SISTEMA MANIFOLDTANK SIZE 147LFM-2001-9</v>
      </c>
      <c r="C972" s="226">
        <f t="shared" si="168"/>
        <v>1</v>
      </c>
      <c r="D972" s="226" t="s">
        <v>126</v>
      </c>
      <c r="E972" s="226" t="s">
        <v>75</v>
      </c>
      <c r="F972" s="226" t="s">
        <v>15</v>
      </c>
      <c r="G972" s="226">
        <f t="shared" si="169"/>
        <v>9</v>
      </c>
      <c r="H972" s="226" t="s">
        <v>16</v>
      </c>
      <c r="I972" s="227" t="s">
        <v>62</v>
      </c>
      <c r="J972" s="226" t="s">
        <v>63</v>
      </c>
      <c r="K972" s="226" t="s">
        <v>19</v>
      </c>
      <c r="L972" s="226">
        <f>L965*2</f>
        <v>2</v>
      </c>
      <c r="M972" s="228" t="str">
        <f t="shared" si="167"/>
        <v>570092-R2</v>
      </c>
      <c r="N972" s="229">
        <v>1</v>
      </c>
      <c r="O972" s="229"/>
    </row>
    <row r="973" spans="1:15" x14ac:dyDescent="0.2">
      <c r="A973" s="226">
        <v>972</v>
      </c>
      <c r="B973" s="226" t="str">
        <f t="shared" si="166"/>
        <v>SISTEMA MANIFOLDTANK SIZE 147LFM-2001-10</v>
      </c>
      <c r="C973" s="226">
        <f t="shared" si="168"/>
        <v>1</v>
      </c>
      <c r="D973" s="226" t="s">
        <v>126</v>
      </c>
      <c r="E973" s="226" t="s">
        <v>75</v>
      </c>
      <c r="F973" s="226" t="s">
        <v>15</v>
      </c>
      <c r="G973" s="226">
        <f t="shared" si="169"/>
        <v>10</v>
      </c>
      <c r="H973" s="226" t="s">
        <v>16</v>
      </c>
      <c r="I973" s="227" t="s">
        <v>32</v>
      </c>
      <c r="J973" s="226" t="s">
        <v>33</v>
      </c>
      <c r="K973" s="226" t="s">
        <v>19</v>
      </c>
      <c r="L973" s="230">
        <f>'COT AGENTES'!$M$11</f>
        <v>1</v>
      </c>
      <c r="M973" s="228" t="s">
        <v>79</v>
      </c>
      <c r="N973" s="229">
        <v>1</v>
      </c>
      <c r="O973" s="229"/>
    </row>
    <row r="974" spans="1:15" x14ac:dyDescent="0.2">
      <c r="A974" s="226">
        <v>973</v>
      </c>
      <c r="B974" s="226" t="str">
        <f t="shared" si="166"/>
        <v>SISTEMA MANIFOLDTANK SIZE 147LFM-2001-11</v>
      </c>
      <c r="C974" s="226">
        <f t="shared" si="168"/>
        <v>1</v>
      </c>
      <c r="D974" s="226" t="s">
        <v>126</v>
      </c>
      <c r="E974" s="226" t="s">
        <v>75</v>
      </c>
      <c r="F974" s="226" t="s">
        <v>15</v>
      </c>
      <c r="G974" s="226">
        <f t="shared" si="169"/>
        <v>11</v>
      </c>
      <c r="H974" s="226" t="s">
        <v>16</v>
      </c>
      <c r="I974" s="227" t="s">
        <v>35</v>
      </c>
      <c r="J974" s="226" t="s">
        <v>36</v>
      </c>
      <c r="K974" s="226" t="s">
        <v>19</v>
      </c>
      <c r="L974" s="226">
        <v>1</v>
      </c>
      <c r="M974" s="228" t="str">
        <f t="shared" si="167"/>
        <v>442927-R2</v>
      </c>
      <c r="N974" s="229">
        <v>1</v>
      </c>
      <c r="O974" s="229"/>
    </row>
    <row r="975" spans="1:15" x14ac:dyDescent="0.2">
      <c r="A975" s="226">
        <v>974</v>
      </c>
      <c r="B975" s="226" t="str">
        <f t="shared" si="166"/>
        <v>SISTEMA MANIFOLDTANK SIZE 147LFM-2001-12</v>
      </c>
      <c r="C975" s="226">
        <f t="shared" si="168"/>
        <v>1</v>
      </c>
      <c r="D975" s="226" t="s">
        <v>126</v>
      </c>
      <c r="E975" s="226" t="s">
        <v>75</v>
      </c>
      <c r="F975" s="226" t="s">
        <v>15</v>
      </c>
      <c r="G975" s="226">
        <f t="shared" si="169"/>
        <v>12</v>
      </c>
      <c r="H975" s="226" t="s">
        <v>16</v>
      </c>
      <c r="I975" s="227" t="s">
        <v>37</v>
      </c>
      <c r="J975" s="226" t="s">
        <v>38</v>
      </c>
      <c r="K975" s="226" t="s">
        <v>19</v>
      </c>
      <c r="L975" s="226">
        <v>1</v>
      </c>
      <c r="M975" s="228" t="str">
        <f t="shared" si="167"/>
        <v>442928-R2</v>
      </c>
      <c r="N975" s="229">
        <v>1</v>
      </c>
      <c r="O975" s="229"/>
    </row>
    <row r="976" spans="1:15" x14ac:dyDescent="0.2">
      <c r="A976" s="226">
        <v>975</v>
      </c>
      <c r="B976" s="226" t="str">
        <f t="shared" si="166"/>
        <v>SISTEMA MANIFOLDTANK SIZE 147LFM-2001-13</v>
      </c>
      <c r="C976" s="226">
        <f t="shared" si="168"/>
        <v>1</v>
      </c>
      <c r="D976" s="226" t="s">
        <v>126</v>
      </c>
      <c r="E976" s="226" t="s">
        <v>75</v>
      </c>
      <c r="F976" s="226" t="s">
        <v>15</v>
      </c>
      <c r="G976" s="226">
        <f t="shared" si="169"/>
        <v>13</v>
      </c>
      <c r="H976" s="226" t="s">
        <v>16</v>
      </c>
      <c r="I976" s="227" t="s">
        <v>67</v>
      </c>
      <c r="J976" s="226" t="s">
        <v>68</v>
      </c>
      <c r="K976" s="226" t="s">
        <v>19</v>
      </c>
      <c r="L976" s="226">
        <f>L965</f>
        <v>1</v>
      </c>
      <c r="M976" s="228" t="str">
        <f t="shared" si="167"/>
        <v>570538-R2</v>
      </c>
      <c r="N976" s="229">
        <v>1</v>
      </c>
      <c r="O976" s="229"/>
    </row>
    <row r="977" spans="1:15" x14ac:dyDescent="0.2">
      <c r="A977" s="226">
        <v>976</v>
      </c>
      <c r="B977" s="226" t="str">
        <f t="shared" si="166"/>
        <v>SISTEMA MANIFOLDTANK SIZE 147LFM-2001-14</v>
      </c>
      <c r="C977" s="226">
        <f t="shared" si="168"/>
        <v>1</v>
      </c>
      <c r="D977" s="226" t="s">
        <v>126</v>
      </c>
      <c r="E977" s="226" t="s">
        <v>75</v>
      </c>
      <c r="F977" s="226" t="s">
        <v>15</v>
      </c>
      <c r="G977" s="226">
        <f t="shared" si="169"/>
        <v>14</v>
      </c>
      <c r="H977" s="226" t="s">
        <v>16</v>
      </c>
      <c r="I977" s="227">
        <v>570568</v>
      </c>
      <c r="J977" s="226" t="s">
        <v>124</v>
      </c>
      <c r="K977" s="226" t="s">
        <v>19</v>
      </c>
      <c r="L977" s="226">
        <f>L965</f>
        <v>1</v>
      </c>
      <c r="M977" s="228">
        <f t="shared" si="167"/>
        <v>570568</v>
      </c>
      <c r="N977" s="229">
        <v>1</v>
      </c>
      <c r="O977" s="229"/>
    </row>
    <row r="978" spans="1:15" x14ac:dyDescent="0.2">
      <c r="A978" s="226">
        <v>977</v>
      </c>
      <c r="B978" s="226" t="str">
        <f t="shared" si="166"/>
        <v>SISTEMA MANIFOLDTANK SIZE 147LFM-2001-15</v>
      </c>
      <c r="C978" s="226">
        <f t="shared" si="168"/>
        <v>1</v>
      </c>
      <c r="D978" s="226" t="s">
        <v>126</v>
      </c>
      <c r="E978" s="226" t="s">
        <v>75</v>
      </c>
      <c r="F978" s="226" t="s">
        <v>15</v>
      </c>
      <c r="G978" s="226">
        <f t="shared" si="169"/>
        <v>15</v>
      </c>
      <c r="H978" s="226" t="s">
        <v>16</v>
      </c>
      <c r="I978" s="227">
        <v>570550</v>
      </c>
      <c r="J978" s="226" t="s">
        <v>120</v>
      </c>
      <c r="K978" s="226" t="s">
        <v>19</v>
      </c>
      <c r="L978" s="226">
        <f>L965-1</f>
        <v>0</v>
      </c>
      <c r="M978" s="228">
        <f t="shared" si="167"/>
        <v>570550</v>
      </c>
      <c r="N978" s="229">
        <v>1</v>
      </c>
      <c r="O978" s="229"/>
    </row>
    <row r="979" spans="1:15" x14ac:dyDescent="0.2">
      <c r="A979" s="226">
        <v>978</v>
      </c>
      <c r="B979" s="226" t="str">
        <f t="shared" si="166"/>
        <v>SISTEMA MANIFOLDTANK SIZE 147LFM-2001-16</v>
      </c>
      <c r="C979" s="226">
        <f t="shared" si="168"/>
        <v>1</v>
      </c>
      <c r="D979" s="226" t="s">
        <v>126</v>
      </c>
      <c r="E979" s="226" t="s">
        <v>75</v>
      </c>
      <c r="F979" s="226" t="s">
        <v>15</v>
      </c>
      <c r="G979" s="226">
        <f t="shared" si="169"/>
        <v>16</v>
      </c>
      <c r="H979" s="226" t="s">
        <v>16</v>
      </c>
      <c r="I979" s="227">
        <v>32338</v>
      </c>
      <c r="J979" s="226" t="s">
        <v>42</v>
      </c>
      <c r="K979" s="226" t="s">
        <v>19</v>
      </c>
      <c r="L979" s="226">
        <v>1</v>
      </c>
      <c r="M979" s="228">
        <f t="shared" si="167"/>
        <v>32338</v>
      </c>
      <c r="N979" s="229">
        <v>1</v>
      </c>
      <c r="O979" s="229"/>
    </row>
    <row r="980" spans="1:15" x14ac:dyDescent="0.2">
      <c r="A980" s="226">
        <v>979</v>
      </c>
      <c r="B980" s="226" t="str">
        <f t="shared" si="166"/>
        <v>SISTEMA MANIFOLDTANK SIZE 147LFM-2001-17</v>
      </c>
      <c r="C980" s="226">
        <f t="shared" si="168"/>
        <v>1</v>
      </c>
      <c r="D980" s="226" t="s">
        <v>126</v>
      </c>
      <c r="E980" s="226" t="s">
        <v>75</v>
      </c>
      <c r="F980" s="226" t="s">
        <v>15</v>
      </c>
      <c r="G980" s="226">
        <f t="shared" si="169"/>
        <v>17</v>
      </c>
      <c r="H980" s="226" t="s">
        <v>16</v>
      </c>
      <c r="I980" s="227">
        <v>31810</v>
      </c>
      <c r="J980" s="226" t="s">
        <v>121</v>
      </c>
      <c r="K980" s="226" t="s">
        <v>19</v>
      </c>
      <c r="L980" s="226">
        <v>1</v>
      </c>
      <c r="M980" s="228">
        <f t="shared" si="167"/>
        <v>31810</v>
      </c>
      <c r="N980" s="229">
        <v>1</v>
      </c>
      <c r="O980" s="229"/>
    </row>
    <row r="981" spans="1:15" x14ac:dyDescent="0.2">
      <c r="A981" s="226">
        <v>980</v>
      </c>
      <c r="B981" s="226" t="str">
        <f t="shared" si="166"/>
        <v>SISTEMA MANIFOLDTANK SIZE 147LFM-2001-18</v>
      </c>
      <c r="C981" s="226">
        <f t="shared" si="168"/>
        <v>1</v>
      </c>
      <c r="D981" s="226" t="s">
        <v>126</v>
      </c>
      <c r="E981" s="226" t="s">
        <v>75</v>
      </c>
      <c r="F981" s="226" t="s">
        <v>15</v>
      </c>
      <c r="G981" s="226">
        <f t="shared" si="169"/>
        <v>18</v>
      </c>
      <c r="H981" s="226" t="s">
        <v>16</v>
      </c>
      <c r="I981" s="227">
        <v>32336</v>
      </c>
      <c r="J981" s="226" t="s">
        <v>122</v>
      </c>
      <c r="K981" s="226" t="s">
        <v>19</v>
      </c>
      <c r="L981" s="226">
        <f>L965-1</f>
        <v>0</v>
      </c>
      <c r="M981" s="228">
        <f t="shared" si="167"/>
        <v>32336</v>
      </c>
      <c r="N981" s="229">
        <v>1</v>
      </c>
      <c r="O981" s="229"/>
    </row>
    <row r="982" spans="1:15" x14ac:dyDescent="0.2">
      <c r="A982" s="226">
        <v>981</v>
      </c>
      <c r="B982" s="226" t="str">
        <f t="shared" si="166"/>
        <v>SISTEMA MANIFOLDTANK SIZE 147LFM-2001-19</v>
      </c>
      <c r="C982" s="226">
        <f t="shared" si="168"/>
        <v>1</v>
      </c>
      <c r="D982" s="226" t="s">
        <v>126</v>
      </c>
      <c r="E982" s="226" t="s">
        <v>75</v>
      </c>
      <c r="F982" s="226" t="s">
        <v>15</v>
      </c>
      <c r="G982" s="226">
        <f t="shared" si="169"/>
        <v>19</v>
      </c>
      <c r="H982" s="226" t="s">
        <v>16</v>
      </c>
      <c r="I982" s="227">
        <v>31811</v>
      </c>
      <c r="J982" s="226" t="s">
        <v>123</v>
      </c>
      <c r="K982" s="226" t="s">
        <v>19</v>
      </c>
      <c r="L982" s="226">
        <f>IF(L965&gt;1,L965-1,0)</f>
        <v>0</v>
      </c>
      <c r="M982" s="228">
        <f t="shared" si="167"/>
        <v>31811</v>
      </c>
      <c r="N982" s="229">
        <v>1</v>
      </c>
      <c r="O982" s="229"/>
    </row>
    <row r="983" spans="1:15" x14ac:dyDescent="0.2">
      <c r="A983" s="226">
        <v>982</v>
      </c>
      <c r="B983" s="226" t="str">
        <f t="shared" si="166"/>
        <v>SISTEMA MANIFOLDTANK SIZE 147LFM-2001-20</v>
      </c>
      <c r="C983" s="226">
        <f t="shared" si="168"/>
        <v>1</v>
      </c>
      <c r="D983" s="226" t="s">
        <v>126</v>
      </c>
      <c r="E983" s="226" t="s">
        <v>75</v>
      </c>
      <c r="F983" s="226" t="s">
        <v>15</v>
      </c>
      <c r="G983" s="226">
        <f t="shared" si="169"/>
        <v>20</v>
      </c>
      <c r="M983" s="228">
        <f t="shared" si="167"/>
        <v>0</v>
      </c>
      <c r="N983" s="229">
        <v>1</v>
      </c>
      <c r="O983" s="229"/>
    </row>
    <row r="984" spans="1:15" x14ac:dyDescent="0.2">
      <c r="A984" s="226">
        <v>983</v>
      </c>
      <c r="B984" s="226" t="str">
        <f t="shared" si="166"/>
        <v>SISTEMA MANIFOLDTANK SIZE 147LFM-2001-21</v>
      </c>
      <c r="C984" s="226">
        <f t="shared" si="168"/>
        <v>1</v>
      </c>
      <c r="D984" s="226" t="s">
        <v>126</v>
      </c>
      <c r="E984" s="226" t="s">
        <v>75</v>
      </c>
      <c r="F984" s="226" t="s">
        <v>15</v>
      </c>
      <c r="G984" s="226">
        <f t="shared" si="169"/>
        <v>21</v>
      </c>
      <c r="H984" s="226" t="s">
        <v>16</v>
      </c>
      <c r="I984" s="227">
        <v>437900</v>
      </c>
      <c r="J984" s="226" t="s">
        <v>40</v>
      </c>
      <c r="K984" s="226" t="s">
        <v>19</v>
      </c>
      <c r="L984" s="226">
        <v>1</v>
      </c>
      <c r="M984" s="228">
        <f t="shared" si="167"/>
        <v>437900</v>
      </c>
      <c r="N984" s="229">
        <v>1</v>
      </c>
      <c r="O984" s="229"/>
    </row>
    <row r="985" spans="1:15" x14ac:dyDescent="0.2">
      <c r="A985" s="226">
        <v>984</v>
      </c>
      <c r="B985" s="226" t="str">
        <f t="shared" si="166"/>
        <v>SISTEMA MANIFOLDTANK SIZE 147LFM-2001-22</v>
      </c>
      <c r="C985" s="226">
        <f t="shared" si="168"/>
        <v>1</v>
      </c>
      <c r="D985" s="226" t="s">
        <v>126</v>
      </c>
      <c r="E985" s="226" t="s">
        <v>75</v>
      </c>
      <c r="F985" s="226" t="s">
        <v>15</v>
      </c>
      <c r="G985" s="226">
        <f t="shared" si="169"/>
        <v>22</v>
      </c>
      <c r="H985" s="226" t="s">
        <v>16</v>
      </c>
      <c r="I985" s="227">
        <v>31811</v>
      </c>
      <c r="J985" s="226" t="s">
        <v>123</v>
      </c>
      <c r="K985" s="226" t="s">
        <v>19</v>
      </c>
      <c r="L985" s="226">
        <v>1</v>
      </c>
      <c r="M985" s="228">
        <f t="shared" si="167"/>
        <v>31811</v>
      </c>
      <c r="N985" s="229">
        <v>1</v>
      </c>
      <c r="O985" s="229"/>
    </row>
    <row r="986" spans="1:15" x14ac:dyDescent="0.2">
      <c r="A986" s="226">
        <v>985</v>
      </c>
      <c r="B986" s="226" t="str">
        <f t="shared" si="166"/>
        <v>SISTEMA MANIFOLDTANK SIZE 147LFM-2001-23</v>
      </c>
      <c r="C986" s="226">
        <f t="shared" si="168"/>
        <v>1</v>
      </c>
      <c r="D986" s="226" t="s">
        <v>126</v>
      </c>
      <c r="E986" s="226" t="s">
        <v>75</v>
      </c>
      <c r="F986" s="226" t="s">
        <v>15</v>
      </c>
      <c r="G986" s="226">
        <f t="shared" si="169"/>
        <v>23</v>
      </c>
      <c r="H986" s="226" t="s">
        <v>16</v>
      </c>
      <c r="I986" s="227">
        <v>415142</v>
      </c>
      <c r="J986" s="226" t="s">
        <v>66</v>
      </c>
      <c r="K986" s="226" t="s">
        <v>19</v>
      </c>
      <c r="L986" s="226">
        <v>1</v>
      </c>
      <c r="M986" s="228">
        <f t="shared" si="167"/>
        <v>415142</v>
      </c>
      <c r="N986" s="229">
        <v>1</v>
      </c>
      <c r="O986" s="229"/>
    </row>
    <row r="987" spans="1:15" x14ac:dyDescent="0.2">
      <c r="A987" s="226">
        <v>986</v>
      </c>
      <c r="B987" s="226" t="str">
        <f t="shared" si="166"/>
        <v>SISTEMA MANIFOLDTANK SIZE 147LFM-2001-24</v>
      </c>
      <c r="C987" s="226">
        <f t="shared" si="168"/>
        <v>1</v>
      </c>
      <c r="D987" s="226" t="s">
        <v>126</v>
      </c>
      <c r="E987" s="226" t="s">
        <v>75</v>
      </c>
      <c r="F987" s="226" t="s">
        <v>15</v>
      </c>
      <c r="G987" s="226">
        <f t="shared" si="169"/>
        <v>24</v>
      </c>
      <c r="H987" s="226" t="s">
        <v>16</v>
      </c>
      <c r="I987" s="227">
        <v>76498</v>
      </c>
      <c r="J987" s="226" t="s">
        <v>46</v>
      </c>
      <c r="K987" s="226" t="s">
        <v>19</v>
      </c>
      <c r="L987" s="226">
        <v>1</v>
      </c>
      <c r="M987" s="228">
        <f t="shared" si="167"/>
        <v>76498</v>
      </c>
      <c r="N987" s="229">
        <v>1</v>
      </c>
      <c r="O987" s="229"/>
    </row>
    <row r="988" spans="1:15" x14ac:dyDescent="0.2">
      <c r="A988" s="226">
        <v>987</v>
      </c>
      <c r="B988" s="226" t="str">
        <f t="shared" si="166"/>
        <v>SISTEMA MANIFOLDTANK SIZE 147LFM-2001-25</v>
      </c>
      <c r="C988" s="226">
        <f t="shared" si="168"/>
        <v>1</v>
      </c>
      <c r="D988" s="226" t="s">
        <v>126</v>
      </c>
      <c r="E988" s="226" t="s">
        <v>75</v>
      </c>
      <c r="F988" s="226" t="s">
        <v>15</v>
      </c>
      <c r="G988" s="226">
        <f t="shared" si="169"/>
        <v>25</v>
      </c>
      <c r="H988" s="226" t="s">
        <v>16</v>
      </c>
      <c r="I988" s="227">
        <v>570278</v>
      </c>
      <c r="J988" s="226" t="s">
        <v>80</v>
      </c>
      <c r="K988" s="226" t="s">
        <v>19</v>
      </c>
      <c r="L988" s="226">
        <v>1</v>
      </c>
      <c r="M988" s="228">
        <f t="shared" si="167"/>
        <v>570278</v>
      </c>
      <c r="N988" s="229">
        <v>1</v>
      </c>
      <c r="O988" s="229"/>
    </row>
    <row r="989" spans="1:15" x14ac:dyDescent="0.2">
      <c r="A989" s="226">
        <v>988</v>
      </c>
      <c r="B989" s="226" t="str">
        <f t="shared" si="166"/>
        <v>-</v>
      </c>
      <c r="M989" s="228">
        <f t="shared" si="167"/>
        <v>0</v>
      </c>
      <c r="N989" s="229">
        <v>1</v>
      </c>
      <c r="O989" s="229"/>
    </row>
    <row r="990" spans="1:15" x14ac:dyDescent="0.2">
      <c r="A990" s="226">
        <v>989</v>
      </c>
      <c r="B990" s="226" t="str">
        <f t="shared" si="166"/>
        <v>SISTEMA MANIFOLDTANK SIZE 180LFM-2001-1</v>
      </c>
      <c r="C990" s="226">
        <f>L990</f>
        <v>1</v>
      </c>
      <c r="D990" s="226" t="s">
        <v>126</v>
      </c>
      <c r="E990" s="226" t="s">
        <v>81</v>
      </c>
      <c r="F990" s="226" t="s">
        <v>15</v>
      </c>
      <c r="G990" s="226">
        <v>1</v>
      </c>
      <c r="H990" s="226" t="s">
        <v>16</v>
      </c>
      <c r="I990" s="227" t="s">
        <v>17</v>
      </c>
      <c r="J990" s="226" t="s">
        <v>82</v>
      </c>
      <c r="K990" s="226" t="s">
        <v>19</v>
      </c>
      <c r="L990" s="226">
        <f>'COT AGENTES'!$H$3</f>
        <v>1</v>
      </c>
      <c r="M990" s="228" t="s">
        <v>83</v>
      </c>
      <c r="N990" s="229">
        <v>1</v>
      </c>
      <c r="O990" s="229"/>
    </row>
    <row r="991" spans="1:15" x14ac:dyDescent="0.2">
      <c r="A991" s="226">
        <v>990</v>
      </c>
      <c r="B991" s="226" t="str">
        <f t="shared" si="166"/>
        <v>SISTEMA MANIFOLDTANK SIZE 180LFM-2001-2</v>
      </c>
      <c r="C991" s="226">
        <f>C990</f>
        <v>1</v>
      </c>
      <c r="D991" s="226" t="s">
        <v>126</v>
      </c>
      <c r="E991" s="226" t="s">
        <v>81</v>
      </c>
      <c r="F991" s="226" t="s">
        <v>15</v>
      </c>
      <c r="G991" s="226">
        <f t="shared" ref="G991:G1014" si="170">+G990+1</f>
        <v>2</v>
      </c>
      <c r="H991" s="226" t="s">
        <v>16</v>
      </c>
      <c r="I991" s="227">
        <v>445738</v>
      </c>
      <c r="J991" s="226" t="s">
        <v>84</v>
      </c>
      <c r="K991" s="226" t="s">
        <v>19</v>
      </c>
      <c r="L991" s="226">
        <f>L990</f>
        <v>1</v>
      </c>
      <c r="M991" s="228">
        <f t="shared" si="167"/>
        <v>445738</v>
      </c>
      <c r="N991" s="229">
        <v>1</v>
      </c>
      <c r="O991" s="229"/>
    </row>
    <row r="992" spans="1:15" x14ac:dyDescent="0.2">
      <c r="A992" s="226">
        <v>991</v>
      </c>
      <c r="B992" s="226" t="str">
        <f t="shared" si="166"/>
        <v>SISTEMA MANIFOLDTANK SIZE 180LFM-2001-3</v>
      </c>
      <c r="C992" s="226">
        <f t="shared" ref="C992:C1014" si="171">C991</f>
        <v>1</v>
      </c>
      <c r="D992" s="226" t="s">
        <v>126</v>
      </c>
      <c r="E992" s="226" t="s">
        <v>81</v>
      </c>
      <c r="F992" s="226" t="s">
        <v>15</v>
      </c>
      <c r="G992" s="226">
        <f t="shared" si="170"/>
        <v>3</v>
      </c>
      <c r="H992" s="226" t="s">
        <v>16</v>
      </c>
      <c r="I992" s="227" t="s">
        <v>22</v>
      </c>
      <c r="J992" s="226" t="s">
        <v>23</v>
      </c>
      <c r="K992" s="226" t="s">
        <v>19</v>
      </c>
      <c r="L992" s="230">
        <f>'COT AGENTES'!$H$5</f>
        <v>2</v>
      </c>
      <c r="M992" s="228">
        <v>453646</v>
      </c>
      <c r="N992" s="229">
        <v>1</v>
      </c>
      <c r="O992" s="229"/>
    </row>
    <row r="993" spans="1:15" x14ac:dyDescent="0.2">
      <c r="A993" s="226">
        <v>992</v>
      </c>
      <c r="B993" s="226" t="str">
        <f t="shared" si="166"/>
        <v>SISTEMA MANIFOLDTANK SIZE 180LFM-2001-4</v>
      </c>
      <c r="C993" s="226">
        <f t="shared" si="171"/>
        <v>1</v>
      </c>
      <c r="D993" s="226" t="s">
        <v>126</v>
      </c>
      <c r="E993" s="226" t="s">
        <v>81</v>
      </c>
      <c r="F993" s="226" t="s">
        <v>15</v>
      </c>
      <c r="G993" s="226">
        <f t="shared" si="170"/>
        <v>4</v>
      </c>
      <c r="H993" s="226" t="s">
        <v>16</v>
      </c>
      <c r="I993" s="227">
        <v>570055</v>
      </c>
      <c r="J993" s="226" t="s">
        <v>24</v>
      </c>
      <c r="K993" s="226" t="s">
        <v>19</v>
      </c>
      <c r="L993" s="226">
        <f>L991</f>
        <v>1</v>
      </c>
      <c r="M993" s="228">
        <f t="shared" si="167"/>
        <v>570055</v>
      </c>
      <c r="N993" s="229">
        <v>1</v>
      </c>
      <c r="O993" s="229"/>
    </row>
    <row r="994" spans="1:15" x14ac:dyDescent="0.2">
      <c r="A994" s="226">
        <v>993</v>
      </c>
      <c r="B994" s="226" t="str">
        <f t="shared" si="166"/>
        <v>SISTEMA MANIFOLDTANK SIZE 180LFM-2001-5</v>
      </c>
      <c r="C994" s="226">
        <f t="shared" si="171"/>
        <v>1</v>
      </c>
      <c r="D994" s="226" t="s">
        <v>126</v>
      </c>
      <c r="E994" s="226" t="s">
        <v>81</v>
      </c>
      <c r="F994" s="226" t="s">
        <v>15</v>
      </c>
      <c r="G994" s="226">
        <f t="shared" si="170"/>
        <v>5</v>
      </c>
      <c r="H994" s="226" t="s">
        <v>16</v>
      </c>
      <c r="I994" s="227">
        <v>314205314</v>
      </c>
      <c r="J994" s="226" t="s">
        <v>56</v>
      </c>
      <c r="K994" s="226" t="s">
        <v>19</v>
      </c>
      <c r="L994" s="226">
        <f>L991</f>
        <v>1</v>
      </c>
      <c r="M994" s="228">
        <f t="shared" si="167"/>
        <v>314205314</v>
      </c>
      <c r="N994" s="229">
        <v>1</v>
      </c>
      <c r="O994" s="229"/>
    </row>
    <row r="995" spans="1:15" x14ac:dyDescent="0.2">
      <c r="A995" s="226">
        <v>994</v>
      </c>
      <c r="B995" s="226" t="str">
        <f t="shared" si="166"/>
        <v>SISTEMA MANIFOLDTANK SIZE 180LFM-2001-6</v>
      </c>
      <c r="C995" s="226">
        <f t="shared" si="171"/>
        <v>1</v>
      </c>
      <c r="D995" s="226" t="s">
        <v>126</v>
      </c>
      <c r="E995" s="226" t="s">
        <v>81</v>
      </c>
      <c r="F995" s="226" t="s">
        <v>15</v>
      </c>
      <c r="G995" s="226">
        <f t="shared" si="170"/>
        <v>6</v>
      </c>
      <c r="H995" s="226" t="s">
        <v>16</v>
      </c>
      <c r="I995" s="227">
        <v>570585</v>
      </c>
      <c r="J995" s="226" t="s">
        <v>26</v>
      </c>
      <c r="K995" s="226" t="s">
        <v>19</v>
      </c>
      <c r="L995" s="226">
        <f>L991</f>
        <v>1</v>
      </c>
      <c r="M995" s="228">
        <f t="shared" si="167"/>
        <v>570585</v>
      </c>
      <c r="N995" s="229">
        <v>1</v>
      </c>
      <c r="O995" s="229"/>
    </row>
    <row r="996" spans="1:15" x14ac:dyDescent="0.2">
      <c r="A996" s="226">
        <v>995</v>
      </c>
      <c r="B996" s="226" t="str">
        <f t="shared" si="166"/>
        <v>SISTEMA MANIFOLDTANK SIZE 180LFM-2001-7</v>
      </c>
      <c r="C996" s="226">
        <f t="shared" si="171"/>
        <v>1</v>
      </c>
      <c r="D996" s="226" t="s">
        <v>126</v>
      </c>
      <c r="E996" s="226" t="s">
        <v>81</v>
      </c>
      <c r="F996" s="226" t="s">
        <v>15</v>
      </c>
      <c r="G996" s="226">
        <f t="shared" si="170"/>
        <v>7</v>
      </c>
      <c r="H996" s="226" t="s">
        <v>16</v>
      </c>
      <c r="I996" s="227">
        <v>304205030</v>
      </c>
      <c r="J996" s="226" t="s">
        <v>27</v>
      </c>
      <c r="K996" s="226" t="s">
        <v>19</v>
      </c>
      <c r="L996" s="226">
        <v>1</v>
      </c>
      <c r="M996" s="228">
        <f t="shared" si="167"/>
        <v>304205030</v>
      </c>
      <c r="N996" s="229">
        <v>1</v>
      </c>
      <c r="O996" s="229"/>
    </row>
    <row r="997" spans="1:15" x14ac:dyDescent="0.2">
      <c r="A997" s="226">
        <v>996</v>
      </c>
      <c r="B997" s="226" t="str">
        <f t="shared" si="166"/>
        <v>SISTEMA MANIFOLDTANK SIZE 180LFM-2001-8</v>
      </c>
      <c r="C997" s="226">
        <f t="shared" si="171"/>
        <v>1</v>
      </c>
      <c r="D997" s="226" t="s">
        <v>126</v>
      </c>
      <c r="E997" s="226" t="s">
        <v>81</v>
      </c>
      <c r="F997" s="226" t="s">
        <v>15</v>
      </c>
      <c r="G997" s="226">
        <f t="shared" si="170"/>
        <v>8</v>
      </c>
      <c r="H997" s="226" t="s">
        <v>16</v>
      </c>
      <c r="I997" s="227" t="s">
        <v>28</v>
      </c>
      <c r="J997" s="226" t="s">
        <v>29</v>
      </c>
      <c r="K997" s="226" t="s">
        <v>19</v>
      </c>
      <c r="L997" s="226">
        <v>1</v>
      </c>
      <c r="M997" s="228" t="str">
        <f t="shared" si="167"/>
        <v>A1638150HY</v>
      </c>
      <c r="N997" s="229">
        <v>1</v>
      </c>
      <c r="O997" s="229"/>
    </row>
    <row r="998" spans="1:15" x14ac:dyDescent="0.2">
      <c r="A998" s="226">
        <v>997</v>
      </c>
      <c r="B998" s="226" t="str">
        <f t="shared" si="166"/>
        <v>SISTEMA MANIFOLDTANK SIZE 180LFM-2001-9</v>
      </c>
      <c r="C998" s="226">
        <f t="shared" si="171"/>
        <v>1</v>
      </c>
      <c r="D998" s="226" t="s">
        <v>126</v>
      </c>
      <c r="E998" s="226" t="s">
        <v>81</v>
      </c>
      <c r="F998" s="226" t="s">
        <v>15</v>
      </c>
      <c r="G998" s="226">
        <f t="shared" si="170"/>
        <v>9</v>
      </c>
      <c r="H998" s="226" t="s">
        <v>16</v>
      </c>
      <c r="I998" s="227" t="s">
        <v>62</v>
      </c>
      <c r="J998" s="226" t="s">
        <v>63</v>
      </c>
      <c r="K998" s="226" t="s">
        <v>19</v>
      </c>
      <c r="L998" s="226">
        <f>L991*2</f>
        <v>2</v>
      </c>
      <c r="M998" s="228" t="str">
        <f t="shared" si="167"/>
        <v>570092-R2</v>
      </c>
      <c r="N998" s="229">
        <v>1</v>
      </c>
      <c r="O998" s="229"/>
    </row>
    <row r="999" spans="1:15" x14ac:dyDescent="0.2">
      <c r="A999" s="226">
        <v>998</v>
      </c>
      <c r="B999" s="226" t="str">
        <f t="shared" si="166"/>
        <v>SISTEMA MANIFOLDTANK SIZE 180LFM-2001-10</v>
      </c>
      <c r="C999" s="226">
        <f t="shared" si="171"/>
        <v>1</v>
      </c>
      <c r="D999" s="226" t="s">
        <v>126</v>
      </c>
      <c r="E999" s="226" t="s">
        <v>81</v>
      </c>
      <c r="F999" s="226" t="s">
        <v>15</v>
      </c>
      <c r="G999" s="226">
        <f t="shared" si="170"/>
        <v>10</v>
      </c>
      <c r="H999" s="226" t="s">
        <v>16</v>
      </c>
      <c r="I999" s="227" t="s">
        <v>32</v>
      </c>
      <c r="J999" s="226" t="s">
        <v>33</v>
      </c>
      <c r="K999" s="226" t="s">
        <v>19</v>
      </c>
      <c r="L999" s="230">
        <f>'COT AGENTES'!$M$11</f>
        <v>1</v>
      </c>
      <c r="M999" s="228" t="s">
        <v>85</v>
      </c>
      <c r="N999" s="229">
        <v>1</v>
      </c>
      <c r="O999" s="229"/>
    </row>
    <row r="1000" spans="1:15" x14ac:dyDescent="0.2">
      <c r="A1000" s="226">
        <v>999</v>
      </c>
      <c r="B1000" s="226" t="str">
        <f t="shared" si="166"/>
        <v>SISTEMA MANIFOLDTANK SIZE 180LFM-2001-11</v>
      </c>
      <c r="C1000" s="226">
        <f t="shared" si="171"/>
        <v>1</v>
      </c>
      <c r="D1000" s="226" t="s">
        <v>126</v>
      </c>
      <c r="E1000" s="226" t="s">
        <v>81</v>
      </c>
      <c r="F1000" s="226" t="s">
        <v>15</v>
      </c>
      <c r="G1000" s="226">
        <f t="shared" si="170"/>
        <v>11</v>
      </c>
      <c r="H1000" s="226" t="s">
        <v>16</v>
      </c>
      <c r="I1000" s="227" t="s">
        <v>35</v>
      </c>
      <c r="J1000" s="226" t="s">
        <v>36</v>
      </c>
      <c r="K1000" s="226" t="s">
        <v>19</v>
      </c>
      <c r="L1000" s="226">
        <v>1</v>
      </c>
      <c r="M1000" s="228" t="str">
        <f t="shared" si="167"/>
        <v>442927-R2</v>
      </c>
      <c r="N1000" s="229">
        <v>1</v>
      </c>
      <c r="O1000" s="229"/>
    </row>
    <row r="1001" spans="1:15" x14ac:dyDescent="0.2">
      <c r="A1001" s="226">
        <v>1000</v>
      </c>
      <c r="B1001" s="226" t="str">
        <f t="shared" si="166"/>
        <v>SISTEMA MANIFOLDTANK SIZE 180LFM-2001-12</v>
      </c>
      <c r="C1001" s="226">
        <f t="shared" si="171"/>
        <v>1</v>
      </c>
      <c r="D1001" s="226" t="s">
        <v>126</v>
      </c>
      <c r="E1001" s="226" t="s">
        <v>81</v>
      </c>
      <c r="F1001" s="226" t="s">
        <v>15</v>
      </c>
      <c r="G1001" s="226">
        <f t="shared" si="170"/>
        <v>12</v>
      </c>
      <c r="H1001" s="226" t="s">
        <v>16</v>
      </c>
      <c r="I1001" s="227" t="s">
        <v>37</v>
      </c>
      <c r="J1001" s="226" t="s">
        <v>38</v>
      </c>
      <c r="K1001" s="226" t="s">
        <v>19</v>
      </c>
      <c r="L1001" s="226">
        <v>1</v>
      </c>
      <c r="M1001" s="228" t="str">
        <f t="shared" si="167"/>
        <v>442928-R2</v>
      </c>
      <c r="N1001" s="229">
        <v>1</v>
      </c>
      <c r="O1001" s="229"/>
    </row>
    <row r="1002" spans="1:15" x14ac:dyDescent="0.2">
      <c r="A1002" s="226">
        <v>1001</v>
      </c>
      <c r="B1002" s="226" t="str">
        <f t="shared" si="166"/>
        <v>SISTEMA MANIFOLDTANK SIZE 180LFM-2001-13</v>
      </c>
      <c r="C1002" s="226">
        <f t="shared" si="171"/>
        <v>1</v>
      </c>
      <c r="D1002" s="226" t="s">
        <v>126</v>
      </c>
      <c r="E1002" s="226" t="s">
        <v>81</v>
      </c>
      <c r="F1002" s="226" t="s">
        <v>15</v>
      </c>
      <c r="G1002" s="226">
        <f t="shared" si="170"/>
        <v>13</v>
      </c>
      <c r="H1002" s="226" t="s">
        <v>16</v>
      </c>
      <c r="I1002" s="227" t="s">
        <v>67</v>
      </c>
      <c r="J1002" s="226" t="s">
        <v>68</v>
      </c>
      <c r="K1002" s="226" t="s">
        <v>19</v>
      </c>
      <c r="L1002" s="226">
        <f>L991</f>
        <v>1</v>
      </c>
      <c r="M1002" s="228" t="str">
        <f t="shared" si="167"/>
        <v>570538-R2</v>
      </c>
      <c r="N1002" s="229">
        <v>1</v>
      </c>
      <c r="O1002" s="229"/>
    </row>
    <row r="1003" spans="1:15" x14ac:dyDescent="0.2">
      <c r="A1003" s="226">
        <v>1002</v>
      </c>
      <c r="B1003" s="226" t="str">
        <f t="shared" si="166"/>
        <v>SISTEMA MANIFOLDTANK SIZE 180LFM-2001-14</v>
      </c>
      <c r="C1003" s="226">
        <f t="shared" si="171"/>
        <v>1</v>
      </c>
      <c r="D1003" s="226" t="s">
        <v>126</v>
      </c>
      <c r="E1003" s="226" t="s">
        <v>81</v>
      </c>
      <c r="F1003" s="226" t="s">
        <v>15</v>
      </c>
      <c r="G1003" s="226">
        <f t="shared" si="170"/>
        <v>14</v>
      </c>
      <c r="H1003" s="226" t="s">
        <v>16</v>
      </c>
      <c r="I1003" s="227">
        <v>570568</v>
      </c>
      <c r="J1003" s="226" t="s">
        <v>124</v>
      </c>
      <c r="K1003" s="226" t="s">
        <v>19</v>
      </c>
      <c r="L1003" s="226">
        <f>L991</f>
        <v>1</v>
      </c>
      <c r="M1003" s="228">
        <f t="shared" si="167"/>
        <v>570568</v>
      </c>
      <c r="N1003" s="229">
        <v>1</v>
      </c>
      <c r="O1003" s="229"/>
    </row>
    <row r="1004" spans="1:15" x14ac:dyDescent="0.2">
      <c r="A1004" s="226">
        <v>1003</v>
      </c>
      <c r="B1004" s="226" t="str">
        <f t="shared" si="166"/>
        <v>SISTEMA MANIFOLDTANK SIZE 180LFM-2001-15</v>
      </c>
      <c r="C1004" s="226">
        <f t="shared" si="171"/>
        <v>1</v>
      </c>
      <c r="D1004" s="226" t="s">
        <v>126</v>
      </c>
      <c r="E1004" s="226" t="s">
        <v>81</v>
      </c>
      <c r="F1004" s="226" t="s">
        <v>15</v>
      </c>
      <c r="G1004" s="226">
        <f t="shared" si="170"/>
        <v>15</v>
      </c>
      <c r="H1004" s="226" t="s">
        <v>16</v>
      </c>
      <c r="I1004" s="227">
        <v>570550</v>
      </c>
      <c r="J1004" s="226" t="s">
        <v>120</v>
      </c>
      <c r="K1004" s="226" t="s">
        <v>19</v>
      </c>
      <c r="L1004" s="226">
        <f>L991-1</f>
        <v>0</v>
      </c>
      <c r="M1004" s="228">
        <f t="shared" si="167"/>
        <v>570550</v>
      </c>
      <c r="N1004" s="229">
        <v>1</v>
      </c>
      <c r="O1004" s="229"/>
    </row>
    <row r="1005" spans="1:15" x14ac:dyDescent="0.2">
      <c r="A1005" s="226">
        <v>1004</v>
      </c>
      <c r="B1005" s="226" t="str">
        <f t="shared" si="166"/>
        <v>SISTEMA MANIFOLDTANK SIZE 180LFM-2001-16</v>
      </c>
      <c r="C1005" s="226">
        <f t="shared" si="171"/>
        <v>1</v>
      </c>
      <c r="D1005" s="226" t="s">
        <v>126</v>
      </c>
      <c r="E1005" s="226" t="s">
        <v>81</v>
      </c>
      <c r="F1005" s="226" t="s">
        <v>15</v>
      </c>
      <c r="G1005" s="226">
        <f t="shared" si="170"/>
        <v>16</v>
      </c>
      <c r="H1005" s="226" t="s">
        <v>16</v>
      </c>
      <c r="I1005" s="227">
        <v>32338</v>
      </c>
      <c r="J1005" s="226" t="s">
        <v>42</v>
      </c>
      <c r="K1005" s="226" t="s">
        <v>19</v>
      </c>
      <c r="L1005" s="226">
        <v>1</v>
      </c>
      <c r="M1005" s="228">
        <f t="shared" si="167"/>
        <v>32338</v>
      </c>
      <c r="N1005" s="229">
        <v>1</v>
      </c>
      <c r="O1005" s="229"/>
    </row>
    <row r="1006" spans="1:15" x14ac:dyDescent="0.2">
      <c r="A1006" s="226">
        <v>1005</v>
      </c>
      <c r="B1006" s="226" t="str">
        <f t="shared" si="166"/>
        <v>SISTEMA MANIFOLDTANK SIZE 180LFM-2001-17</v>
      </c>
      <c r="C1006" s="226">
        <f t="shared" si="171"/>
        <v>1</v>
      </c>
      <c r="D1006" s="226" t="s">
        <v>126</v>
      </c>
      <c r="E1006" s="226" t="s">
        <v>81</v>
      </c>
      <c r="F1006" s="226" t="s">
        <v>15</v>
      </c>
      <c r="G1006" s="226">
        <f t="shared" si="170"/>
        <v>17</v>
      </c>
      <c r="H1006" s="226" t="s">
        <v>16</v>
      </c>
      <c r="I1006" s="227">
        <v>31810</v>
      </c>
      <c r="J1006" s="226" t="s">
        <v>121</v>
      </c>
      <c r="K1006" s="226" t="s">
        <v>19</v>
      </c>
      <c r="L1006" s="226">
        <v>1</v>
      </c>
      <c r="M1006" s="228">
        <f t="shared" si="167"/>
        <v>31810</v>
      </c>
      <c r="N1006" s="229">
        <v>1</v>
      </c>
      <c r="O1006" s="229"/>
    </row>
    <row r="1007" spans="1:15" x14ac:dyDescent="0.2">
      <c r="A1007" s="226">
        <v>1006</v>
      </c>
      <c r="B1007" s="226" t="str">
        <f t="shared" ref="B1007:B1070" si="172">D1007&amp;E1007&amp;F1007&amp;C1007&amp;"-"&amp;G1007&amp;IF(M1007&lt;&gt;"",O1007,"")</f>
        <v>SISTEMA MANIFOLDTANK SIZE 180LFM-2001-18</v>
      </c>
      <c r="C1007" s="226">
        <f t="shared" si="171"/>
        <v>1</v>
      </c>
      <c r="D1007" s="226" t="s">
        <v>126</v>
      </c>
      <c r="E1007" s="226" t="s">
        <v>81</v>
      </c>
      <c r="F1007" s="226" t="s">
        <v>15</v>
      </c>
      <c r="G1007" s="226">
        <f t="shared" si="170"/>
        <v>18</v>
      </c>
      <c r="H1007" s="226" t="s">
        <v>16</v>
      </c>
      <c r="I1007" s="227">
        <v>32336</v>
      </c>
      <c r="J1007" s="226" t="s">
        <v>122</v>
      </c>
      <c r="K1007" s="226" t="s">
        <v>19</v>
      </c>
      <c r="L1007" s="226">
        <f>L991-1</f>
        <v>0</v>
      </c>
      <c r="M1007" s="228">
        <f t="shared" si="167"/>
        <v>32336</v>
      </c>
      <c r="N1007" s="229">
        <v>1</v>
      </c>
      <c r="O1007" s="229"/>
    </row>
    <row r="1008" spans="1:15" x14ac:dyDescent="0.2">
      <c r="A1008" s="226">
        <v>1007</v>
      </c>
      <c r="B1008" s="226" t="str">
        <f t="shared" si="172"/>
        <v>SISTEMA MANIFOLDTANK SIZE 180LFM-2001-19</v>
      </c>
      <c r="C1008" s="226">
        <f t="shared" si="171"/>
        <v>1</v>
      </c>
      <c r="D1008" s="226" t="s">
        <v>126</v>
      </c>
      <c r="E1008" s="226" t="s">
        <v>81</v>
      </c>
      <c r="F1008" s="226" t="s">
        <v>15</v>
      </c>
      <c r="G1008" s="226">
        <f t="shared" si="170"/>
        <v>19</v>
      </c>
      <c r="H1008" s="226" t="s">
        <v>16</v>
      </c>
      <c r="I1008" s="227">
        <v>31811</v>
      </c>
      <c r="J1008" s="226" t="s">
        <v>123</v>
      </c>
      <c r="K1008" s="226" t="s">
        <v>19</v>
      </c>
      <c r="L1008" s="226">
        <f>IF(L991&gt;1,L991-1,0)</f>
        <v>0</v>
      </c>
      <c r="M1008" s="228">
        <f t="shared" ref="M1008:M1071" si="173">I1008</f>
        <v>31811</v>
      </c>
      <c r="N1008" s="229">
        <v>1</v>
      </c>
      <c r="O1008" s="229"/>
    </row>
    <row r="1009" spans="1:15" x14ac:dyDescent="0.2">
      <c r="A1009" s="226">
        <v>1008</v>
      </c>
      <c r="B1009" s="226" t="str">
        <f t="shared" si="172"/>
        <v>SISTEMA MANIFOLDTANK SIZE 180LFM-2001-20</v>
      </c>
      <c r="C1009" s="226">
        <f t="shared" si="171"/>
        <v>1</v>
      </c>
      <c r="D1009" s="226" t="s">
        <v>126</v>
      </c>
      <c r="E1009" s="226" t="s">
        <v>81</v>
      </c>
      <c r="F1009" s="226" t="s">
        <v>15</v>
      </c>
      <c r="G1009" s="226">
        <f t="shared" si="170"/>
        <v>20</v>
      </c>
      <c r="M1009" s="228">
        <f t="shared" si="173"/>
        <v>0</v>
      </c>
      <c r="N1009" s="229">
        <v>1</v>
      </c>
      <c r="O1009" s="229"/>
    </row>
    <row r="1010" spans="1:15" x14ac:dyDescent="0.2">
      <c r="A1010" s="226">
        <v>1009</v>
      </c>
      <c r="B1010" s="226" t="str">
        <f t="shared" si="172"/>
        <v>SISTEMA MANIFOLDTANK SIZE 180LFM-2001-21</v>
      </c>
      <c r="C1010" s="226">
        <f t="shared" si="171"/>
        <v>1</v>
      </c>
      <c r="D1010" s="226" t="s">
        <v>126</v>
      </c>
      <c r="E1010" s="226" t="s">
        <v>81</v>
      </c>
      <c r="F1010" s="226" t="s">
        <v>15</v>
      </c>
      <c r="G1010" s="226">
        <f t="shared" si="170"/>
        <v>21</v>
      </c>
      <c r="H1010" s="226" t="s">
        <v>16</v>
      </c>
      <c r="I1010" s="227">
        <v>437900</v>
      </c>
      <c r="J1010" s="226" t="s">
        <v>40</v>
      </c>
      <c r="K1010" s="226" t="s">
        <v>19</v>
      </c>
      <c r="L1010" s="226">
        <v>1</v>
      </c>
      <c r="M1010" s="228">
        <f t="shared" si="173"/>
        <v>437900</v>
      </c>
      <c r="N1010" s="229">
        <v>1</v>
      </c>
      <c r="O1010" s="229"/>
    </row>
    <row r="1011" spans="1:15" x14ac:dyDescent="0.2">
      <c r="A1011" s="226">
        <v>1010</v>
      </c>
      <c r="B1011" s="226" t="str">
        <f t="shared" si="172"/>
        <v>SISTEMA MANIFOLDTANK SIZE 180LFM-2001-22</v>
      </c>
      <c r="C1011" s="226">
        <f t="shared" si="171"/>
        <v>1</v>
      </c>
      <c r="D1011" s="226" t="s">
        <v>126</v>
      </c>
      <c r="E1011" s="226" t="s">
        <v>81</v>
      </c>
      <c r="F1011" s="226" t="s">
        <v>15</v>
      </c>
      <c r="G1011" s="226">
        <f t="shared" si="170"/>
        <v>22</v>
      </c>
      <c r="H1011" s="226" t="s">
        <v>16</v>
      </c>
      <c r="I1011" s="227">
        <v>31811</v>
      </c>
      <c r="J1011" s="226" t="s">
        <v>123</v>
      </c>
      <c r="K1011" s="226" t="s">
        <v>19</v>
      </c>
      <c r="L1011" s="226">
        <v>1</v>
      </c>
      <c r="M1011" s="228">
        <f t="shared" si="173"/>
        <v>31811</v>
      </c>
      <c r="N1011" s="229">
        <v>1</v>
      </c>
      <c r="O1011" s="229"/>
    </row>
    <row r="1012" spans="1:15" x14ac:dyDescent="0.2">
      <c r="A1012" s="226">
        <v>1011</v>
      </c>
      <c r="B1012" s="226" t="str">
        <f t="shared" si="172"/>
        <v>SISTEMA MANIFOLDTANK SIZE 180LFM-2001-23</v>
      </c>
      <c r="C1012" s="226">
        <f t="shared" si="171"/>
        <v>1</v>
      </c>
      <c r="D1012" s="226" t="s">
        <v>126</v>
      </c>
      <c r="E1012" s="226" t="s">
        <v>81</v>
      </c>
      <c r="F1012" s="226" t="s">
        <v>15</v>
      </c>
      <c r="G1012" s="226">
        <f t="shared" si="170"/>
        <v>23</v>
      </c>
      <c r="H1012" s="226" t="s">
        <v>16</v>
      </c>
      <c r="I1012" s="227">
        <v>415142</v>
      </c>
      <c r="J1012" s="226" t="s">
        <v>66</v>
      </c>
      <c r="K1012" s="226" t="s">
        <v>19</v>
      </c>
      <c r="L1012" s="226">
        <v>1</v>
      </c>
      <c r="M1012" s="228">
        <f t="shared" si="173"/>
        <v>415142</v>
      </c>
      <c r="N1012" s="229">
        <v>1</v>
      </c>
      <c r="O1012" s="229"/>
    </row>
    <row r="1013" spans="1:15" x14ac:dyDescent="0.2">
      <c r="A1013" s="226">
        <v>1012</v>
      </c>
      <c r="B1013" s="226" t="str">
        <f t="shared" si="172"/>
        <v>SISTEMA MANIFOLDTANK SIZE 180LFM-2001-24</v>
      </c>
      <c r="C1013" s="226">
        <f t="shared" si="171"/>
        <v>1</v>
      </c>
      <c r="D1013" s="226" t="s">
        <v>126</v>
      </c>
      <c r="E1013" s="226" t="s">
        <v>81</v>
      </c>
      <c r="F1013" s="226" t="s">
        <v>15</v>
      </c>
      <c r="G1013" s="226">
        <f t="shared" si="170"/>
        <v>24</v>
      </c>
      <c r="H1013" s="226" t="s">
        <v>16</v>
      </c>
      <c r="I1013" s="227">
        <v>76498</v>
      </c>
      <c r="J1013" s="226" t="s">
        <v>46</v>
      </c>
      <c r="K1013" s="226" t="s">
        <v>19</v>
      </c>
      <c r="L1013" s="226">
        <v>1</v>
      </c>
      <c r="M1013" s="228">
        <f t="shared" si="173"/>
        <v>76498</v>
      </c>
      <c r="N1013" s="229">
        <v>1</v>
      </c>
      <c r="O1013" s="229"/>
    </row>
    <row r="1014" spans="1:15" x14ac:dyDescent="0.2">
      <c r="A1014" s="226">
        <v>1013</v>
      </c>
      <c r="B1014" s="226" t="str">
        <f t="shared" si="172"/>
        <v>SISTEMA MANIFOLDTANK SIZE 180LFM-2001-25</v>
      </c>
      <c r="C1014" s="226">
        <f t="shared" si="171"/>
        <v>1</v>
      </c>
      <c r="D1014" s="226" t="s">
        <v>126</v>
      </c>
      <c r="E1014" s="226" t="s">
        <v>81</v>
      </c>
      <c r="F1014" s="226" t="s">
        <v>15</v>
      </c>
      <c r="G1014" s="226">
        <f t="shared" si="170"/>
        <v>25</v>
      </c>
      <c r="H1014" s="226" t="s">
        <v>16</v>
      </c>
      <c r="I1014" s="227">
        <v>570278</v>
      </c>
      <c r="J1014" s="226" t="s">
        <v>80</v>
      </c>
      <c r="K1014" s="226" t="s">
        <v>19</v>
      </c>
      <c r="L1014" s="226">
        <f>L991</f>
        <v>1</v>
      </c>
      <c r="M1014" s="228">
        <f t="shared" si="173"/>
        <v>570278</v>
      </c>
      <c r="N1014" s="229">
        <v>1</v>
      </c>
      <c r="O1014" s="229"/>
    </row>
    <row r="1015" spans="1:15" x14ac:dyDescent="0.2">
      <c r="A1015" s="226">
        <v>1014</v>
      </c>
      <c r="B1015" s="226" t="str">
        <f t="shared" si="172"/>
        <v>-</v>
      </c>
      <c r="M1015" s="228">
        <f t="shared" si="173"/>
        <v>0</v>
      </c>
      <c r="N1015" s="229">
        <v>1</v>
      </c>
      <c r="O1015" s="229"/>
    </row>
    <row r="1016" spans="1:15" x14ac:dyDescent="0.2">
      <c r="A1016" s="226">
        <v>1015</v>
      </c>
      <c r="B1016" s="226" t="str">
        <f t="shared" si="172"/>
        <v>SISTEMA MANIFOLDTANK SIZE 343LFM-2001-1</v>
      </c>
      <c r="C1016" s="226">
        <f>L1016</f>
        <v>1</v>
      </c>
      <c r="D1016" s="226" t="s">
        <v>126</v>
      </c>
      <c r="E1016" s="226" t="s">
        <v>86</v>
      </c>
      <c r="F1016" s="226" t="s">
        <v>15</v>
      </c>
      <c r="G1016" s="226">
        <v>1</v>
      </c>
      <c r="H1016" s="226" t="s">
        <v>16</v>
      </c>
      <c r="I1016" s="227" t="s">
        <v>17</v>
      </c>
      <c r="J1016" s="226" t="s">
        <v>87</v>
      </c>
      <c r="K1016" s="226" t="s">
        <v>19</v>
      </c>
      <c r="L1016" s="226">
        <f>'COT AGENTES'!$H$3</f>
        <v>1</v>
      </c>
      <c r="M1016" s="228" t="s">
        <v>88</v>
      </c>
      <c r="N1016" s="229">
        <v>1</v>
      </c>
      <c r="O1016" s="229"/>
    </row>
    <row r="1017" spans="1:15" x14ac:dyDescent="0.2">
      <c r="A1017" s="226">
        <v>1016</v>
      </c>
      <c r="B1017" s="226" t="str">
        <f t="shared" si="172"/>
        <v>SISTEMA MANIFOLDTANK SIZE 343LFM-2001-2</v>
      </c>
      <c r="C1017" s="226">
        <f>C1016</f>
        <v>1</v>
      </c>
      <c r="D1017" s="226" t="s">
        <v>126</v>
      </c>
      <c r="E1017" s="226" t="s">
        <v>86</v>
      </c>
      <c r="F1017" s="226" t="s">
        <v>15</v>
      </c>
      <c r="G1017" s="226">
        <f t="shared" ref="G1017:G1039" si="174">+G1016+1</f>
        <v>2</v>
      </c>
      <c r="H1017" s="226" t="s">
        <v>16</v>
      </c>
      <c r="I1017" s="227">
        <v>445739</v>
      </c>
      <c r="J1017" s="226" t="s">
        <v>89</v>
      </c>
      <c r="K1017" s="226" t="s">
        <v>19</v>
      </c>
      <c r="L1017" s="226">
        <f>L1016</f>
        <v>1</v>
      </c>
      <c r="M1017" s="228">
        <f t="shared" si="173"/>
        <v>445739</v>
      </c>
      <c r="N1017" s="229">
        <v>1</v>
      </c>
      <c r="O1017" s="229"/>
    </row>
    <row r="1018" spans="1:15" x14ac:dyDescent="0.2">
      <c r="A1018" s="226">
        <v>1017</v>
      </c>
      <c r="B1018" s="226" t="str">
        <f t="shared" si="172"/>
        <v>SISTEMA MANIFOLDTANK SIZE 343LFM-2001-3</v>
      </c>
      <c r="C1018" s="226">
        <f t="shared" ref="C1018:C1039" si="175">C1017</f>
        <v>1</v>
      </c>
      <c r="D1018" s="226" t="s">
        <v>126</v>
      </c>
      <c r="E1018" s="226" t="s">
        <v>86</v>
      </c>
      <c r="F1018" s="226" t="s">
        <v>15</v>
      </c>
      <c r="G1018" s="226">
        <f t="shared" si="174"/>
        <v>3</v>
      </c>
      <c r="H1018" s="226" t="s">
        <v>16</v>
      </c>
      <c r="I1018" s="227" t="s">
        <v>22</v>
      </c>
      <c r="J1018" s="226" t="s">
        <v>23</v>
      </c>
      <c r="K1018" s="226" t="s">
        <v>19</v>
      </c>
      <c r="L1018" s="230">
        <f>'COT AGENTES'!$H$5</f>
        <v>2</v>
      </c>
      <c r="M1018" s="228">
        <v>453646</v>
      </c>
      <c r="N1018" s="229">
        <v>1</v>
      </c>
      <c r="O1018" s="229"/>
    </row>
    <row r="1019" spans="1:15" x14ac:dyDescent="0.2">
      <c r="A1019" s="226">
        <v>1018</v>
      </c>
      <c r="B1019" s="226" t="str">
        <f t="shared" si="172"/>
        <v>SISTEMA MANIFOLDTANK SIZE 343LFM-2001-4</v>
      </c>
      <c r="C1019" s="226">
        <f t="shared" si="175"/>
        <v>1</v>
      </c>
      <c r="D1019" s="226" t="s">
        <v>126</v>
      </c>
      <c r="E1019" s="226" t="s">
        <v>86</v>
      </c>
      <c r="F1019" s="226" t="s">
        <v>15</v>
      </c>
      <c r="G1019" s="226">
        <f t="shared" si="174"/>
        <v>4</v>
      </c>
      <c r="H1019" s="226" t="s">
        <v>16</v>
      </c>
      <c r="I1019" s="227">
        <v>570055</v>
      </c>
      <c r="J1019" s="226" t="s">
        <v>24</v>
      </c>
      <c r="K1019" s="226" t="s">
        <v>19</v>
      </c>
      <c r="L1019" s="226">
        <f>L1017</f>
        <v>1</v>
      </c>
      <c r="M1019" s="228">
        <f t="shared" si="173"/>
        <v>570055</v>
      </c>
      <c r="N1019" s="229">
        <v>1</v>
      </c>
      <c r="O1019" s="229"/>
    </row>
    <row r="1020" spans="1:15" x14ac:dyDescent="0.2">
      <c r="A1020" s="226">
        <v>1019</v>
      </c>
      <c r="B1020" s="226" t="str">
        <f t="shared" si="172"/>
        <v>SISTEMA MANIFOLDTANK SIZE 343LFM-2001-5</v>
      </c>
      <c r="C1020" s="226">
        <f t="shared" si="175"/>
        <v>1</v>
      </c>
      <c r="D1020" s="226" t="s">
        <v>126</v>
      </c>
      <c r="E1020" s="226" t="s">
        <v>86</v>
      </c>
      <c r="F1020" s="226" t="s">
        <v>15</v>
      </c>
      <c r="G1020" s="226">
        <f t="shared" si="174"/>
        <v>5</v>
      </c>
      <c r="H1020" s="226" t="s">
        <v>16</v>
      </c>
      <c r="I1020" s="227">
        <v>314205314</v>
      </c>
      <c r="J1020" s="226" t="s">
        <v>56</v>
      </c>
      <c r="K1020" s="226" t="s">
        <v>19</v>
      </c>
      <c r="L1020" s="226">
        <f>L1017</f>
        <v>1</v>
      </c>
      <c r="M1020" s="228">
        <f t="shared" si="173"/>
        <v>314205314</v>
      </c>
      <c r="N1020" s="229">
        <v>1</v>
      </c>
      <c r="O1020" s="229"/>
    </row>
    <row r="1021" spans="1:15" x14ac:dyDescent="0.2">
      <c r="A1021" s="226">
        <v>1020</v>
      </c>
      <c r="B1021" s="226" t="str">
        <f t="shared" si="172"/>
        <v>SISTEMA MANIFOLDTANK SIZE 343LFM-2001-6</v>
      </c>
      <c r="C1021" s="226">
        <f t="shared" si="175"/>
        <v>1</v>
      </c>
      <c r="D1021" s="226" t="s">
        <v>126</v>
      </c>
      <c r="E1021" s="226" t="s">
        <v>86</v>
      </c>
      <c r="F1021" s="226" t="s">
        <v>15</v>
      </c>
      <c r="G1021" s="226">
        <f t="shared" si="174"/>
        <v>6</v>
      </c>
      <c r="H1021" s="226" t="s">
        <v>16</v>
      </c>
      <c r="I1021" s="227">
        <v>570585</v>
      </c>
      <c r="J1021" s="226" t="s">
        <v>26</v>
      </c>
      <c r="K1021" s="226" t="s">
        <v>19</v>
      </c>
      <c r="L1021" s="226">
        <f>L1017</f>
        <v>1</v>
      </c>
      <c r="M1021" s="228">
        <f t="shared" si="173"/>
        <v>570585</v>
      </c>
      <c r="N1021" s="229">
        <v>1</v>
      </c>
      <c r="O1021" s="229"/>
    </row>
    <row r="1022" spans="1:15" x14ac:dyDescent="0.2">
      <c r="A1022" s="226">
        <v>1021</v>
      </c>
      <c r="B1022" s="226" t="str">
        <f t="shared" si="172"/>
        <v>SISTEMA MANIFOLDTANK SIZE 343LFM-2001-7</v>
      </c>
      <c r="C1022" s="226">
        <f t="shared" si="175"/>
        <v>1</v>
      </c>
      <c r="D1022" s="226" t="s">
        <v>126</v>
      </c>
      <c r="E1022" s="226" t="s">
        <v>86</v>
      </c>
      <c r="F1022" s="226" t="s">
        <v>15</v>
      </c>
      <c r="G1022" s="226">
        <f t="shared" si="174"/>
        <v>7</v>
      </c>
      <c r="H1022" s="226" t="s">
        <v>16</v>
      </c>
      <c r="I1022" s="227">
        <v>304205030</v>
      </c>
      <c r="J1022" s="226" t="s">
        <v>27</v>
      </c>
      <c r="K1022" s="226" t="s">
        <v>19</v>
      </c>
      <c r="L1022" s="226">
        <v>1</v>
      </c>
      <c r="M1022" s="228">
        <f t="shared" si="173"/>
        <v>304205030</v>
      </c>
      <c r="N1022" s="229">
        <v>1</v>
      </c>
      <c r="O1022" s="229"/>
    </row>
    <row r="1023" spans="1:15" x14ac:dyDescent="0.2">
      <c r="A1023" s="226">
        <v>1022</v>
      </c>
      <c r="B1023" s="226" t="str">
        <f t="shared" si="172"/>
        <v>SISTEMA MANIFOLDTANK SIZE 343LFM-2001-8</v>
      </c>
      <c r="C1023" s="226">
        <f t="shared" si="175"/>
        <v>1</v>
      </c>
      <c r="D1023" s="226" t="s">
        <v>126</v>
      </c>
      <c r="E1023" s="226" t="s">
        <v>86</v>
      </c>
      <c r="F1023" s="226" t="s">
        <v>15</v>
      </c>
      <c r="G1023" s="226">
        <f t="shared" si="174"/>
        <v>8</v>
      </c>
      <c r="H1023" s="226" t="s">
        <v>16</v>
      </c>
      <c r="I1023" s="227" t="s">
        <v>28</v>
      </c>
      <c r="J1023" s="226" t="s">
        <v>29</v>
      </c>
      <c r="K1023" s="226" t="s">
        <v>19</v>
      </c>
      <c r="L1023" s="226">
        <v>1</v>
      </c>
      <c r="M1023" s="228" t="str">
        <f t="shared" si="173"/>
        <v>A1638150HY</v>
      </c>
      <c r="N1023" s="229">
        <v>1</v>
      </c>
      <c r="O1023" s="229"/>
    </row>
    <row r="1024" spans="1:15" x14ac:dyDescent="0.2">
      <c r="A1024" s="226">
        <v>1023</v>
      </c>
      <c r="B1024" s="226" t="str">
        <f t="shared" si="172"/>
        <v>SISTEMA MANIFOLDTANK SIZE 343LFM-2001-9</v>
      </c>
      <c r="C1024" s="226">
        <f t="shared" si="175"/>
        <v>1</v>
      </c>
      <c r="D1024" s="226" t="s">
        <v>126</v>
      </c>
      <c r="E1024" s="226" t="s">
        <v>86</v>
      </c>
      <c r="F1024" s="226" t="s">
        <v>15</v>
      </c>
      <c r="G1024" s="226">
        <f t="shared" si="174"/>
        <v>9</v>
      </c>
      <c r="H1024" s="226" t="s">
        <v>16</v>
      </c>
      <c r="I1024" s="227" t="s">
        <v>90</v>
      </c>
      <c r="J1024" s="226" t="s">
        <v>91</v>
      </c>
      <c r="K1024" s="226" t="s">
        <v>19</v>
      </c>
      <c r="L1024" s="226">
        <f>L1017*2</f>
        <v>2</v>
      </c>
      <c r="M1024" s="228" t="str">
        <f t="shared" si="173"/>
        <v>570336-R2</v>
      </c>
      <c r="N1024" s="229">
        <v>1</v>
      </c>
      <c r="O1024" s="229"/>
    </row>
    <row r="1025" spans="1:15" x14ac:dyDescent="0.2">
      <c r="A1025" s="226">
        <v>1024</v>
      </c>
      <c r="B1025" s="226" t="str">
        <f t="shared" si="172"/>
        <v>SISTEMA MANIFOLDTANK SIZE 343LFM-2001-10</v>
      </c>
      <c r="C1025" s="226">
        <f t="shared" si="175"/>
        <v>1</v>
      </c>
      <c r="D1025" s="226" t="s">
        <v>126</v>
      </c>
      <c r="E1025" s="226" t="s">
        <v>86</v>
      </c>
      <c r="F1025" s="226" t="s">
        <v>15</v>
      </c>
      <c r="G1025" s="226">
        <f t="shared" si="174"/>
        <v>10</v>
      </c>
      <c r="H1025" s="226" t="s">
        <v>16</v>
      </c>
      <c r="I1025" s="227" t="s">
        <v>32</v>
      </c>
      <c r="J1025" s="226" t="s">
        <v>33</v>
      </c>
      <c r="K1025" s="226" t="s">
        <v>19</v>
      </c>
      <c r="L1025" s="230">
        <f>'COT AGENTES'!$M$11</f>
        <v>1</v>
      </c>
      <c r="M1025" s="228" t="s">
        <v>92</v>
      </c>
      <c r="N1025" s="229">
        <v>1</v>
      </c>
      <c r="O1025" s="229"/>
    </row>
    <row r="1026" spans="1:15" x14ac:dyDescent="0.2">
      <c r="A1026" s="226">
        <v>1025</v>
      </c>
      <c r="B1026" s="226" t="str">
        <f t="shared" si="172"/>
        <v>SISTEMA MANIFOLDTANK SIZE 343LFM-2001-11</v>
      </c>
      <c r="C1026" s="226">
        <f t="shared" si="175"/>
        <v>1</v>
      </c>
      <c r="D1026" s="226" t="s">
        <v>126</v>
      </c>
      <c r="E1026" s="226" t="s">
        <v>86</v>
      </c>
      <c r="F1026" s="226" t="s">
        <v>15</v>
      </c>
      <c r="G1026" s="226">
        <f t="shared" si="174"/>
        <v>11</v>
      </c>
      <c r="H1026" s="226" t="s">
        <v>16</v>
      </c>
      <c r="I1026" s="227" t="s">
        <v>35</v>
      </c>
      <c r="J1026" s="226" t="s">
        <v>36</v>
      </c>
      <c r="K1026" s="226" t="s">
        <v>19</v>
      </c>
      <c r="L1026" s="226">
        <v>1</v>
      </c>
      <c r="M1026" s="228" t="str">
        <f t="shared" si="173"/>
        <v>442927-R2</v>
      </c>
      <c r="N1026" s="229">
        <v>1</v>
      </c>
      <c r="O1026" s="229"/>
    </row>
    <row r="1027" spans="1:15" x14ac:dyDescent="0.2">
      <c r="A1027" s="226">
        <v>1026</v>
      </c>
      <c r="B1027" s="226" t="str">
        <f t="shared" si="172"/>
        <v>SISTEMA MANIFOLDTANK SIZE 343LFM-2001-12</v>
      </c>
      <c r="C1027" s="226">
        <f t="shared" si="175"/>
        <v>1</v>
      </c>
      <c r="D1027" s="226" t="s">
        <v>126</v>
      </c>
      <c r="E1027" s="226" t="s">
        <v>86</v>
      </c>
      <c r="F1027" s="226" t="s">
        <v>15</v>
      </c>
      <c r="G1027" s="226">
        <f t="shared" si="174"/>
        <v>12</v>
      </c>
      <c r="H1027" s="226" t="s">
        <v>16</v>
      </c>
      <c r="I1027" s="227" t="s">
        <v>37</v>
      </c>
      <c r="J1027" s="226" t="s">
        <v>38</v>
      </c>
      <c r="K1027" s="226" t="s">
        <v>19</v>
      </c>
      <c r="L1027" s="226">
        <v>1</v>
      </c>
      <c r="M1027" s="228" t="str">
        <f t="shared" si="173"/>
        <v>442928-R2</v>
      </c>
      <c r="N1027" s="229">
        <v>1</v>
      </c>
      <c r="O1027" s="229"/>
    </row>
    <row r="1028" spans="1:15" x14ac:dyDescent="0.2">
      <c r="A1028" s="226">
        <v>1027</v>
      </c>
      <c r="B1028" s="226" t="str">
        <f t="shared" si="172"/>
        <v>SISTEMA MANIFOLDTANK SIZE 343LFM-2001-13</v>
      </c>
      <c r="C1028" s="226">
        <f t="shared" si="175"/>
        <v>1</v>
      </c>
      <c r="D1028" s="226" t="s">
        <v>126</v>
      </c>
      <c r="E1028" s="226" t="s">
        <v>86</v>
      </c>
      <c r="F1028" s="226" t="s">
        <v>15</v>
      </c>
      <c r="G1028" s="226">
        <f t="shared" si="174"/>
        <v>13</v>
      </c>
      <c r="H1028" s="226" t="s">
        <v>16</v>
      </c>
      <c r="I1028" s="228" t="s">
        <v>125</v>
      </c>
      <c r="J1028" s="226" t="s">
        <v>97</v>
      </c>
      <c r="K1028" s="226" t="s">
        <v>19</v>
      </c>
      <c r="L1028" s="226">
        <f>L1017</f>
        <v>1</v>
      </c>
      <c r="M1028" s="228" t="str">
        <f t="shared" si="173"/>
        <v>69841-R2</v>
      </c>
      <c r="N1028" s="229">
        <v>1</v>
      </c>
      <c r="O1028" s="229"/>
    </row>
    <row r="1029" spans="1:15" x14ac:dyDescent="0.2">
      <c r="A1029" s="226">
        <v>1028</v>
      </c>
      <c r="B1029" s="226" t="str">
        <f t="shared" si="172"/>
        <v>SISTEMA MANIFOLDTANK SIZE 343LFM-2001-14</v>
      </c>
      <c r="C1029" s="226">
        <f t="shared" si="175"/>
        <v>1</v>
      </c>
      <c r="D1029" s="226" t="s">
        <v>126</v>
      </c>
      <c r="E1029" s="226" t="s">
        <v>86</v>
      </c>
      <c r="F1029" s="226" t="s">
        <v>15</v>
      </c>
      <c r="G1029" s="226">
        <f t="shared" si="174"/>
        <v>14</v>
      </c>
      <c r="H1029" s="226" t="s">
        <v>16</v>
      </c>
      <c r="I1029" s="227">
        <v>570550</v>
      </c>
      <c r="J1029" s="226" t="s">
        <v>120</v>
      </c>
      <c r="K1029" s="226" t="s">
        <v>19</v>
      </c>
      <c r="L1029" s="226">
        <f>L1017-1</f>
        <v>0</v>
      </c>
      <c r="M1029" s="228">
        <f t="shared" si="173"/>
        <v>570550</v>
      </c>
      <c r="N1029" s="229">
        <v>1</v>
      </c>
      <c r="O1029" s="229"/>
    </row>
    <row r="1030" spans="1:15" x14ac:dyDescent="0.2">
      <c r="A1030" s="226">
        <v>1029</v>
      </c>
      <c r="B1030" s="226" t="str">
        <f t="shared" si="172"/>
        <v>SISTEMA MANIFOLDTANK SIZE 343LFM-2001-15</v>
      </c>
      <c r="C1030" s="226">
        <f t="shared" si="175"/>
        <v>1</v>
      </c>
      <c r="D1030" s="226" t="s">
        <v>126</v>
      </c>
      <c r="E1030" s="226" t="s">
        <v>86</v>
      </c>
      <c r="F1030" s="226" t="s">
        <v>15</v>
      </c>
      <c r="G1030" s="226">
        <f t="shared" si="174"/>
        <v>15</v>
      </c>
      <c r="H1030" s="226" t="s">
        <v>16</v>
      </c>
      <c r="I1030" s="227">
        <v>32338</v>
      </c>
      <c r="J1030" s="226" t="s">
        <v>42</v>
      </c>
      <c r="K1030" s="226" t="s">
        <v>19</v>
      </c>
      <c r="L1030" s="226">
        <v>1</v>
      </c>
      <c r="M1030" s="228">
        <f t="shared" si="173"/>
        <v>32338</v>
      </c>
      <c r="N1030" s="229">
        <v>1</v>
      </c>
      <c r="O1030" s="229"/>
    </row>
    <row r="1031" spans="1:15" x14ac:dyDescent="0.2">
      <c r="A1031" s="226">
        <v>1030</v>
      </c>
      <c r="B1031" s="226" t="str">
        <f t="shared" si="172"/>
        <v>SISTEMA MANIFOLDTANK SIZE 343LFM-2001-16</v>
      </c>
      <c r="C1031" s="226">
        <f t="shared" si="175"/>
        <v>1</v>
      </c>
      <c r="D1031" s="226" t="s">
        <v>126</v>
      </c>
      <c r="E1031" s="226" t="s">
        <v>86</v>
      </c>
      <c r="F1031" s="226" t="s">
        <v>15</v>
      </c>
      <c r="G1031" s="226">
        <f t="shared" si="174"/>
        <v>16</v>
      </c>
      <c r="H1031" s="226" t="s">
        <v>16</v>
      </c>
      <c r="I1031" s="227">
        <v>31810</v>
      </c>
      <c r="J1031" s="226" t="s">
        <v>121</v>
      </c>
      <c r="K1031" s="226" t="s">
        <v>19</v>
      </c>
      <c r="L1031" s="226">
        <v>1</v>
      </c>
      <c r="M1031" s="228">
        <f t="shared" si="173"/>
        <v>31810</v>
      </c>
      <c r="N1031" s="229">
        <v>1</v>
      </c>
      <c r="O1031" s="229"/>
    </row>
    <row r="1032" spans="1:15" x14ac:dyDescent="0.2">
      <c r="A1032" s="226">
        <v>1031</v>
      </c>
      <c r="B1032" s="226" t="str">
        <f t="shared" si="172"/>
        <v>SISTEMA MANIFOLDTANK SIZE 343LFM-2001-17</v>
      </c>
      <c r="C1032" s="226">
        <f t="shared" si="175"/>
        <v>1</v>
      </c>
      <c r="D1032" s="226" t="s">
        <v>126</v>
      </c>
      <c r="E1032" s="226" t="s">
        <v>86</v>
      </c>
      <c r="F1032" s="226" t="s">
        <v>15</v>
      </c>
      <c r="G1032" s="226">
        <f t="shared" si="174"/>
        <v>17</v>
      </c>
      <c r="H1032" s="226" t="s">
        <v>16</v>
      </c>
      <c r="I1032" s="227">
        <v>32336</v>
      </c>
      <c r="J1032" s="226" t="s">
        <v>122</v>
      </c>
      <c r="K1032" s="226" t="s">
        <v>19</v>
      </c>
      <c r="L1032" s="226">
        <f>L1017-1</f>
        <v>0</v>
      </c>
      <c r="M1032" s="228">
        <f t="shared" si="173"/>
        <v>32336</v>
      </c>
      <c r="N1032" s="229">
        <v>1</v>
      </c>
      <c r="O1032" s="229"/>
    </row>
    <row r="1033" spans="1:15" x14ac:dyDescent="0.2">
      <c r="A1033" s="226">
        <v>1032</v>
      </c>
      <c r="B1033" s="226" t="str">
        <f t="shared" si="172"/>
        <v>SISTEMA MANIFOLDTANK SIZE 343LFM-2001-18</v>
      </c>
      <c r="C1033" s="226">
        <f t="shared" si="175"/>
        <v>1</v>
      </c>
      <c r="D1033" s="226" t="s">
        <v>126</v>
      </c>
      <c r="E1033" s="226" t="s">
        <v>86</v>
      </c>
      <c r="F1033" s="226" t="s">
        <v>15</v>
      </c>
      <c r="G1033" s="226">
        <f t="shared" si="174"/>
        <v>18</v>
      </c>
      <c r="H1033" s="226" t="s">
        <v>16</v>
      </c>
      <c r="I1033" s="227">
        <v>31811</v>
      </c>
      <c r="J1033" s="226" t="s">
        <v>123</v>
      </c>
      <c r="K1033" s="226" t="s">
        <v>19</v>
      </c>
      <c r="L1033" s="226">
        <f>IF(L1017&gt;1,L1017-1,0)</f>
        <v>0</v>
      </c>
      <c r="M1033" s="228">
        <f t="shared" si="173"/>
        <v>31811</v>
      </c>
      <c r="N1033" s="229">
        <v>1</v>
      </c>
      <c r="O1033" s="229"/>
    </row>
    <row r="1034" spans="1:15" x14ac:dyDescent="0.2">
      <c r="A1034" s="226">
        <v>1033</v>
      </c>
      <c r="B1034" s="226" t="str">
        <f t="shared" si="172"/>
        <v>SISTEMA MANIFOLDTANK SIZE 343LFM-2001-19</v>
      </c>
      <c r="C1034" s="226">
        <f t="shared" si="175"/>
        <v>1</v>
      </c>
      <c r="D1034" s="226" t="s">
        <v>126</v>
      </c>
      <c r="E1034" s="226" t="s">
        <v>86</v>
      </c>
      <c r="F1034" s="226" t="s">
        <v>15</v>
      </c>
      <c r="G1034" s="226">
        <f t="shared" si="174"/>
        <v>19</v>
      </c>
      <c r="M1034" s="228">
        <f t="shared" si="173"/>
        <v>0</v>
      </c>
      <c r="N1034" s="229">
        <v>1</v>
      </c>
      <c r="O1034" s="229"/>
    </row>
    <row r="1035" spans="1:15" x14ac:dyDescent="0.2">
      <c r="A1035" s="226">
        <v>1034</v>
      </c>
      <c r="B1035" s="226" t="str">
        <f t="shared" si="172"/>
        <v>SISTEMA MANIFOLDTANK SIZE 343LFM-2001-20</v>
      </c>
      <c r="C1035" s="226">
        <f t="shared" si="175"/>
        <v>1</v>
      </c>
      <c r="D1035" s="226" t="s">
        <v>126</v>
      </c>
      <c r="E1035" s="226" t="s">
        <v>86</v>
      </c>
      <c r="F1035" s="226" t="s">
        <v>15</v>
      </c>
      <c r="G1035" s="226">
        <f t="shared" si="174"/>
        <v>20</v>
      </c>
      <c r="H1035" s="226" t="s">
        <v>16</v>
      </c>
      <c r="I1035" s="227">
        <v>437900</v>
      </c>
      <c r="J1035" s="226" t="s">
        <v>40</v>
      </c>
      <c r="K1035" s="226" t="s">
        <v>19</v>
      </c>
      <c r="L1035" s="226">
        <v>1</v>
      </c>
      <c r="M1035" s="228">
        <f t="shared" si="173"/>
        <v>437900</v>
      </c>
      <c r="N1035" s="229">
        <v>1</v>
      </c>
      <c r="O1035" s="229"/>
    </row>
    <row r="1036" spans="1:15" x14ac:dyDescent="0.2">
      <c r="A1036" s="226">
        <v>1035</v>
      </c>
      <c r="B1036" s="226" t="str">
        <f t="shared" si="172"/>
        <v>SISTEMA MANIFOLDTANK SIZE 343LFM-2001-21</v>
      </c>
      <c r="C1036" s="226">
        <f t="shared" si="175"/>
        <v>1</v>
      </c>
      <c r="D1036" s="226" t="s">
        <v>126</v>
      </c>
      <c r="E1036" s="226" t="s">
        <v>86</v>
      </c>
      <c r="F1036" s="226" t="s">
        <v>15</v>
      </c>
      <c r="G1036" s="226">
        <f t="shared" si="174"/>
        <v>21</v>
      </c>
      <c r="H1036" s="226" t="s">
        <v>16</v>
      </c>
      <c r="I1036" s="227">
        <v>31811</v>
      </c>
      <c r="J1036" s="226" t="s">
        <v>123</v>
      </c>
      <c r="K1036" s="226" t="s">
        <v>19</v>
      </c>
      <c r="L1036" s="226">
        <v>1</v>
      </c>
      <c r="M1036" s="228">
        <f t="shared" si="173"/>
        <v>31811</v>
      </c>
      <c r="N1036" s="229">
        <v>1</v>
      </c>
      <c r="O1036" s="229"/>
    </row>
    <row r="1037" spans="1:15" x14ac:dyDescent="0.2">
      <c r="A1037" s="226">
        <v>1036</v>
      </c>
      <c r="B1037" s="226" t="str">
        <f t="shared" si="172"/>
        <v>SISTEMA MANIFOLDTANK SIZE 343LFM-2001-22</v>
      </c>
      <c r="C1037" s="226">
        <f t="shared" si="175"/>
        <v>1</v>
      </c>
      <c r="D1037" s="226" t="s">
        <v>126</v>
      </c>
      <c r="E1037" s="226" t="s">
        <v>86</v>
      </c>
      <c r="F1037" s="226" t="s">
        <v>15</v>
      </c>
      <c r="G1037" s="226">
        <f t="shared" si="174"/>
        <v>22</v>
      </c>
      <c r="H1037" s="226" t="s">
        <v>16</v>
      </c>
      <c r="I1037" s="228">
        <v>430815</v>
      </c>
      <c r="J1037" s="226" t="s">
        <v>94</v>
      </c>
      <c r="K1037" s="226" t="s">
        <v>19</v>
      </c>
      <c r="L1037" s="226">
        <v>1</v>
      </c>
      <c r="M1037" s="228">
        <f t="shared" si="173"/>
        <v>430815</v>
      </c>
      <c r="N1037" s="229">
        <v>1</v>
      </c>
      <c r="O1037" s="229"/>
    </row>
    <row r="1038" spans="1:15" x14ac:dyDescent="0.2">
      <c r="A1038" s="226">
        <v>1037</v>
      </c>
      <c r="B1038" s="226" t="str">
        <f t="shared" si="172"/>
        <v>SISTEMA MANIFOLDTANK SIZE 343LFM-2001-23</v>
      </c>
      <c r="C1038" s="226">
        <f t="shared" si="175"/>
        <v>1</v>
      </c>
      <c r="D1038" s="226" t="s">
        <v>126</v>
      </c>
      <c r="E1038" s="226" t="s">
        <v>86</v>
      </c>
      <c r="F1038" s="226" t="s">
        <v>15</v>
      </c>
      <c r="G1038" s="226">
        <f t="shared" si="174"/>
        <v>23</v>
      </c>
      <c r="H1038" s="226" t="s">
        <v>16</v>
      </c>
      <c r="I1038" s="227">
        <v>76498</v>
      </c>
      <c r="J1038" s="226" t="s">
        <v>46</v>
      </c>
      <c r="K1038" s="226" t="s">
        <v>19</v>
      </c>
      <c r="L1038" s="226">
        <v>1</v>
      </c>
      <c r="M1038" s="228">
        <f t="shared" si="173"/>
        <v>76498</v>
      </c>
      <c r="N1038" s="229">
        <v>1</v>
      </c>
      <c r="O1038" s="229"/>
    </row>
    <row r="1039" spans="1:15" x14ac:dyDescent="0.2">
      <c r="A1039" s="226">
        <v>1038</v>
      </c>
      <c r="B1039" s="226" t="str">
        <f t="shared" si="172"/>
        <v>SISTEMA MANIFOLDTANK SIZE 343LFM-2001-24</v>
      </c>
      <c r="C1039" s="226">
        <f t="shared" si="175"/>
        <v>1</v>
      </c>
      <c r="D1039" s="226" t="s">
        <v>126</v>
      </c>
      <c r="E1039" s="226" t="s">
        <v>86</v>
      </c>
      <c r="F1039" s="226" t="s">
        <v>15</v>
      </c>
      <c r="G1039" s="226">
        <f t="shared" si="174"/>
        <v>24</v>
      </c>
      <c r="H1039" s="226" t="s">
        <v>16</v>
      </c>
      <c r="I1039" s="227">
        <v>570278</v>
      </c>
      <c r="J1039" s="226" t="s">
        <v>80</v>
      </c>
      <c r="K1039" s="226" t="s">
        <v>19</v>
      </c>
      <c r="L1039" s="226">
        <f>L1022</f>
        <v>1</v>
      </c>
      <c r="M1039" s="228">
        <f t="shared" si="173"/>
        <v>570278</v>
      </c>
      <c r="N1039" s="229">
        <v>1</v>
      </c>
      <c r="O1039" s="229"/>
    </row>
    <row r="1040" spans="1:15" x14ac:dyDescent="0.2">
      <c r="A1040" s="226">
        <v>1039</v>
      </c>
      <c r="B1040" s="226" t="str">
        <f t="shared" si="172"/>
        <v>-</v>
      </c>
      <c r="L1040" s="231"/>
      <c r="M1040" s="228">
        <f t="shared" si="173"/>
        <v>0</v>
      </c>
      <c r="N1040" s="229">
        <v>1</v>
      </c>
      <c r="O1040" s="229"/>
    </row>
    <row r="1041" spans="1:15" x14ac:dyDescent="0.2">
      <c r="A1041" s="226">
        <v>1040</v>
      </c>
      <c r="B1041" s="226" t="str">
        <f t="shared" si="172"/>
        <v>SISTEMA MANIFOLDTANK SIZE 8LFK-5-1-121-1</v>
      </c>
      <c r="C1041" s="226">
        <f>L1041</f>
        <v>1</v>
      </c>
      <c r="D1041" s="226" t="s">
        <v>126</v>
      </c>
      <c r="E1041" s="226" t="s">
        <v>14</v>
      </c>
      <c r="F1041" s="226" t="s">
        <v>98</v>
      </c>
      <c r="G1041" s="226">
        <v>1</v>
      </c>
      <c r="H1041" s="226" t="s">
        <v>16</v>
      </c>
      <c r="I1041" s="227" t="s">
        <v>17</v>
      </c>
      <c r="J1041" s="226" t="s">
        <v>18</v>
      </c>
      <c r="K1041" s="226" t="s">
        <v>19</v>
      </c>
      <c r="L1041" s="226">
        <f>'COT AGENTES'!$H$3</f>
        <v>1</v>
      </c>
      <c r="M1041" s="228" t="s">
        <v>20</v>
      </c>
      <c r="N1041" s="229">
        <v>1</v>
      </c>
      <c r="O1041" s="229"/>
    </row>
    <row r="1042" spans="1:15" x14ac:dyDescent="0.2">
      <c r="A1042" s="226">
        <v>1041</v>
      </c>
      <c r="B1042" s="226" t="str">
        <f t="shared" si="172"/>
        <v>SISTEMA MANIFOLDTANK SIZE 8LFK-5-1-121-2</v>
      </c>
      <c r="C1042" s="226">
        <f>C1041</f>
        <v>1</v>
      </c>
      <c r="D1042" s="226" t="s">
        <v>126</v>
      </c>
      <c r="E1042" s="226" t="s">
        <v>14</v>
      </c>
      <c r="F1042" s="226" t="s">
        <v>98</v>
      </c>
      <c r="G1042" s="226">
        <f>+G1041+1</f>
        <v>2</v>
      </c>
      <c r="H1042" s="226" t="s">
        <v>16</v>
      </c>
      <c r="I1042" s="227">
        <v>445732</v>
      </c>
      <c r="J1042" s="226" t="s">
        <v>99</v>
      </c>
      <c r="K1042" s="226" t="s">
        <v>19</v>
      </c>
      <c r="L1042" s="226">
        <f>L1041</f>
        <v>1</v>
      </c>
      <c r="M1042" s="228">
        <f t="shared" si="173"/>
        <v>445732</v>
      </c>
      <c r="N1042" s="229">
        <v>1</v>
      </c>
      <c r="O1042" s="229"/>
    </row>
    <row r="1043" spans="1:15" x14ac:dyDescent="0.2">
      <c r="A1043" s="226">
        <v>1042</v>
      </c>
      <c r="B1043" s="226" t="str">
        <f t="shared" si="172"/>
        <v>SISTEMA MANIFOLDTANK SIZE 8LFK-5-1-121-3</v>
      </c>
      <c r="C1043" s="226">
        <f t="shared" ref="C1043:C1064" si="176">C1042</f>
        <v>1</v>
      </c>
      <c r="D1043" s="226" t="s">
        <v>126</v>
      </c>
      <c r="E1043" s="226" t="s">
        <v>14</v>
      </c>
      <c r="F1043" s="226" t="s">
        <v>98</v>
      </c>
      <c r="G1043" s="226">
        <f t="shared" ref="G1043:G1064" si="177">+G1042+1</f>
        <v>3</v>
      </c>
      <c r="H1043" s="226" t="s">
        <v>16</v>
      </c>
      <c r="I1043" s="227" t="s">
        <v>98</v>
      </c>
      <c r="J1043" s="226" t="s">
        <v>100</v>
      </c>
      <c r="K1043" s="226" t="s">
        <v>19</v>
      </c>
      <c r="L1043" s="230">
        <f>'COT AGENTES'!$H$5</f>
        <v>2</v>
      </c>
      <c r="M1043" s="228" t="str">
        <f t="shared" si="173"/>
        <v>FK-5-1-12</v>
      </c>
      <c r="N1043" s="229">
        <v>1</v>
      </c>
      <c r="O1043" s="229"/>
    </row>
    <row r="1044" spans="1:15" x14ac:dyDescent="0.2">
      <c r="A1044" s="226">
        <v>1043</v>
      </c>
      <c r="B1044" s="226" t="str">
        <f t="shared" si="172"/>
        <v>SISTEMA MANIFOLDTANK SIZE 8LFK-5-1-121-4</v>
      </c>
      <c r="C1044" s="226">
        <f t="shared" si="176"/>
        <v>1</v>
      </c>
      <c r="D1044" s="226" t="s">
        <v>126</v>
      </c>
      <c r="E1044" s="226" t="s">
        <v>14</v>
      </c>
      <c r="F1044" s="226" t="s">
        <v>98</v>
      </c>
      <c r="G1044" s="226">
        <f t="shared" si="177"/>
        <v>4</v>
      </c>
      <c r="H1044" s="226" t="s">
        <v>16</v>
      </c>
      <c r="I1044" s="227">
        <v>302207021</v>
      </c>
      <c r="J1044" s="226" t="s">
        <v>101</v>
      </c>
      <c r="K1044" s="226" t="s">
        <v>19</v>
      </c>
      <c r="L1044" s="226">
        <f>L1042</f>
        <v>1</v>
      </c>
      <c r="M1044" s="228">
        <f t="shared" si="173"/>
        <v>302207021</v>
      </c>
      <c r="N1044" s="229">
        <v>1</v>
      </c>
      <c r="O1044" s="229"/>
    </row>
    <row r="1045" spans="1:15" x14ac:dyDescent="0.2">
      <c r="A1045" s="226">
        <v>1044</v>
      </c>
      <c r="B1045" s="226" t="str">
        <f t="shared" si="172"/>
        <v>SISTEMA MANIFOLDTANK SIZE 8LFK-5-1-121-5</v>
      </c>
      <c r="C1045" s="226">
        <f t="shared" si="176"/>
        <v>1</v>
      </c>
      <c r="D1045" s="226" t="s">
        <v>126</v>
      </c>
      <c r="E1045" s="226" t="s">
        <v>14</v>
      </c>
      <c r="F1045" s="226" t="s">
        <v>98</v>
      </c>
      <c r="G1045" s="226">
        <f t="shared" si="177"/>
        <v>5</v>
      </c>
      <c r="H1045" s="226" t="s">
        <v>16</v>
      </c>
      <c r="I1045" s="227">
        <v>314207207</v>
      </c>
      <c r="J1045" s="226" t="s">
        <v>102</v>
      </c>
      <c r="K1045" s="226" t="s">
        <v>19</v>
      </c>
      <c r="L1045" s="226">
        <f>L1042</f>
        <v>1</v>
      </c>
      <c r="M1045" s="228">
        <f t="shared" si="173"/>
        <v>314207207</v>
      </c>
      <c r="N1045" s="229">
        <v>1</v>
      </c>
      <c r="O1045" s="229"/>
    </row>
    <row r="1046" spans="1:15" x14ac:dyDescent="0.2">
      <c r="A1046" s="226">
        <v>1045</v>
      </c>
      <c r="B1046" s="226" t="str">
        <f t="shared" si="172"/>
        <v>SISTEMA MANIFOLDTANK SIZE 8LFK-5-1-121-6</v>
      </c>
      <c r="C1046" s="226">
        <f t="shared" si="176"/>
        <v>1</v>
      </c>
      <c r="D1046" s="226" t="s">
        <v>126</v>
      </c>
      <c r="E1046" s="226" t="s">
        <v>14</v>
      </c>
      <c r="F1046" s="226" t="s">
        <v>98</v>
      </c>
      <c r="G1046" s="226">
        <f t="shared" si="177"/>
        <v>6</v>
      </c>
      <c r="H1046" s="226" t="s">
        <v>16</v>
      </c>
      <c r="I1046" s="227">
        <v>570585</v>
      </c>
      <c r="J1046" s="226" t="s">
        <v>26</v>
      </c>
      <c r="K1046" s="226" t="s">
        <v>19</v>
      </c>
      <c r="L1046" s="226">
        <f>L1042</f>
        <v>1</v>
      </c>
      <c r="M1046" s="228">
        <f t="shared" si="173"/>
        <v>570585</v>
      </c>
      <c r="N1046" s="229">
        <v>1</v>
      </c>
      <c r="O1046" s="229"/>
    </row>
    <row r="1047" spans="1:15" x14ac:dyDescent="0.2">
      <c r="A1047" s="226">
        <v>1046</v>
      </c>
      <c r="B1047" s="226" t="str">
        <f t="shared" si="172"/>
        <v>SISTEMA MANIFOLDTANK SIZE 8LFK-5-1-121-7</v>
      </c>
      <c r="C1047" s="226">
        <f t="shared" si="176"/>
        <v>1</v>
      </c>
      <c r="D1047" s="226" t="s">
        <v>126</v>
      </c>
      <c r="E1047" s="226" t="s">
        <v>14</v>
      </c>
      <c r="F1047" s="226" t="s">
        <v>98</v>
      </c>
      <c r="G1047" s="226">
        <f t="shared" si="177"/>
        <v>7</v>
      </c>
      <c r="H1047" s="226" t="s">
        <v>16</v>
      </c>
      <c r="I1047" s="227">
        <v>304205030</v>
      </c>
      <c r="J1047" s="226" t="s">
        <v>27</v>
      </c>
      <c r="K1047" s="226" t="s">
        <v>19</v>
      </c>
      <c r="L1047" s="226">
        <v>1</v>
      </c>
      <c r="M1047" s="228">
        <f t="shared" si="173"/>
        <v>304205030</v>
      </c>
      <c r="N1047" s="229">
        <v>1</v>
      </c>
      <c r="O1047" s="229"/>
    </row>
    <row r="1048" spans="1:15" x14ac:dyDescent="0.2">
      <c r="A1048" s="226">
        <v>1047</v>
      </c>
      <c r="B1048" s="226" t="str">
        <f t="shared" si="172"/>
        <v>SISTEMA MANIFOLDTANK SIZE 8LFK-5-1-121-8</v>
      </c>
      <c r="C1048" s="226">
        <f t="shared" si="176"/>
        <v>1</v>
      </c>
      <c r="D1048" s="226" t="s">
        <v>126</v>
      </c>
      <c r="E1048" s="226" t="s">
        <v>14</v>
      </c>
      <c r="F1048" s="226" t="s">
        <v>98</v>
      </c>
      <c r="G1048" s="226">
        <f t="shared" si="177"/>
        <v>8</v>
      </c>
      <c r="H1048" s="226" t="s">
        <v>16</v>
      </c>
      <c r="I1048" s="227" t="s">
        <v>28</v>
      </c>
      <c r="J1048" s="226" t="s">
        <v>29</v>
      </c>
      <c r="K1048" s="226" t="s">
        <v>19</v>
      </c>
      <c r="L1048" s="226">
        <v>1</v>
      </c>
      <c r="M1048" s="228" t="str">
        <f t="shared" si="173"/>
        <v>A1638150HY</v>
      </c>
      <c r="N1048" s="229">
        <v>1</v>
      </c>
      <c r="O1048" s="229"/>
    </row>
    <row r="1049" spans="1:15" x14ac:dyDescent="0.2">
      <c r="A1049" s="226">
        <v>1048</v>
      </c>
      <c r="B1049" s="226" t="str">
        <f t="shared" si="172"/>
        <v>SISTEMA MANIFOLDTANK SIZE 8LFK-5-1-121-9</v>
      </c>
      <c r="C1049" s="226">
        <f t="shared" si="176"/>
        <v>1</v>
      </c>
      <c r="D1049" s="226" t="s">
        <v>126</v>
      </c>
      <c r="E1049" s="226" t="s">
        <v>14</v>
      </c>
      <c r="F1049" s="226" t="s">
        <v>98</v>
      </c>
      <c r="G1049" s="226">
        <f t="shared" si="177"/>
        <v>9</v>
      </c>
      <c r="H1049" s="226" t="s">
        <v>16</v>
      </c>
      <c r="I1049" s="227" t="s">
        <v>30</v>
      </c>
      <c r="J1049" s="226" t="s">
        <v>31</v>
      </c>
      <c r="K1049" s="226" t="s">
        <v>19</v>
      </c>
      <c r="L1049" s="226">
        <f>L1042</f>
        <v>1</v>
      </c>
      <c r="M1049" s="228" t="str">
        <f t="shared" si="173"/>
        <v>570085-R2</v>
      </c>
      <c r="N1049" s="229">
        <v>1</v>
      </c>
      <c r="O1049" s="229"/>
    </row>
    <row r="1050" spans="1:15" x14ac:dyDescent="0.2">
      <c r="A1050" s="226">
        <v>1049</v>
      </c>
      <c r="B1050" s="226" t="str">
        <f t="shared" si="172"/>
        <v>SISTEMA MANIFOLDTANK SIZE 8LFK-5-1-121-10</v>
      </c>
      <c r="C1050" s="226">
        <f t="shared" si="176"/>
        <v>1</v>
      </c>
      <c r="D1050" s="226" t="s">
        <v>126</v>
      </c>
      <c r="E1050" s="226" t="s">
        <v>14</v>
      </c>
      <c r="F1050" s="226" t="s">
        <v>98</v>
      </c>
      <c r="G1050" s="226">
        <f t="shared" si="177"/>
        <v>10</v>
      </c>
      <c r="H1050" s="226" t="s">
        <v>16</v>
      </c>
      <c r="I1050" s="227" t="s">
        <v>32</v>
      </c>
      <c r="J1050" s="226" t="s">
        <v>33</v>
      </c>
      <c r="K1050" s="226" t="s">
        <v>19</v>
      </c>
      <c r="L1050" s="230">
        <f>'COT AGENTES'!$M$11</f>
        <v>1</v>
      </c>
      <c r="M1050" s="228" t="s">
        <v>34</v>
      </c>
      <c r="N1050" s="229">
        <v>1</v>
      </c>
      <c r="O1050" s="229"/>
    </row>
    <row r="1051" spans="1:15" x14ac:dyDescent="0.2">
      <c r="A1051" s="226">
        <v>1050</v>
      </c>
      <c r="B1051" s="226" t="str">
        <f t="shared" si="172"/>
        <v>SISTEMA MANIFOLDTANK SIZE 8LFK-5-1-121-11</v>
      </c>
      <c r="C1051" s="226">
        <f t="shared" si="176"/>
        <v>1</v>
      </c>
      <c r="D1051" s="226" t="s">
        <v>126</v>
      </c>
      <c r="E1051" s="226" t="s">
        <v>14</v>
      </c>
      <c r="F1051" s="226" t="s">
        <v>98</v>
      </c>
      <c r="G1051" s="226">
        <f t="shared" si="177"/>
        <v>11</v>
      </c>
      <c r="H1051" s="226" t="s">
        <v>16</v>
      </c>
      <c r="I1051" s="227" t="s">
        <v>103</v>
      </c>
      <c r="J1051" s="226" t="s">
        <v>104</v>
      </c>
      <c r="K1051" s="226" t="s">
        <v>19</v>
      </c>
      <c r="L1051" s="226">
        <v>1</v>
      </c>
      <c r="M1051" s="228" t="str">
        <f t="shared" si="173"/>
        <v>314207101-R2</v>
      </c>
      <c r="N1051" s="229">
        <v>1</v>
      </c>
      <c r="O1051" s="229"/>
    </row>
    <row r="1052" spans="1:15" x14ac:dyDescent="0.2">
      <c r="A1052" s="226">
        <v>1051</v>
      </c>
      <c r="B1052" s="226" t="str">
        <f t="shared" si="172"/>
        <v>SISTEMA MANIFOLDTANK SIZE 8LFK-5-1-121-12</v>
      </c>
      <c r="C1052" s="226">
        <f t="shared" si="176"/>
        <v>1</v>
      </c>
      <c r="D1052" s="226" t="s">
        <v>126</v>
      </c>
      <c r="E1052" s="226" t="s">
        <v>14</v>
      </c>
      <c r="F1052" s="226" t="s">
        <v>98</v>
      </c>
      <c r="G1052" s="226">
        <f t="shared" si="177"/>
        <v>12</v>
      </c>
      <c r="H1052" s="226" t="s">
        <v>16</v>
      </c>
      <c r="I1052" s="227" t="s">
        <v>105</v>
      </c>
      <c r="J1052" s="226" t="s">
        <v>106</v>
      </c>
      <c r="K1052" s="226" t="s">
        <v>19</v>
      </c>
      <c r="L1052" s="226">
        <v>1</v>
      </c>
      <c r="M1052" s="228" t="str">
        <f t="shared" si="173"/>
        <v>314207103-R2</v>
      </c>
      <c r="N1052" s="229">
        <v>1</v>
      </c>
      <c r="O1052" s="229"/>
    </row>
    <row r="1053" spans="1:15" x14ac:dyDescent="0.2">
      <c r="A1053" s="226">
        <v>1052</v>
      </c>
      <c r="B1053" s="226" t="str">
        <f t="shared" si="172"/>
        <v>SISTEMA MANIFOLDTANK SIZE 8LFK-5-1-121-13</v>
      </c>
      <c r="C1053" s="226">
        <f t="shared" si="176"/>
        <v>1</v>
      </c>
      <c r="D1053" s="226" t="s">
        <v>126</v>
      </c>
      <c r="E1053" s="226" t="s">
        <v>14</v>
      </c>
      <c r="F1053" s="226" t="s">
        <v>98</v>
      </c>
      <c r="G1053" s="226">
        <f t="shared" si="177"/>
        <v>13</v>
      </c>
      <c r="H1053" s="226" t="s">
        <v>16</v>
      </c>
      <c r="I1053" s="227" t="s">
        <v>44</v>
      </c>
      <c r="J1053" s="226" t="s">
        <v>45</v>
      </c>
      <c r="K1053" s="226" t="s">
        <v>19</v>
      </c>
      <c r="L1053" s="226">
        <f>L1042</f>
        <v>1</v>
      </c>
      <c r="M1053" s="228" t="str">
        <f t="shared" si="173"/>
        <v>570539-R2</v>
      </c>
      <c r="N1053" s="229">
        <v>1</v>
      </c>
      <c r="O1053" s="229"/>
    </row>
    <row r="1054" spans="1:15" x14ac:dyDescent="0.2">
      <c r="A1054" s="226">
        <v>1053</v>
      </c>
      <c r="B1054" s="226" t="str">
        <f t="shared" si="172"/>
        <v>SISTEMA MANIFOLDTANK SIZE 8LFK-5-1-121-14</v>
      </c>
      <c r="C1054" s="226">
        <f t="shared" si="176"/>
        <v>1</v>
      </c>
      <c r="D1054" s="226" t="s">
        <v>126</v>
      </c>
      <c r="E1054" s="226" t="s">
        <v>14</v>
      </c>
      <c r="F1054" s="226" t="s">
        <v>98</v>
      </c>
      <c r="G1054" s="226">
        <f t="shared" si="177"/>
        <v>14</v>
      </c>
      <c r="H1054" s="226" t="s">
        <v>16</v>
      </c>
      <c r="I1054" s="227">
        <v>570566</v>
      </c>
      <c r="J1054" s="226" t="s">
        <v>119</v>
      </c>
      <c r="K1054" s="226" t="s">
        <v>19</v>
      </c>
      <c r="L1054" s="230">
        <f>L1042</f>
        <v>1</v>
      </c>
      <c r="M1054" s="228">
        <f t="shared" si="173"/>
        <v>570566</v>
      </c>
      <c r="N1054" s="229">
        <v>1</v>
      </c>
      <c r="O1054" s="229"/>
    </row>
    <row r="1055" spans="1:15" x14ac:dyDescent="0.2">
      <c r="A1055" s="226">
        <v>1054</v>
      </c>
      <c r="B1055" s="226" t="str">
        <f t="shared" si="172"/>
        <v>SISTEMA MANIFOLDTANK SIZE 8LFK-5-1-121-15</v>
      </c>
      <c r="C1055" s="226">
        <f t="shared" si="176"/>
        <v>1</v>
      </c>
      <c r="D1055" s="226" t="s">
        <v>126</v>
      </c>
      <c r="E1055" s="226" t="s">
        <v>14</v>
      </c>
      <c r="F1055" s="226" t="s">
        <v>98</v>
      </c>
      <c r="G1055" s="226">
        <f t="shared" si="177"/>
        <v>15</v>
      </c>
      <c r="H1055" s="226" t="s">
        <v>16</v>
      </c>
      <c r="I1055" s="227">
        <v>570550</v>
      </c>
      <c r="J1055" s="226" t="s">
        <v>120</v>
      </c>
      <c r="K1055" s="226" t="s">
        <v>19</v>
      </c>
      <c r="L1055" s="226">
        <f>L1042-1</f>
        <v>0</v>
      </c>
      <c r="M1055" s="228">
        <f t="shared" si="173"/>
        <v>570550</v>
      </c>
      <c r="N1055" s="229">
        <v>1</v>
      </c>
      <c r="O1055" s="229"/>
    </row>
    <row r="1056" spans="1:15" x14ac:dyDescent="0.2">
      <c r="A1056" s="226">
        <v>1055</v>
      </c>
      <c r="B1056" s="226" t="str">
        <f t="shared" si="172"/>
        <v>SISTEMA MANIFOLDTANK SIZE 8LFK-5-1-121-16</v>
      </c>
      <c r="C1056" s="226">
        <f t="shared" si="176"/>
        <v>1</v>
      </c>
      <c r="D1056" s="226" t="s">
        <v>126</v>
      </c>
      <c r="E1056" s="226" t="s">
        <v>14</v>
      </c>
      <c r="F1056" s="226" t="s">
        <v>98</v>
      </c>
      <c r="G1056" s="226">
        <f t="shared" si="177"/>
        <v>16</v>
      </c>
      <c r="H1056" s="226" t="s">
        <v>16</v>
      </c>
      <c r="I1056" s="227">
        <v>32338</v>
      </c>
      <c r="J1056" s="226" t="s">
        <v>42</v>
      </c>
      <c r="K1056" s="226" t="s">
        <v>19</v>
      </c>
      <c r="L1056" s="226">
        <v>1</v>
      </c>
      <c r="M1056" s="228">
        <f t="shared" si="173"/>
        <v>32338</v>
      </c>
      <c r="N1056" s="229">
        <v>1</v>
      </c>
      <c r="O1056" s="229"/>
    </row>
    <row r="1057" spans="1:15" x14ac:dyDescent="0.2">
      <c r="A1057" s="226">
        <v>1056</v>
      </c>
      <c r="B1057" s="226" t="str">
        <f t="shared" si="172"/>
        <v>SISTEMA MANIFOLDTANK SIZE 8LFK-5-1-121-17</v>
      </c>
      <c r="C1057" s="226">
        <f t="shared" si="176"/>
        <v>1</v>
      </c>
      <c r="D1057" s="226" t="s">
        <v>126</v>
      </c>
      <c r="E1057" s="226" t="s">
        <v>14</v>
      </c>
      <c r="F1057" s="226" t="s">
        <v>98</v>
      </c>
      <c r="G1057" s="226">
        <f t="shared" si="177"/>
        <v>17</v>
      </c>
      <c r="H1057" s="226" t="s">
        <v>16</v>
      </c>
      <c r="I1057" s="227">
        <v>31810</v>
      </c>
      <c r="J1057" s="226" t="s">
        <v>121</v>
      </c>
      <c r="K1057" s="226" t="s">
        <v>19</v>
      </c>
      <c r="L1057" s="226">
        <v>1</v>
      </c>
      <c r="M1057" s="228">
        <f t="shared" si="173"/>
        <v>31810</v>
      </c>
      <c r="N1057" s="229">
        <v>1</v>
      </c>
      <c r="O1057" s="229"/>
    </row>
    <row r="1058" spans="1:15" x14ac:dyDescent="0.2">
      <c r="A1058" s="226">
        <v>1057</v>
      </c>
      <c r="B1058" s="226" t="str">
        <f t="shared" si="172"/>
        <v>SISTEMA MANIFOLDTANK SIZE 8LFK-5-1-121-18</v>
      </c>
      <c r="C1058" s="226">
        <f t="shared" si="176"/>
        <v>1</v>
      </c>
      <c r="D1058" s="226" t="s">
        <v>126</v>
      </c>
      <c r="E1058" s="226" t="s">
        <v>14</v>
      </c>
      <c r="F1058" s="226" t="s">
        <v>98</v>
      </c>
      <c r="G1058" s="226">
        <f t="shared" si="177"/>
        <v>18</v>
      </c>
      <c r="H1058" s="226" t="s">
        <v>16</v>
      </c>
      <c r="I1058" s="227">
        <v>32336</v>
      </c>
      <c r="J1058" s="226" t="s">
        <v>122</v>
      </c>
      <c r="K1058" s="226" t="s">
        <v>19</v>
      </c>
      <c r="L1058" s="226">
        <f>L1042-1</f>
        <v>0</v>
      </c>
      <c r="M1058" s="228">
        <f t="shared" si="173"/>
        <v>32336</v>
      </c>
      <c r="N1058" s="229">
        <v>1</v>
      </c>
      <c r="O1058" s="229"/>
    </row>
    <row r="1059" spans="1:15" x14ac:dyDescent="0.2">
      <c r="A1059" s="226">
        <v>1058</v>
      </c>
      <c r="B1059" s="226" t="str">
        <f t="shared" si="172"/>
        <v>SISTEMA MANIFOLDTANK SIZE 8LFK-5-1-121-19</v>
      </c>
      <c r="C1059" s="226">
        <f t="shared" si="176"/>
        <v>1</v>
      </c>
      <c r="D1059" s="226" t="s">
        <v>126</v>
      </c>
      <c r="E1059" s="226" t="s">
        <v>14</v>
      </c>
      <c r="F1059" s="226" t="s">
        <v>98</v>
      </c>
      <c r="G1059" s="226">
        <f t="shared" si="177"/>
        <v>19</v>
      </c>
      <c r="H1059" s="226" t="s">
        <v>16</v>
      </c>
      <c r="I1059" s="227">
        <v>31811</v>
      </c>
      <c r="J1059" s="226" t="s">
        <v>123</v>
      </c>
      <c r="K1059" s="226" t="s">
        <v>19</v>
      </c>
      <c r="L1059" s="226">
        <f>IF(L1042&gt;1,L1042-1,0)</f>
        <v>0</v>
      </c>
      <c r="M1059" s="228">
        <f t="shared" si="173"/>
        <v>31811</v>
      </c>
      <c r="N1059" s="229">
        <v>1</v>
      </c>
      <c r="O1059" s="229"/>
    </row>
    <row r="1060" spans="1:15" x14ac:dyDescent="0.2">
      <c r="A1060" s="226">
        <v>1059</v>
      </c>
      <c r="B1060" s="226" t="str">
        <f t="shared" si="172"/>
        <v>SISTEMA MANIFOLDTANK SIZE 8LFK-5-1-121-20</v>
      </c>
      <c r="C1060" s="226">
        <f t="shared" si="176"/>
        <v>1</v>
      </c>
      <c r="D1060" s="226" t="s">
        <v>126</v>
      </c>
      <c r="E1060" s="226" t="s">
        <v>14</v>
      </c>
      <c r="F1060" s="226" t="s">
        <v>98</v>
      </c>
      <c r="G1060" s="226">
        <f t="shared" si="177"/>
        <v>20</v>
      </c>
      <c r="M1060" s="228">
        <f t="shared" si="173"/>
        <v>0</v>
      </c>
      <c r="N1060" s="229">
        <v>1</v>
      </c>
      <c r="O1060" s="229"/>
    </row>
    <row r="1061" spans="1:15" x14ac:dyDescent="0.2">
      <c r="A1061" s="226">
        <v>1060</v>
      </c>
      <c r="B1061" s="226" t="str">
        <f t="shared" si="172"/>
        <v>SISTEMA MANIFOLDTANK SIZE 8LFK-5-1-121-21</v>
      </c>
      <c r="C1061" s="226">
        <f t="shared" si="176"/>
        <v>1</v>
      </c>
      <c r="D1061" s="226" t="s">
        <v>126</v>
      </c>
      <c r="E1061" s="226" t="s">
        <v>14</v>
      </c>
      <c r="F1061" s="226" t="s">
        <v>98</v>
      </c>
      <c r="G1061" s="226">
        <f t="shared" si="177"/>
        <v>21</v>
      </c>
      <c r="H1061" s="226" t="s">
        <v>16</v>
      </c>
      <c r="I1061" s="227">
        <v>437900</v>
      </c>
      <c r="J1061" s="226" t="s">
        <v>40</v>
      </c>
      <c r="K1061" s="226" t="s">
        <v>19</v>
      </c>
      <c r="L1061" s="226">
        <v>1</v>
      </c>
      <c r="M1061" s="228">
        <f t="shared" si="173"/>
        <v>437900</v>
      </c>
      <c r="N1061" s="229">
        <v>1</v>
      </c>
      <c r="O1061" s="229"/>
    </row>
    <row r="1062" spans="1:15" x14ac:dyDescent="0.2">
      <c r="A1062" s="226">
        <v>1061</v>
      </c>
      <c r="B1062" s="226" t="str">
        <f t="shared" si="172"/>
        <v>SISTEMA MANIFOLDTANK SIZE 8LFK-5-1-121-22</v>
      </c>
      <c r="C1062" s="226">
        <f t="shared" si="176"/>
        <v>1</v>
      </c>
      <c r="D1062" s="226" t="s">
        <v>126</v>
      </c>
      <c r="E1062" s="226" t="s">
        <v>14</v>
      </c>
      <c r="F1062" s="226" t="s">
        <v>98</v>
      </c>
      <c r="G1062" s="226">
        <f t="shared" si="177"/>
        <v>22</v>
      </c>
      <c r="H1062" s="226" t="s">
        <v>16</v>
      </c>
      <c r="I1062" s="227">
        <v>31811</v>
      </c>
      <c r="J1062" s="226" t="s">
        <v>123</v>
      </c>
      <c r="K1062" s="226" t="s">
        <v>19</v>
      </c>
      <c r="L1062" s="226">
        <v>1</v>
      </c>
      <c r="M1062" s="228">
        <f t="shared" si="173"/>
        <v>31811</v>
      </c>
      <c r="N1062" s="229">
        <v>1</v>
      </c>
      <c r="O1062" s="229"/>
    </row>
    <row r="1063" spans="1:15" x14ac:dyDescent="0.2">
      <c r="A1063" s="226">
        <v>1062</v>
      </c>
      <c r="B1063" s="226" t="str">
        <f t="shared" si="172"/>
        <v>SISTEMA MANIFOLDTANK SIZE 8LFK-5-1-121-23</v>
      </c>
      <c r="C1063" s="226">
        <f t="shared" si="176"/>
        <v>1</v>
      </c>
      <c r="D1063" s="226" t="s">
        <v>126</v>
      </c>
      <c r="E1063" s="226" t="s">
        <v>14</v>
      </c>
      <c r="F1063" s="226" t="s">
        <v>98</v>
      </c>
      <c r="G1063" s="226">
        <f t="shared" si="177"/>
        <v>23</v>
      </c>
      <c r="H1063" s="226" t="s">
        <v>16</v>
      </c>
      <c r="I1063" s="227">
        <v>73597</v>
      </c>
      <c r="J1063" s="226" t="s">
        <v>41</v>
      </c>
      <c r="K1063" s="226" t="s">
        <v>19</v>
      </c>
      <c r="L1063" s="226">
        <v>1</v>
      </c>
      <c r="M1063" s="228">
        <f t="shared" si="173"/>
        <v>73597</v>
      </c>
      <c r="N1063" s="229">
        <v>1</v>
      </c>
      <c r="O1063" s="229"/>
    </row>
    <row r="1064" spans="1:15" x14ac:dyDescent="0.2">
      <c r="A1064" s="226">
        <v>1063</v>
      </c>
      <c r="B1064" s="226" t="str">
        <f t="shared" si="172"/>
        <v>SISTEMA MANIFOLDTANK SIZE 8LFK-5-1-121-24</v>
      </c>
      <c r="C1064" s="226">
        <f t="shared" si="176"/>
        <v>1</v>
      </c>
      <c r="D1064" s="226" t="s">
        <v>126</v>
      </c>
      <c r="E1064" s="226" t="s">
        <v>14</v>
      </c>
      <c r="F1064" s="226" t="s">
        <v>98</v>
      </c>
      <c r="G1064" s="226">
        <f t="shared" si="177"/>
        <v>24</v>
      </c>
      <c r="H1064" s="226" t="s">
        <v>16</v>
      </c>
      <c r="I1064" s="227">
        <v>76498</v>
      </c>
      <c r="J1064" s="226" t="s">
        <v>46</v>
      </c>
      <c r="K1064" s="226" t="s">
        <v>19</v>
      </c>
      <c r="L1064" s="226">
        <v>1</v>
      </c>
      <c r="M1064" s="228">
        <f t="shared" si="173"/>
        <v>76498</v>
      </c>
      <c r="N1064" s="229">
        <v>1</v>
      </c>
      <c r="O1064" s="229"/>
    </row>
    <row r="1065" spans="1:15" x14ac:dyDescent="0.2">
      <c r="A1065" s="226">
        <v>1064</v>
      </c>
      <c r="B1065" s="226" t="str">
        <f t="shared" si="172"/>
        <v>-</v>
      </c>
      <c r="M1065" s="228">
        <f t="shared" si="173"/>
        <v>0</v>
      </c>
      <c r="N1065" s="229">
        <v>1</v>
      </c>
      <c r="O1065" s="229"/>
    </row>
    <row r="1066" spans="1:15" x14ac:dyDescent="0.2">
      <c r="A1066" s="226">
        <v>1065</v>
      </c>
      <c r="B1066" s="226" t="str">
        <f t="shared" si="172"/>
        <v>SISTEMA MANIFOLDTANK SIZE 16LFK-5-1-121-1</v>
      </c>
      <c r="C1066" s="226">
        <f>L1066</f>
        <v>1</v>
      </c>
      <c r="D1066" s="226" t="s">
        <v>126</v>
      </c>
      <c r="E1066" s="226" t="s">
        <v>47</v>
      </c>
      <c r="F1066" s="226" t="s">
        <v>98</v>
      </c>
      <c r="G1066" s="226">
        <v>1</v>
      </c>
      <c r="H1066" s="226" t="s">
        <v>16</v>
      </c>
      <c r="I1066" s="227" t="s">
        <v>17</v>
      </c>
      <c r="J1066" s="226" t="s">
        <v>48</v>
      </c>
      <c r="K1066" s="226" t="s">
        <v>19</v>
      </c>
      <c r="L1066" s="226">
        <f>'COT AGENTES'!$H$3</f>
        <v>1</v>
      </c>
      <c r="M1066" s="228" t="s">
        <v>49</v>
      </c>
      <c r="N1066" s="229">
        <v>1</v>
      </c>
      <c r="O1066" s="229"/>
    </row>
    <row r="1067" spans="1:15" x14ac:dyDescent="0.2">
      <c r="A1067" s="226">
        <v>1066</v>
      </c>
      <c r="B1067" s="226" t="str">
        <f t="shared" si="172"/>
        <v>SISTEMA MANIFOLDTANK SIZE 16LFK-5-1-121-2</v>
      </c>
      <c r="C1067" s="226">
        <f>C1066</f>
        <v>1</v>
      </c>
      <c r="D1067" s="226" t="s">
        <v>126</v>
      </c>
      <c r="E1067" s="226" t="s">
        <v>47</v>
      </c>
      <c r="F1067" s="226" t="s">
        <v>98</v>
      </c>
      <c r="G1067" s="226">
        <f t="shared" ref="G1067" si="178">+G1066+1</f>
        <v>2</v>
      </c>
      <c r="H1067" s="226" t="s">
        <v>16</v>
      </c>
      <c r="I1067" s="227">
        <v>445733</v>
      </c>
      <c r="J1067" s="226" t="s">
        <v>107</v>
      </c>
      <c r="K1067" s="226" t="s">
        <v>19</v>
      </c>
      <c r="L1067" s="226">
        <f>L1066</f>
        <v>1</v>
      </c>
      <c r="M1067" s="228">
        <f t="shared" si="173"/>
        <v>445733</v>
      </c>
      <c r="N1067" s="229">
        <v>1</v>
      </c>
      <c r="O1067" s="229"/>
    </row>
    <row r="1068" spans="1:15" x14ac:dyDescent="0.2">
      <c r="A1068" s="226">
        <v>1067</v>
      </c>
      <c r="B1068" s="226" t="str">
        <f t="shared" si="172"/>
        <v>SISTEMA MANIFOLDTANK SIZE 16LFK-5-1-121-3</v>
      </c>
      <c r="C1068" s="226">
        <f t="shared" ref="C1068:C1089" si="179">C1067</f>
        <v>1</v>
      </c>
      <c r="D1068" s="226" t="s">
        <v>126</v>
      </c>
      <c r="E1068" s="226" t="s">
        <v>47</v>
      </c>
      <c r="F1068" s="226" t="s">
        <v>98</v>
      </c>
      <c r="G1068" s="226">
        <f>+G1067+1</f>
        <v>3</v>
      </c>
      <c r="H1068" s="226" t="s">
        <v>16</v>
      </c>
      <c r="I1068" s="227" t="s">
        <v>98</v>
      </c>
      <c r="J1068" s="226" t="s">
        <v>100</v>
      </c>
      <c r="K1068" s="226" t="s">
        <v>19</v>
      </c>
      <c r="L1068" s="230">
        <f>'COT AGENTES'!$H$5</f>
        <v>2</v>
      </c>
      <c r="M1068" s="228" t="str">
        <f t="shared" si="173"/>
        <v>FK-5-1-12</v>
      </c>
      <c r="N1068" s="229">
        <v>1</v>
      </c>
      <c r="O1068" s="229"/>
    </row>
    <row r="1069" spans="1:15" x14ac:dyDescent="0.2">
      <c r="A1069" s="226">
        <v>1068</v>
      </c>
      <c r="B1069" s="226" t="str">
        <f t="shared" si="172"/>
        <v>SISTEMA MANIFOLDTANK SIZE 16LFK-5-1-121-4</v>
      </c>
      <c r="C1069" s="226">
        <f t="shared" si="179"/>
        <v>1</v>
      </c>
      <c r="D1069" s="226" t="s">
        <v>126</v>
      </c>
      <c r="E1069" s="226" t="s">
        <v>47</v>
      </c>
      <c r="F1069" s="226" t="s">
        <v>98</v>
      </c>
      <c r="G1069" s="226">
        <f t="shared" ref="G1069:G1089" si="180">+G1068+1</f>
        <v>4</v>
      </c>
      <c r="H1069" s="226" t="s">
        <v>16</v>
      </c>
      <c r="I1069" s="227">
        <v>302207021</v>
      </c>
      <c r="J1069" s="226" t="s">
        <v>101</v>
      </c>
      <c r="K1069" s="226" t="s">
        <v>19</v>
      </c>
      <c r="L1069" s="226">
        <f>L1067</f>
        <v>1</v>
      </c>
      <c r="M1069" s="228">
        <f t="shared" si="173"/>
        <v>302207021</v>
      </c>
      <c r="N1069" s="229">
        <v>1</v>
      </c>
      <c r="O1069" s="229"/>
    </row>
    <row r="1070" spans="1:15" x14ac:dyDescent="0.2">
      <c r="A1070" s="226">
        <v>1069</v>
      </c>
      <c r="B1070" s="226" t="str">
        <f t="shared" si="172"/>
        <v>SISTEMA MANIFOLDTANK SIZE 16LFK-5-1-121-5</v>
      </c>
      <c r="C1070" s="226">
        <f t="shared" si="179"/>
        <v>1</v>
      </c>
      <c r="D1070" s="226" t="s">
        <v>126</v>
      </c>
      <c r="E1070" s="226" t="s">
        <v>47</v>
      </c>
      <c r="F1070" s="226" t="s">
        <v>98</v>
      </c>
      <c r="G1070" s="226">
        <f t="shared" si="180"/>
        <v>5</v>
      </c>
      <c r="H1070" s="226" t="s">
        <v>16</v>
      </c>
      <c r="I1070" s="227">
        <v>314207207</v>
      </c>
      <c r="J1070" s="226" t="s">
        <v>102</v>
      </c>
      <c r="K1070" s="226" t="s">
        <v>19</v>
      </c>
      <c r="L1070" s="226">
        <f>L1067</f>
        <v>1</v>
      </c>
      <c r="M1070" s="228">
        <f t="shared" si="173"/>
        <v>314207207</v>
      </c>
      <c r="N1070" s="229">
        <v>1</v>
      </c>
      <c r="O1070" s="229"/>
    </row>
    <row r="1071" spans="1:15" x14ac:dyDescent="0.2">
      <c r="A1071" s="226">
        <v>1070</v>
      </c>
      <c r="B1071" s="226" t="str">
        <f t="shared" ref="B1071:B1134" si="181">D1071&amp;E1071&amp;F1071&amp;C1071&amp;"-"&amp;G1071&amp;IF(M1071&lt;&gt;"",O1071,"")</f>
        <v>SISTEMA MANIFOLDTANK SIZE 16LFK-5-1-121-6</v>
      </c>
      <c r="C1071" s="226">
        <f t="shared" si="179"/>
        <v>1</v>
      </c>
      <c r="D1071" s="226" t="s">
        <v>126</v>
      </c>
      <c r="E1071" s="226" t="s">
        <v>47</v>
      </c>
      <c r="F1071" s="226" t="s">
        <v>98</v>
      </c>
      <c r="G1071" s="226">
        <f t="shared" si="180"/>
        <v>6</v>
      </c>
      <c r="H1071" s="226" t="s">
        <v>16</v>
      </c>
      <c r="I1071" s="227">
        <v>570585</v>
      </c>
      <c r="J1071" s="226" t="s">
        <v>26</v>
      </c>
      <c r="K1071" s="226" t="s">
        <v>19</v>
      </c>
      <c r="L1071" s="226">
        <f>L1067</f>
        <v>1</v>
      </c>
      <c r="M1071" s="228">
        <f t="shared" si="173"/>
        <v>570585</v>
      </c>
      <c r="N1071" s="229">
        <v>1</v>
      </c>
      <c r="O1071" s="229"/>
    </row>
    <row r="1072" spans="1:15" x14ac:dyDescent="0.2">
      <c r="A1072" s="226">
        <v>1071</v>
      </c>
      <c r="B1072" s="226" t="str">
        <f t="shared" si="181"/>
        <v>SISTEMA MANIFOLDTANK SIZE 16LFK-5-1-121-7</v>
      </c>
      <c r="C1072" s="226">
        <f t="shared" si="179"/>
        <v>1</v>
      </c>
      <c r="D1072" s="226" t="s">
        <v>126</v>
      </c>
      <c r="E1072" s="226" t="s">
        <v>47</v>
      </c>
      <c r="F1072" s="226" t="s">
        <v>98</v>
      </c>
      <c r="G1072" s="226">
        <f t="shared" si="180"/>
        <v>7</v>
      </c>
      <c r="H1072" s="226" t="s">
        <v>16</v>
      </c>
      <c r="I1072" s="227">
        <v>304205030</v>
      </c>
      <c r="J1072" s="226" t="s">
        <v>27</v>
      </c>
      <c r="K1072" s="226" t="s">
        <v>19</v>
      </c>
      <c r="L1072" s="226">
        <v>1</v>
      </c>
      <c r="M1072" s="228">
        <f t="shared" ref="M1072:M1135" si="182">I1072</f>
        <v>304205030</v>
      </c>
      <c r="N1072" s="229">
        <v>1</v>
      </c>
      <c r="O1072" s="229"/>
    </row>
    <row r="1073" spans="1:15" x14ac:dyDescent="0.2">
      <c r="A1073" s="226">
        <v>1072</v>
      </c>
      <c r="B1073" s="226" t="str">
        <f t="shared" si="181"/>
        <v>SISTEMA MANIFOLDTANK SIZE 16LFK-5-1-121-8</v>
      </c>
      <c r="C1073" s="226">
        <f t="shared" si="179"/>
        <v>1</v>
      </c>
      <c r="D1073" s="226" t="s">
        <v>126</v>
      </c>
      <c r="E1073" s="226" t="s">
        <v>47</v>
      </c>
      <c r="F1073" s="226" t="s">
        <v>98</v>
      </c>
      <c r="G1073" s="226">
        <f t="shared" si="180"/>
        <v>8</v>
      </c>
      <c r="H1073" s="226" t="s">
        <v>16</v>
      </c>
      <c r="I1073" s="227" t="s">
        <v>28</v>
      </c>
      <c r="J1073" s="226" t="s">
        <v>29</v>
      </c>
      <c r="K1073" s="226" t="s">
        <v>19</v>
      </c>
      <c r="L1073" s="226">
        <f>L1072</f>
        <v>1</v>
      </c>
      <c r="M1073" s="228" t="str">
        <f t="shared" si="182"/>
        <v>A1638150HY</v>
      </c>
      <c r="N1073" s="229">
        <v>1</v>
      </c>
      <c r="O1073" s="229"/>
    </row>
    <row r="1074" spans="1:15" x14ac:dyDescent="0.2">
      <c r="A1074" s="226">
        <v>1073</v>
      </c>
      <c r="B1074" s="226" t="str">
        <f t="shared" si="181"/>
        <v>SISTEMA MANIFOLDTANK SIZE 16LFK-5-1-121-9</v>
      </c>
      <c r="C1074" s="226">
        <f t="shared" si="179"/>
        <v>1</v>
      </c>
      <c r="D1074" s="226" t="s">
        <v>126</v>
      </c>
      <c r="E1074" s="226" t="s">
        <v>47</v>
      </c>
      <c r="F1074" s="226" t="s">
        <v>98</v>
      </c>
      <c r="G1074" s="226">
        <f t="shared" si="180"/>
        <v>9</v>
      </c>
      <c r="H1074" s="226" t="s">
        <v>16</v>
      </c>
      <c r="I1074" s="227" t="s">
        <v>30</v>
      </c>
      <c r="J1074" s="226" t="s">
        <v>31</v>
      </c>
      <c r="K1074" s="226" t="s">
        <v>19</v>
      </c>
      <c r="L1074" s="226">
        <f>L1067*2</f>
        <v>2</v>
      </c>
      <c r="M1074" s="228" t="str">
        <f t="shared" si="182"/>
        <v>570085-R2</v>
      </c>
      <c r="N1074" s="229">
        <v>1</v>
      </c>
      <c r="O1074" s="229"/>
    </row>
    <row r="1075" spans="1:15" x14ac:dyDescent="0.2">
      <c r="A1075" s="226">
        <v>1074</v>
      </c>
      <c r="B1075" s="226" t="str">
        <f t="shared" si="181"/>
        <v>SISTEMA MANIFOLDTANK SIZE 16LFK-5-1-121-10</v>
      </c>
      <c r="C1075" s="226">
        <f t="shared" si="179"/>
        <v>1</v>
      </c>
      <c r="D1075" s="226" t="s">
        <v>126</v>
      </c>
      <c r="E1075" s="226" t="s">
        <v>47</v>
      </c>
      <c r="F1075" s="226" t="s">
        <v>98</v>
      </c>
      <c r="G1075" s="226">
        <f t="shared" si="180"/>
        <v>10</v>
      </c>
      <c r="H1075" s="226" t="s">
        <v>16</v>
      </c>
      <c r="I1075" s="227" t="s">
        <v>32</v>
      </c>
      <c r="J1075" s="226" t="s">
        <v>33</v>
      </c>
      <c r="K1075" s="226" t="s">
        <v>19</v>
      </c>
      <c r="L1075" s="230">
        <f>'COT AGENTES'!$M$11</f>
        <v>1</v>
      </c>
      <c r="M1075" s="228" t="s">
        <v>51</v>
      </c>
      <c r="N1075" s="229">
        <v>1</v>
      </c>
      <c r="O1075" s="229"/>
    </row>
    <row r="1076" spans="1:15" x14ac:dyDescent="0.2">
      <c r="A1076" s="226">
        <v>1075</v>
      </c>
      <c r="B1076" s="226" t="str">
        <f t="shared" si="181"/>
        <v>SISTEMA MANIFOLDTANK SIZE 16LFK-5-1-121-11</v>
      </c>
      <c r="C1076" s="226">
        <f t="shared" si="179"/>
        <v>1</v>
      </c>
      <c r="D1076" s="226" t="s">
        <v>126</v>
      </c>
      <c r="E1076" s="226" t="s">
        <v>47</v>
      </c>
      <c r="F1076" s="226" t="s">
        <v>98</v>
      </c>
      <c r="G1076" s="226">
        <f t="shared" si="180"/>
        <v>11</v>
      </c>
      <c r="H1076" s="226" t="s">
        <v>16</v>
      </c>
      <c r="I1076" s="227" t="s">
        <v>103</v>
      </c>
      <c r="J1076" s="226" t="s">
        <v>104</v>
      </c>
      <c r="K1076" s="226" t="s">
        <v>19</v>
      </c>
      <c r="L1076" s="226">
        <v>1</v>
      </c>
      <c r="M1076" s="228" t="str">
        <f t="shared" si="182"/>
        <v>314207101-R2</v>
      </c>
      <c r="N1076" s="229">
        <v>1</v>
      </c>
      <c r="O1076" s="229"/>
    </row>
    <row r="1077" spans="1:15" x14ac:dyDescent="0.2">
      <c r="A1077" s="226">
        <v>1076</v>
      </c>
      <c r="B1077" s="226" t="str">
        <f t="shared" si="181"/>
        <v>SISTEMA MANIFOLDTANK SIZE 16LFK-5-1-121-12</v>
      </c>
      <c r="C1077" s="226">
        <f t="shared" si="179"/>
        <v>1</v>
      </c>
      <c r="D1077" s="226" t="s">
        <v>126</v>
      </c>
      <c r="E1077" s="226" t="s">
        <v>47</v>
      </c>
      <c r="F1077" s="226" t="s">
        <v>98</v>
      </c>
      <c r="G1077" s="226">
        <f t="shared" si="180"/>
        <v>12</v>
      </c>
      <c r="H1077" s="226" t="s">
        <v>16</v>
      </c>
      <c r="I1077" s="227" t="s">
        <v>105</v>
      </c>
      <c r="J1077" s="226" t="s">
        <v>106</v>
      </c>
      <c r="K1077" s="226" t="s">
        <v>19</v>
      </c>
      <c r="L1077" s="226">
        <v>1</v>
      </c>
      <c r="M1077" s="228" t="str">
        <f t="shared" si="182"/>
        <v>314207103-R2</v>
      </c>
      <c r="N1077" s="229">
        <v>1</v>
      </c>
      <c r="O1077" s="229"/>
    </row>
    <row r="1078" spans="1:15" x14ac:dyDescent="0.2">
      <c r="A1078" s="226">
        <v>1077</v>
      </c>
      <c r="B1078" s="226" t="str">
        <f t="shared" si="181"/>
        <v>SISTEMA MANIFOLDTANK SIZE 16LFK-5-1-121-13</v>
      </c>
      <c r="C1078" s="226">
        <f t="shared" si="179"/>
        <v>1</v>
      </c>
      <c r="D1078" s="226" t="s">
        <v>126</v>
      </c>
      <c r="E1078" s="226" t="s">
        <v>47</v>
      </c>
      <c r="F1078" s="226" t="s">
        <v>98</v>
      </c>
      <c r="G1078" s="226">
        <f t="shared" si="180"/>
        <v>13</v>
      </c>
      <c r="H1078" s="226" t="s">
        <v>16</v>
      </c>
      <c r="I1078" s="227" t="s">
        <v>44</v>
      </c>
      <c r="J1078" s="226" t="s">
        <v>45</v>
      </c>
      <c r="K1078" s="226" t="s">
        <v>19</v>
      </c>
      <c r="L1078" s="226">
        <f>L1067</f>
        <v>1</v>
      </c>
      <c r="M1078" s="228" t="str">
        <f t="shared" si="182"/>
        <v>570539-R2</v>
      </c>
      <c r="N1078" s="229">
        <v>1</v>
      </c>
      <c r="O1078" s="229"/>
    </row>
    <row r="1079" spans="1:15" x14ac:dyDescent="0.2">
      <c r="A1079" s="226">
        <v>1078</v>
      </c>
      <c r="B1079" s="226" t="str">
        <f t="shared" si="181"/>
        <v>SISTEMA MANIFOLDTANK SIZE 16LFK-5-1-121-14</v>
      </c>
      <c r="C1079" s="226">
        <f t="shared" si="179"/>
        <v>1</v>
      </c>
      <c r="D1079" s="226" t="s">
        <v>126</v>
      </c>
      <c r="E1079" s="226" t="s">
        <v>47</v>
      </c>
      <c r="F1079" s="226" t="s">
        <v>98</v>
      </c>
      <c r="G1079" s="226">
        <f t="shared" si="180"/>
        <v>14</v>
      </c>
      <c r="H1079" s="226" t="s">
        <v>16</v>
      </c>
      <c r="I1079" s="227">
        <v>570566</v>
      </c>
      <c r="J1079" s="226" t="s">
        <v>119</v>
      </c>
      <c r="K1079" s="226" t="s">
        <v>19</v>
      </c>
      <c r="L1079" s="226">
        <f>L1067</f>
        <v>1</v>
      </c>
      <c r="M1079" s="228">
        <f t="shared" si="182"/>
        <v>570566</v>
      </c>
      <c r="N1079" s="229">
        <v>1</v>
      </c>
      <c r="O1079" s="229"/>
    </row>
    <row r="1080" spans="1:15" x14ac:dyDescent="0.2">
      <c r="A1080" s="226">
        <v>1079</v>
      </c>
      <c r="B1080" s="226" t="str">
        <f t="shared" si="181"/>
        <v>SISTEMA MANIFOLDTANK SIZE 16LFK-5-1-121-15</v>
      </c>
      <c r="C1080" s="226">
        <f t="shared" si="179"/>
        <v>1</v>
      </c>
      <c r="D1080" s="226" t="s">
        <v>126</v>
      </c>
      <c r="E1080" s="226" t="s">
        <v>47</v>
      </c>
      <c r="F1080" s="226" t="s">
        <v>98</v>
      </c>
      <c r="G1080" s="226">
        <f t="shared" si="180"/>
        <v>15</v>
      </c>
      <c r="H1080" s="226" t="s">
        <v>16</v>
      </c>
      <c r="I1080" s="227">
        <v>570550</v>
      </c>
      <c r="J1080" s="226" t="s">
        <v>120</v>
      </c>
      <c r="K1080" s="226" t="s">
        <v>19</v>
      </c>
      <c r="L1080" s="226">
        <f>L1067-1</f>
        <v>0</v>
      </c>
      <c r="M1080" s="228">
        <f t="shared" si="182"/>
        <v>570550</v>
      </c>
      <c r="N1080" s="229">
        <v>1</v>
      </c>
      <c r="O1080" s="229"/>
    </row>
    <row r="1081" spans="1:15" x14ac:dyDescent="0.2">
      <c r="A1081" s="226">
        <v>1080</v>
      </c>
      <c r="B1081" s="226" t="str">
        <f t="shared" si="181"/>
        <v>SISTEMA MANIFOLDTANK SIZE 16LFK-5-1-121-16</v>
      </c>
      <c r="C1081" s="226">
        <f t="shared" si="179"/>
        <v>1</v>
      </c>
      <c r="D1081" s="226" t="s">
        <v>126</v>
      </c>
      <c r="E1081" s="226" t="s">
        <v>47</v>
      </c>
      <c r="F1081" s="226" t="s">
        <v>98</v>
      </c>
      <c r="G1081" s="226">
        <f t="shared" si="180"/>
        <v>16</v>
      </c>
      <c r="H1081" s="226" t="s">
        <v>16</v>
      </c>
      <c r="I1081" s="227">
        <v>32338</v>
      </c>
      <c r="J1081" s="226" t="s">
        <v>42</v>
      </c>
      <c r="K1081" s="226" t="s">
        <v>19</v>
      </c>
      <c r="L1081" s="226">
        <v>1</v>
      </c>
      <c r="M1081" s="228">
        <f t="shared" si="182"/>
        <v>32338</v>
      </c>
      <c r="N1081" s="229">
        <v>1</v>
      </c>
      <c r="O1081" s="229"/>
    </row>
    <row r="1082" spans="1:15" x14ac:dyDescent="0.2">
      <c r="A1082" s="226">
        <v>1081</v>
      </c>
      <c r="B1082" s="226" t="str">
        <f t="shared" si="181"/>
        <v>SISTEMA MANIFOLDTANK SIZE 16LFK-5-1-121-17</v>
      </c>
      <c r="C1082" s="226">
        <f t="shared" si="179"/>
        <v>1</v>
      </c>
      <c r="D1082" s="226" t="s">
        <v>126</v>
      </c>
      <c r="E1082" s="226" t="s">
        <v>47</v>
      </c>
      <c r="F1082" s="226" t="s">
        <v>98</v>
      </c>
      <c r="G1082" s="226">
        <f t="shared" si="180"/>
        <v>17</v>
      </c>
      <c r="H1082" s="226" t="s">
        <v>16</v>
      </c>
      <c r="I1082" s="227">
        <v>31810</v>
      </c>
      <c r="J1082" s="226" t="s">
        <v>121</v>
      </c>
      <c r="K1082" s="226" t="s">
        <v>19</v>
      </c>
      <c r="L1082" s="226">
        <v>1</v>
      </c>
      <c r="M1082" s="228">
        <f t="shared" si="182"/>
        <v>31810</v>
      </c>
      <c r="N1082" s="229">
        <v>1</v>
      </c>
      <c r="O1082" s="229"/>
    </row>
    <row r="1083" spans="1:15" x14ac:dyDescent="0.2">
      <c r="A1083" s="226">
        <v>1082</v>
      </c>
      <c r="B1083" s="226" t="str">
        <f t="shared" si="181"/>
        <v>SISTEMA MANIFOLDTANK SIZE 16LFK-5-1-121-18</v>
      </c>
      <c r="C1083" s="226">
        <f t="shared" si="179"/>
        <v>1</v>
      </c>
      <c r="D1083" s="226" t="s">
        <v>126</v>
      </c>
      <c r="E1083" s="226" t="s">
        <v>47</v>
      </c>
      <c r="F1083" s="226" t="s">
        <v>98</v>
      </c>
      <c r="G1083" s="226">
        <f t="shared" si="180"/>
        <v>18</v>
      </c>
      <c r="H1083" s="226" t="s">
        <v>16</v>
      </c>
      <c r="I1083" s="227">
        <v>32336</v>
      </c>
      <c r="J1083" s="226" t="s">
        <v>122</v>
      </c>
      <c r="K1083" s="226" t="s">
        <v>19</v>
      </c>
      <c r="L1083" s="226">
        <f>L1067-1</f>
        <v>0</v>
      </c>
      <c r="M1083" s="228">
        <f t="shared" si="182"/>
        <v>32336</v>
      </c>
      <c r="N1083" s="229">
        <v>1</v>
      </c>
      <c r="O1083" s="229"/>
    </row>
    <row r="1084" spans="1:15" x14ac:dyDescent="0.2">
      <c r="A1084" s="226">
        <v>1083</v>
      </c>
      <c r="B1084" s="226" t="str">
        <f t="shared" si="181"/>
        <v>SISTEMA MANIFOLDTANK SIZE 16LFK-5-1-121-19</v>
      </c>
      <c r="C1084" s="226">
        <f t="shared" si="179"/>
        <v>1</v>
      </c>
      <c r="D1084" s="226" t="s">
        <v>126</v>
      </c>
      <c r="E1084" s="226" t="s">
        <v>47</v>
      </c>
      <c r="F1084" s="226" t="s">
        <v>98</v>
      </c>
      <c r="G1084" s="226">
        <f t="shared" si="180"/>
        <v>19</v>
      </c>
      <c r="H1084" s="226" t="s">
        <v>16</v>
      </c>
      <c r="I1084" s="227">
        <v>31811</v>
      </c>
      <c r="J1084" s="226" t="s">
        <v>123</v>
      </c>
      <c r="K1084" s="226" t="s">
        <v>19</v>
      </c>
      <c r="L1084" s="226">
        <f>IF(L1067&gt;1,L1067-1,0)</f>
        <v>0</v>
      </c>
      <c r="M1084" s="228">
        <f t="shared" si="182"/>
        <v>31811</v>
      </c>
      <c r="N1084" s="229">
        <v>1</v>
      </c>
      <c r="O1084" s="229"/>
    </row>
    <row r="1085" spans="1:15" x14ac:dyDescent="0.2">
      <c r="A1085" s="226">
        <v>1084</v>
      </c>
      <c r="B1085" s="226" t="str">
        <f t="shared" si="181"/>
        <v>SISTEMA MANIFOLDTANK SIZE 16LFK-5-1-121-20</v>
      </c>
      <c r="C1085" s="226">
        <f t="shared" si="179"/>
        <v>1</v>
      </c>
      <c r="D1085" s="226" t="s">
        <v>126</v>
      </c>
      <c r="E1085" s="226" t="s">
        <v>47</v>
      </c>
      <c r="F1085" s="226" t="s">
        <v>98</v>
      </c>
      <c r="G1085" s="226">
        <f t="shared" si="180"/>
        <v>20</v>
      </c>
      <c r="M1085" s="228">
        <f t="shared" si="182"/>
        <v>0</v>
      </c>
      <c r="N1085" s="229">
        <v>1</v>
      </c>
      <c r="O1085" s="229"/>
    </row>
    <row r="1086" spans="1:15" x14ac:dyDescent="0.2">
      <c r="A1086" s="226">
        <v>1085</v>
      </c>
      <c r="B1086" s="226" t="str">
        <f t="shared" si="181"/>
        <v>SISTEMA MANIFOLDTANK SIZE 16LFK-5-1-121-21</v>
      </c>
      <c r="C1086" s="226">
        <f t="shared" si="179"/>
        <v>1</v>
      </c>
      <c r="D1086" s="226" t="s">
        <v>126</v>
      </c>
      <c r="E1086" s="226" t="s">
        <v>47</v>
      </c>
      <c r="F1086" s="226" t="s">
        <v>98</v>
      </c>
      <c r="G1086" s="226">
        <f t="shared" si="180"/>
        <v>21</v>
      </c>
      <c r="H1086" s="226" t="s">
        <v>16</v>
      </c>
      <c r="I1086" s="227">
        <v>437900</v>
      </c>
      <c r="J1086" s="226" t="s">
        <v>40</v>
      </c>
      <c r="K1086" s="226" t="s">
        <v>19</v>
      </c>
      <c r="L1086" s="226">
        <v>1</v>
      </c>
      <c r="M1086" s="228">
        <f t="shared" si="182"/>
        <v>437900</v>
      </c>
      <c r="N1086" s="229">
        <v>1</v>
      </c>
      <c r="O1086" s="229"/>
    </row>
    <row r="1087" spans="1:15" x14ac:dyDescent="0.2">
      <c r="A1087" s="226">
        <v>1086</v>
      </c>
      <c r="B1087" s="226" t="str">
        <f t="shared" si="181"/>
        <v>SISTEMA MANIFOLDTANK SIZE 16LFK-5-1-121-22</v>
      </c>
      <c r="C1087" s="226">
        <f t="shared" si="179"/>
        <v>1</v>
      </c>
      <c r="D1087" s="226" t="s">
        <v>126</v>
      </c>
      <c r="E1087" s="226" t="s">
        <v>47</v>
      </c>
      <c r="F1087" s="226" t="s">
        <v>98</v>
      </c>
      <c r="G1087" s="226">
        <f t="shared" si="180"/>
        <v>22</v>
      </c>
      <c r="H1087" s="226" t="s">
        <v>16</v>
      </c>
      <c r="I1087" s="227">
        <v>31811</v>
      </c>
      <c r="J1087" s="226" t="s">
        <v>123</v>
      </c>
      <c r="K1087" s="226" t="s">
        <v>19</v>
      </c>
      <c r="L1087" s="226">
        <v>1</v>
      </c>
      <c r="M1087" s="228">
        <f t="shared" si="182"/>
        <v>31811</v>
      </c>
      <c r="N1087" s="229">
        <v>1</v>
      </c>
      <c r="O1087" s="229"/>
    </row>
    <row r="1088" spans="1:15" x14ac:dyDescent="0.2">
      <c r="A1088" s="226">
        <v>1087</v>
      </c>
      <c r="B1088" s="226" t="str">
        <f t="shared" si="181"/>
        <v>SISTEMA MANIFOLDTANK SIZE 16LFK-5-1-121-23</v>
      </c>
      <c r="C1088" s="226">
        <f t="shared" si="179"/>
        <v>1</v>
      </c>
      <c r="D1088" s="226" t="s">
        <v>126</v>
      </c>
      <c r="E1088" s="226" t="s">
        <v>47</v>
      </c>
      <c r="F1088" s="226" t="s">
        <v>98</v>
      </c>
      <c r="G1088" s="226">
        <f t="shared" si="180"/>
        <v>23</v>
      </c>
      <c r="H1088" s="226" t="s">
        <v>16</v>
      </c>
      <c r="I1088" s="227">
        <v>73597</v>
      </c>
      <c r="J1088" s="226" t="s">
        <v>41</v>
      </c>
      <c r="K1088" s="226" t="s">
        <v>19</v>
      </c>
      <c r="L1088" s="226">
        <v>1</v>
      </c>
      <c r="M1088" s="228">
        <f t="shared" si="182"/>
        <v>73597</v>
      </c>
      <c r="N1088" s="229">
        <v>1</v>
      </c>
      <c r="O1088" s="229"/>
    </row>
    <row r="1089" spans="1:15" x14ac:dyDescent="0.2">
      <c r="A1089" s="226">
        <v>1088</v>
      </c>
      <c r="B1089" s="226" t="str">
        <f t="shared" si="181"/>
        <v>SISTEMA MANIFOLDTANK SIZE 16LFK-5-1-121-24</v>
      </c>
      <c r="C1089" s="226">
        <f t="shared" si="179"/>
        <v>1</v>
      </c>
      <c r="D1089" s="226" t="s">
        <v>126</v>
      </c>
      <c r="E1089" s="226" t="s">
        <v>47</v>
      </c>
      <c r="F1089" s="226" t="s">
        <v>98</v>
      </c>
      <c r="G1089" s="226">
        <f t="shared" si="180"/>
        <v>24</v>
      </c>
      <c r="H1089" s="226" t="s">
        <v>16</v>
      </c>
      <c r="I1089" s="227">
        <v>76498</v>
      </c>
      <c r="J1089" s="226" t="s">
        <v>46</v>
      </c>
      <c r="K1089" s="226" t="s">
        <v>19</v>
      </c>
      <c r="L1089" s="226">
        <v>1</v>
      </c>
      <c r="M1089" s="228">
        <f t="shared" si="182"/>
        <v>76498</v>
      </c>
      <c r="N1089" s="229">
        <v>1</v>
      </c>
      <c r="O1089" s="229"/>
    </row>
    <row r="1090" spans="1:15" x14ac:dyDescent="0.2">
      <c r="A1090" s="226">
        <v>1089</v>
      </c>
      <c r="B1090" s="226" t="str">
        <f t="shared" si="181"/>
        <v>-</v>
      </c>
      <c r="M1090" s="228">
        <f t="shared" si="182"/>
        <v>0</v>
      </c>
      <c r="N1090" s="229">
        <v>1</v>
      </c>
      <c r="O1090" s="229"/>
    </row>
    <row r="1091" spans="1:15" x14ac:dyDescent="0.2">
      <c r="A1091" s="226">
        <v>1090</v>
      </c>
      <c r="B1091" s="226" t="str">
        <f t="shared" si="181"/>
        <v>SISTEMA MANIFOLDTANK SIZE 32LFK-5-1-121-1</v>
      </c>
      <c r="C1091" s="226">
        <f>L1091</f>
        <v>1</v>
      </c>
      <c r="D1091" s="226" t="s">
        <v>126</v>
      </c>
      <c r="E1091" s="226" t="s">
        <v>52</v>
      </c>
      <c r="F1091" s="226" t="s">
        <v>98</v>
      </c>
      <c r="G1091" s="226">
        <v>1</v>
      </c>
      <c r="H1091" s="226" t="s">
        <v>16</v>
      </c>
      <c r="I1091" s="227" t="s">
        <v>17</v>
      </c>
      <c r="J1091" s="226" t="s">
        <v>53</v>
      </c>
      <c r="K1091" s="226" t="s">
        <v>19</v>
      </c>
      <c r="L1091" s="226">
        <f>'COT AGENTES'!$H$3</f>
        <v>1</v>
      </c>
      <c r="M1091" s="228" t="s">
        <v>54</v>
      </c>
      <c r="N1091" s="229">
        <v>1</v>
      </c>
      <c r="O1091" s="229"/>
    </row>
    <row r="1092" spans="1:15" x14ac:dyDescent="0.2">
      <c r="A1092" s="226">
        <v>1091</v>
      </c>
      <c r="B1092" s="226" t="str">
        <f t="shared" si="181"/>
        <v>SISTEMA MANIFOLDTANK SIZE 32LFK-5-1-121-2</v>
      </c>
      <c r="C1092" s="226">
        <f>C1091</f>
        <v>1</v>
      </c>
      <c r="D1092" s="226" t="s">
        <v>126</v>
      </c>
      <c r="E1092" s="226" t="s">
        <v>52</v>
      </c>
      <c r="F1092" s="226" t="s">
        <v>98</v>
      </c>
      <c r="G1092" s="226">
        <f t="shared" ref="G1092:G1114" si="183">+G1091+1</f>
        <v>2</v>
      </c>
      <c r="H1092" s="226" t="s">
        <v>16</v>
      </c>
      <c r="I1092" s="227">
        <v>445734</v>
      </c>
      <c r="J1092" s="226" t="s">
        <v>108</v>
      </c>
      <c r="K1092" s="226" t="s">
        <v>19</v>
      </c>
      <c r="L1092" s="226">
        <f>L1091</f>
        <v>1</v>
      </c>
      <c r="M1092" s="228">
        <f t="shared" si="182"/>
        <v>445734</v>
      </c>
      <c r="N1092" s="229">
        <v>1</v>
      </c>
      <c r="O1092" s="229"/>
    </row>
    <row r="1093" spans="1:15" x14ac:dyDescent="0.2">
      <c r="A1093" s="226">
        <v>1092</v>
      </c>
      <c r="B1093" s="226" t="str">
        <f t="shared" si="181"/>
        <v>SISTEMA MANIFOLDTANK SIZE 32LFK-5-1-121-3</v>
      </c>
      <c r="C1093" s="226">
        <f t="shared" ref="C1093:C1114" si="184">C1092</f>
        <v>1</v>
      </c>
      <c r="D1093" s="226" t="s">
        <v>126</v>
      </c>
      <c r="E1093" s="226" t="s">
        <v>52</v>
      </c>
      <c r="F1093" s="226" t="s">
        <v>98</v>
      </c>
      <c r="G1093" s="226">
        <f t="shared" si="183"/>
        <v>3</v>
      </c>
      <c r="H1093" s="226" t="s">
        <v>16</v>
      </c>
      <c r="I1093" s="227" t="s">
        <v>98</v>
      </c>
      <c r="J1093" s="226" t="s">
        <v>100</v>
      </c>
      <c r="K1093" s="226" t="s">
        <v>19</v>
      </c>
      <c r="L1093" s="230">
        <f>'COT AGENTES'!$H$5</f>
        <v>2</v>
      </c>
      <c r="M1093" s="228" t="str">
        <f t="shared" si="182"/>
        <v>FK-5-1-12</v>
      </c>
      <c r="N1093" s="229">
        <v>1</v>
      </c>
      <c r="O1093" s="229"/>
    </row>
    <row r="1094" spans="1:15" x14ac:dyDescent="0.2">
      <c r="A1094" s="226">
        <v>1093</v>
      </c>
      <c r="B1094" s="226" t="str">
        <f t="shared" si="181"/>
        <v>SISTEMA MANIFOLDTANK SIZE 32LFK-5-1-121-4</v>
      </c>
      <c r="C1094" s="226">
        <f t="shared" si="184"/>
        <v>1</v>
      </c>
      <c r="D1094" s="226" t="s">
        <v>126</v>
      </c>
      <c r="E1094" s="226" t="s">
        <v>52</v>
      </c>
      <c r="F1094" s="226" t="s">
        <v>98</v>
      </c>
      <c r="G1094" s="226">
        <f t="shared" si="183"/>
        <v>4</v>
      </c>
      <c r="H1094" s="226" t="s">
        <v>16</v>
      </c>
      <c r="I1094" s="227">
        <v>302207021</v>
      </c>
      <c r="J1094" s="226" t="s">
        <v>101</v>
      </c>
      <c r="K1094" s="226" t="s">
        <v>19</v>
      </c>
      <c r="L1094" s="226">
        <f>L1092</f>
        <v>1</v>
      </c>
      <c r="M1094" s="228">
        <f t="shared" si="182"/>
        <v>302207021</v>
      </c>
      <c r="N1094" s="229">
        <v>1</v>
      </c>
      <c r="O1094" s="229"/>
    </row>
    <row r="1095" spans="1:15" x14ac:dyDescent="0.2">
      <c r="A1095" s="226">
        <v>1094</v>
      </c>
      <c r="B1095" s="226" t="str">
        <f t="shared" si="181"/>
        <v>SISTEMA MANIFOLDTANK SIZE 32LFK-5-1-121-5</v>
      </c>
      <c r="C1095" s="226">
        <f t="shared" si="184"/>
        <v>1</v>
      </c>
      <c r="D1095" s="226" t="s">
        <v>126</v>
      </c>
      <c r="E1095" s="226" t="s">
        <v>52</v>
      </c>
      <c r="F1095" s="226" t="s">
        <v>98</v>
      </c>
      <c r="G1095" s="226">
        <f t="shared" si="183"/>
        <v>5</v>
      </c>
      <c r="H1095" s="226" t="s">
        <v>16</v>
      </c>
      <c r="I1095" s="227">
        <v>314207329</v>
      </c>
      <c r="J1095" s="226" t="s">
        <v>109</v>
      </c>
      <c r="K1095" s="226" t="s">
        <v>19</v>
      </c>
      <c r="L1095" s="226">
        <f>L1092</f>
        <v>1</v>
      </c>
      <c r="M1095" s="228">
        <f t="shared" si="182"/>
        <v>314207329</v>
      </c>
      <c r="N1095" s="229">
        <v>1</v>
      </c>
      <c r="O1095" s="229"/>
    </row>
    <row r="1096" spans="1:15" x14ac:dyDescent="0.2">
      <c r="A1096" s="226">
        <v>1095</v>
      </c>
      <c r="B1096" s="226" t="str">
        <f t="shared" si="181"/>
        <v>SISTEMA MANIFOLDTANK SIZE 32LFK-5-1-121-6</v>
      </c>
      <c r="C1096" s="226">
        <f t="shared" si="184"/>
        <v>1</v>
      </c>
      <c r="D1096" s="226" t="s">
        <v>126</v>
      </c>
      <c r="E1096" s="226" t="s">
        <v>52</v>
      </c>
      <c r="F1096" s="226" t="s">
        <v>98</v>
      </c>
      <c r="G1096" s="226">
        <f t="shared" si="183"/>
        <v>6</v>
      </c>
      <c r="H1096" s="226" t="s">
        <v>16</v>
      </c>
      <c r="I1096" s="227">
        <v>570585</v>
      </c>
      <c r="J1096" s="226" t="s">
        <v>26</v>
      </c>
      <c r="K1096" s="226" t="s">
        <v>19</v>
      </c>
      <c r="L1096" s="226">
        <f>L1092</f>
        <v>1</v>
      </c>
      <c r="M1096" s="228">
        <f t="shared" si="182"/>
        <v>570585</v>
      </c>
      <c r="N1096" s="229">
        <v>1</v>
      </c>
      <c r="O1096" s="229"/>
    </row>
    <row r="1097" spans="1:15" x14ac:dyDescent="0.2">
      <c r="A1097" s="226">
        <v>1096</v>
      </c>
      <c r="B1097" s="226" t="str">
        <f t="shared" si="181"/>
        <v>SISTEMA MANIFOLDTANK SIZE 32LFK-5-1-121-7</v>
      </c>
      <c r="C1097" s="226">
        <f t="shared" si="184"/>
        <v>1</v>
      </c>
      <c r="D1097" s="226" t="s">
        <v>126</v>
      </c>
      <c r="E1097" s="226" t="s">
        <v>52</v>
      </c>
      <c r="F1097" s="226" t="s">
        <v>98</v>
      </c>
      <c r="G1097" s="226">
        <f t="shared" si="183"/>
        <v>7</v>
      </c>
      <c r="H1097" s="226" t="s">
        <v>16</v>
      </c>
      <c r="I1097" s="227">
        <v>304205030</v>
      </c>
      <c r="J1097" s="226" t="s">
        <v>27</v>
      </c>
      <c r="K1097" s="226" t="s">
        <v>19</v>
      </c>
      <c r="L1097" s="226">
        <v>1</v>
      </c>
      <c r="M1097" s="228">
        <f t="shared" si="182"/>
        <v>304205030</v>
      </c>
      <c r="N1097" s="229">
        <v>1</v>
      </c>
      <c r="O1097" s="229"/>
    </row>
    <row r="1098" spans="1:15" x14ac:dyDescent="0.2">
      <c r="A1098" s="226">
        <v>1097</v>
      </c>
      <c r="B1098" s="226" t="str">
        <f t="shared" si="181"/>
        <v>SISTEMA MANIFOLDTANK SIZE 32LFK-5-1-121-8</v>
      </c>
      <c r="C1098" s="226">
        <f t="shared" si="184"/>
        <v>1</v>
      </c>
      <c r="D1098" s="226" t="s">
        <v>126</v>
      </c>
      <c r="E1098" s="226" t="s">
        <v>52</v>
      </c>
      <c r="F1098" s="226" t="s">
        <v>98</v>
      </c>
      <c r="G1098" s="226">
        <f t="shared" si="183"/>
        <v>8</v>
      </c>
      <c r="H1098" s="226" t="s">
        <v>16</v>
      </c>
      <c r="I1098" s="227" t="s">
        <v>28</v>
      </c>
      <c r="J1098" s="226" t="s">
        <v>29</v>
      </c>
      <c r="K1098" s="226" t="s">
        <v>19</v>
      </c>
      <c r="L1098" s="226">
        <f>L1097</f>
        <v>1</v>
      </c>
      <c r="M1098" s="228" t="str">
        <f t="shared" si="182"/>
        <v>A1638150HY</v>
      </c>
      <c r="N1098" s="229">
        <v>1</v>
      </c>
      <c r="O1098" s="229"/>
    </row>
    <row r="1099" spans="1:15" x14ac:dyDescent="0.2">
      <c r="A1099" s="226">
        <v>1098</v>
      </c>
      <c r="B1099" s="226" t="str">
        <f t="shared" si="181"/>
        <v>SISTEMA MANIFOLDTANK SIZE 32LFK-5-1-121-9</v>
      </c>
      <c r="C1099" s="226">
        <f t="shared" si="184"/>
        <v>1</v>
      </c>
      <c r="D1099" s="226" t="s">
        <v>126</v>
      </c>
      <c r="E1099" s="226" t="s">
        <v>52</v>
      </c>
      <c r="F1099" s="226" t="s">
        <v>98</v>
      </c>
      <c r="G1099" s="226">
        <f t="shared" si="183"/>
        <v>9</v>
      </c>
      <c r="H1099" s="226" t="s">
        <v>16</v>
      </c>
      <c r="I1099" s="227" t="s">
        <v>30</v>
      </c>
      <c r="J1099" s="226" t="s">
        <v>31</v>
      </c>
      <c r="K1099" s="226" t="s">
        <v>19</v>
      </c>
      <c r="L1099" s="226">
        <f>L1092*2</f>
        <v>2</v>
      </c>
      <c r="M1099" s="228" t="str">
        <f t="shared" si="182"/>
        <v>570085-R2</v>
      </c>
      <c r="N1099" s="229">
        <v>1</v>
      </c>
      <c r="O1099" s="229"/>
    </row>
    <row r="1100" spans="1:15" x14ac:dyDescent="0.2">
      <c r="A1100" s="226">
        <v>1099</v>
      </c>
      <c r="B1100" s="226" t="str">
        <f t="shared" si="181"/>
        <v>SISTEMA MANIFOLDTANK SIZE 32LFK-5-1-121-10</v>
      </c>
      <c r="C1100" s="226">
        <f t="shared" si="184"/>
        <v>1</v>
      </c>
      <c r="D1100" s="226" t="s">
        <v>126</v>
      </c>
      <c r="E1100" s="226" t="s">
        <v>52</v>
      </c>
      <c r="F1100" s="226" t="s">
        <v>98</v>
      </c>
      <c r="G1100" s="226">
        <f t="shared" si="183"/>
        <v>10</v>
      </c>
      <c r="H1100" s="226" t="s">
        <v>16</v>
      </c>
      <c r="I1100" s="227" t="s">
        <v>32</v>
      </c>
      <c r="J1100" s="226" t="s">
        <v>33</v>
      </c>
      <c r="K1100" s="226" t="s">
        <v>19</v>
      </c>
      <c r="L1100" s="230">
        <f>'COT AGENTES'!$M$11</f>
        <v>1</v>
      </c>
      <c r="M1100" s="228" t="s">
        <v>57</v>
      </c>
      <c r="N1100" s="229">
        <v>1</v>
      </c>
      <c r="O1100" s="229"/>
    </row>
    <row r="1101" spans="1:15" x14ac:dyDescent="0.2">
      <c r="A1101" s="226">
        <v>1100</v>
      </c>
      <c r="B1101" s="226" t="str">
        <f t="shared" si="181"/>
        <v>SISTEMA MANIFOLDTANK SIZE 32LFK-5-1-121-11</v>
      </c>
      <c r="C1101" s="226">
        <f t="shared" si="184"/>
        <v>1</v>
      </c>
      <c r="D1101" s="226" t="s">
        <v>126</v>
      </c>
      <c r="E1101" s="226" t="s">
        <v>52</v>
      </c>
      <c r="F1101" s="226" t="s">
        <v>98</v>
      </c>
      <c r="G1101" s="226">
        <f t="shared" si="183"/>
        <v>11</v>
      </c>
      <c r="H1101" s="226" t="s">
        <v>16</v>
      </c>
      <c r="I1101" s="227" t="s">
        <v>103</v>
      </c>
      <c r="J1101" s="226" t="s">
        <v>104</v>
      </c>
      <c r="K1101" s="226" t="s">
        <v>19</v>
      </c>
      <c r="L1101" s="226">
        <v>1</v>
      </c>
      <c r="M1101" s="228" t="str">
        <f t="shared" si="182"/>
        <v>314207101-R2</v>
      </c>
      <c r="N1101" s="229">
        <v>1</v>
      </c>
      <c r="O1101" s="229"/>
    </row>
    <row r="1102" spans="1:15" x14ac:dyDescent="0.2">
      <c r="A1102" s="226">
        <v>1101</v>
      </c>
      <c r="B1102" s="226" t="str">
        <f t="shared" si="181"/>
        <v>SISTEMA MANIFOLDTANK SIZE 32LFK-5-1-121-12</v>
      </c>
      <c r="C1102" s="226">
        <f t="shared" si="184"/>
        <v>1</v>
      </c>
      <c r="D1102" s="226" t="s">
        <v>126</v>
      </c>
      <c r="E1102" s="226" t="s">
        <v>52</v>
      </c>
      <c r="F1102" s="226" t="s">
        <v>98</v>
      </c>
      <c r="G1102" s="226">
        <f t="shared" si="183"/>
        <v>12</v>
      </c>
      <c r="H1102" s="226" t="s">
        <v>16</v>
      </c>
      <c r="I1102" s="227" t="s">
        <v>105</v>
      </c>
      <c r="J1102" s="226" t="s">
        <v>106</v>
      </c>
      <c r="K1102" s="226" t="s">
        <v>19</v>
      </c>
      <c r="L1102" s="226">
        <v>1</v>
      </c>
      <c r="M1102" s="228" t="str">
        <f t="shared" si="182"/>
        <v>314207103-R2</v>
      </c>
      <c r="N1102" s="229">
        <v>1</v>
      </c>
      <c r="O1102" s="229"/>
    </row>
    <row r="1103" spans="1:15" x14ac:dyDescent="0.2">
      <c r="A1103" s="226">
        <v>1102</v>
      </c>
      <c r="B1103" s="226" t="str">
        <f t="shared" si="181"/>
        <v>SISTEMA MANIFOLDTANK SIZE 32LFK-5-1-121-13</v>
      </c>
      <c r="C1103" s="226">
        <f t="shared" si="184"/>
        <v>1</v>
      </c>
      <c r="D1103" s="226" t="s">
        <v>126</v>
      </c>
      <c r="E1103" s="226" t="s">
        <v>52</v>
      </c>
      <c r="F1103" s="226" t="s">
        <v>98</v>
      </c>
      <c r="G1103" s="226">
        <f t="shared" si="183"/>
        <v>13</v>
      </c>
      <c r="H1103" s="226" t="s">
        <v>16</v>
      </c>
      <c r="I1103" s="227" t="s">
        <v>44</v>
      </c>
      <c r="J1103" s="226" t="s">
        <v>45</v>
      </c>
      <c r="K1103" s="226" t="s">
        <v>19</v>
      </c>
      <c r="L1103" s="226">
        <f>L1092</f>
        <v>1</v>
      </c>
      <c r="M1103" s="228" t="str">
        <f t="shared" si="182"/>
        <v>570539-R2</v>
      </c>
      <c r="N1103" s="229">
        <v>1</v>
      </c>
      <c r="O1103" s="229"/>
    </row>
    <row r="1104" spans="1:15" x14ac:dyDescent="0.2">
      <c r="A1104" s="226">
        <v>1103</v>
      </c>
      <c r="B1104" s="226" t="str">
        <f t="shared" si="181"/>
        <v>SISTEMA MANIFOLDTANK SIZE 32LFK-5-1-121-14</v>
      </c>
      <c r="C1104" s="226">
        <f t="shared" si="184"/>
        <v>1</v>
      </c>
      <c r="D1104" s="226" t="s">
        <v>126</v>
      </c>
      <c r="E1104" s="226" t="s">
        <v>52</v>
      </c>
      <c r="F1104" s="226" t="s">
        <v>98</v>
      </c>
      <c r="G1104" s="226">
        <f t="shared" si="183"/>
        <v>14</v>
      </c>
      <c r="H1104" s="226" t="s">
        <v>16</v>
      </c>
      <c r="I1104" s="227">
        <v>570566</v>
      </c>
      <c r="J1104" s="226" t="s">
        <v>119</v>
      </c>
      <c r="K1104" s="226" t="s">
        <v>19</v>
      </c>
      <c r="L1104" s="226">
        <f>L1092</f>
        <v>1</v>
      </c>
      <c r="M1104" s="228">
        <f t="shared" si="182"/>
        <v>570566</v>
      </c>
      <c r="N1104" s="229">
        <v>1</v>
      </c>
      <c r="O1104" s="229"/>
    </row>
    <row r="1105" spans="1:15" x14ac:dyDescent="0.2">
      <c r="A1105" s="226">
        <v>1104</v>
      </c>
      <c r="B1105" s="226" t="str">
        <f t="shared" si="181"/>
        <v>SISTEMA MANIFOLDTANK SIZE 32LFK-5-1-121-15</v>
      </c>
      <c r="C1105" s="226">
        <f t="shared" si="184"/>
        <v>1</v>
      </c>
      <c r="D1105" s="226" t="s">
        <v>126</v>
      </c>
      <c r="E1105" s="226" t="s">
        <v>52</v>
      </c>
      <c r="F1105" s="226" t="s">
        <v>98</v>
      </c>
      <c r="G1105" s="226">
        <f t="shared" si="183"/>
        <v>15</v>
      </c>
      <c r="H1105" s="226" t="s">
        <v>16</v>
      </c>
      <c r="I1105" s="227">
        <v>570550</v>
      </c>
      <c r="J1105" s="226" t="s">
        <v>120</v>
      </c>
      <c r="K1105" s="226" t="s">
        <v>19</v>
      </c>
      <c r="L1105" s="226">
        <f>L1092-1</f>
        <v>0</v>
      </c>
      <c r="M1105" s="228">
        <f t="shared" si="182"/>
        <v>570550</v>
      </c>
      <c r="N1105" s="229">
        <v>1</v>
      </c>
      <c r="O1105" s="229"/>
    </row>
    <row r="1106" spans="1:15" x14ac:dyDescent="0.2">
      <c r="A1106" s="226">
        <v>1105</v>
      </c>
      <c r="B1106" s="226" t="str">
        <f t="shared" si="181"/>
        <v>SISTEMA MANIFOLDTANK SIZE 32LFK-5-1-121-16</v>
      </c>
      <c r="C1106" s="226">
        <f t="shared" si="184"/>
        <v>1</v>
      </c>
      <c r="D1106" s="226" t="s">
        <v>126</v>
      </c>
      <c r="E1106" s="226" t="s">
        <v>52</v>
      </c>
      <c r="F1106" s="226" t="s">
        <v>98</v>
      </c>
      <c r="G1106" s="226">
        <f t="shared" si="183"/>
        <v>16</v>
      </c>
      <c r="H1106" s="226" t="s">
        <v>16</v>
      </c>
      <c r="I1106" s="227">
        <v>32338</v>
      </c>
      <c r="J1106" s="226" t="s">
        <v>42</v>
      </c>
      <c r="K1106" s="226" t="s">
        <v>19</v>
      </c>
      <c r="L1106" s="226">
        <v>1</v>
      </c>
      <c r="M1106" s="228">
        <f t="shared" si="182"/>
        <v>32338</v>
      </c>
      <c r="N1106" s="229">
        <v>1</v>
      </c>
      <c r="O1106" s="229"/>
    </row>
    <row r="1107" spans="1:15" x14ac:dyDescent="0.2">
      <c r="A1107" s="226">
        <v>1106</v>
      </c>
      <c r="B1107" s="226" t="str">
        <f t="shared" si="181"/>
        <v>SISTEMA MANIFOLDTANK SIZE 32LFK-5-1-121-17</v>
      </c>
      <c r="C1107" s="226">
        <f t="shared" si="184"/>
        <v>1</v>
      </c>
      <c r="D1107" s="226" t="s">
        <v>126</v>
      </c>
      <c r="E1107" s="226" t="s">
        <v>52</v>
      </c>
      <c r="F1107" s="226" t="s">
        <v>98</v>
      </c>
      <c r="G1107" s="226">
        <f t="shared" si="183"/>
        <v>17</v>
      </c>
      <c r="H1107" s="226" t="s">
        <v>16</v>
      </c>
      <c r="I1107" s="227">
        <v>31810</v>
      </c>
      <c r="J1107" s="226" t="s">
        <v>121</v>
      </c>
      <c r="K1107" s="226" t="s">
        <v>19</v>
      </c>
      <c r="L1107" s="226">
        <v>1</v>
      </c>
      <c r="M1107" s="228">
        <f t="shared" si="182"/>
        <v>31810</v>
      </c>
      <c r="N1107" s="229">
        <v>1</v>
      </c>
      <c r="O1107" s="229"/>
    </row>
    <row r="1108" spans="1:15" x14ac:dyDescent="0.2">
      <c r="A1108" s="226">
        <v>1107</v>
      </c>
      <c r="B1108" s="226" t="str">
        <f t="shared" si="181"/>
        <v>SISTEMA MANIFOLDTANK SIZE 32LFK-5-1-121-18</v>
      </c>
      <c r="C1108" s="226">
        <f t="shared" si="184"/>
        <v>1</v>
      </c>
      <c r="D1108" s="226" t="s">
        <v>126</v>
      </c>
      <c r="E1108" s="226" t="s">
        <v>52</v>
      </c>
      <c r="F1108" s="226" t="s">
        <v>98</v>
      </c>
      <c r="G1108" s="226">
        <f t="shared" si="183"/>
        <v>18</v>
      </c>
      <c r="H1108" s="226" t="s">
        <v>16</v>
      </c>
      <c r="I1108" s="227">
        <v>32336</v>
      </c>
      <c r="J1108" s="226" t="s">
        <v>122</v>
      </c>
      <c r="K1108" s="226" t="s">
        <v>19</v>
      </c>
      <c r="L1108" s="226">
        <f>L1092-1</f>
        <v>0</v>
      </c>
      <c r="M1108" s="228">
        <f t="shared" si="182"/>
        <v>32336</v>
      </c>
      <c r="N1108" s="229">
        <v>1</v>
      </c>
      <c r="O1108" s="229"/>
    </row>
    <row r="1109" spans="1:15" x14ac:dyDescent="0.2">
      <c r="A1109" s="226">
        <v>1108</v>
      </c>
      <c r="B1109" s="226" t="str">
        <f t="shared" si="181"/>
        <v>SISTEMA MANIFOLDTANK SIZE 32LFK-5-1-121-19</v>
      </c>
      <c r="C1109" s="226">
        <f t="shared" si="184"/>
        <v>1</v>
      </c>
      <c r="D1109" s="226" t="s">
        <v>126</v>
      </c>
      <c r="E1109" s="226" t="s">
        <v>52</v>
      </c>
      <c r="F1109" s="226" t="s">
        <v>98</v>
      </c>
      <c r="G1109" s="226">
        <f t="shared" si="183"/>
        <v>19</v>
      </c>
      <c r="H1109" s="226" t="s">
        <v>16</v>
      </c>
      <c r="I1109" s="227">
        <v>31811</v>
      </c>
      <c r="J1109" s="226" t="s">
        <v>123</v>
      </c>
      <c r="K1109" s="226" t="s">
        <v>19</v>
      </c>
      <c r="L1109" s="226">
        <f>IF(L1092&gt;1,L1092-1,0)</f>
        <v>0</v>
      </c>
      <c r="M1109" s="228">
        <f t="shared" si="182"/>
        <v>31811</v>
      </c>
      <c r="N1109" s="229">
        <v>1</v>
      </c>
      <c r="O1109" s="229"/>
    </row>
    <row r="1110" spans="1:15" x14ac:dyDescent="0.2">
      <c r="A1110" s="226">
        <v>1109</v>
      </c>
      <c r="B1110" s="226" t="str">
        <f t="shared" si="181"/>
        <v>SISTEMA MANIFOLDTANK SIZE 32LFK-5-1-121-20</v>
      </c>
      <c r="C1110" s="226">
        <f t="shared" si="184"/>
        <v>1</v>
      </c>
      <c r="D1110" s="226" t="s">
        <v>126</v>
      </c>
      <c r="E1110" s="226" t="s">
        <v>52</v>
      </c>
      <c r="F1110" s="226" t="s">
        <v>98</v>
      </c>
      <c r="G1110" s="226">
        <f t="shared" si="183"/>
        <v>20</v>
      </c>
      <c r="M1110" s="228">
        <f t="shared" si="182"/>
        <v>0</v>
      </c>
      <c r="N1110" s="229">
        <v>1</v>
      </c>
      <c r="O1110" s="229"/>
    </row>
    <row r="1111" spans="1:15" x14ac:dyDescent="0.2">
      <c r="A1111" s="226">
        <v>1110</v>
      </c>
      <c r="B1111" s="226" t="str">
        <f t="shared" si="181"/>
        <v>SISTEMA MANIFOLDTANK SIZE 32LFK-5-1-121-21</v>
      </c>
      <c r="C1111" s="226">
        <f t="shared" si="184"/>
        <v>1</v>
      </c>
      <c r="D1111" s="226" t="s">
        <v>126</v>
      </c>
      <c r="E1111" s="226" t="s">
        <v>52</v>
      </c>
      <c r="F1111" s="226" t="s">
        <v>98</v>
      </c>
      <c r="G1111" s="226">
        <f t="shared" si="183"/>
        <v>21</v>
      </c>
      <c r="H1111" s="226" t="s">
        <v>16</v>
      </c>
      <c r="I1111" s="227">
        <v>437900</v>
      </c>
      <c r="J1111" s="226" t="s">
        <v>40</v>
      </c>
      <c r="K1111" s="226" t="s">
        <v>19</v>
      </c>
      <c r="L1111" s="226">
        <v>1</v>
      </c>
      <c r="M1111" s="228">
        <f t="shared" si="182"/>
        <v>437900</v>
      </c>
      <c r="N1111" s="229">
        <v>1</v>
      </c>
      <c r="O1111" s="229"/>
    </row>
    <row r="1112" spans="1:15" x14ac:dyDescent="0.2">
      <c r="A1112" s="226">
        <v>1111</v>
      </c>
      <c r="B1112" s="226" t="str">
        <f t="shared" si="181"/>
        <v>SISTEMA MANIFOLDTANK SIZE 32LFK-5-1-121-22</v>
      </c>
      <c r="C1112" s="226">
        <f t="shared" si="184"/>
        <v>1</v>
      </c>
      <c r="D1112" s="226" t="s">
        <v>126</v>
      </c>
      <c r="E1112" s="226" t="s">
        <v>52</v>
      </c>
      <c r="F1112" s="226" t="s">
        <v>98</v>
      </c>
      <c r="G1112" s="226">
        <f t="shared" si="183"/>
        <v>22</v>
      </c>
      <c r="H1112" s="226" t="s">
        <v>16</v>
      </c>
      <c r="I1112" s="227">
        <v>31811</v>
      </c>
      <c r="J1112" s="226" t="s">
        <v>123</v>
      </c>
      <c r="K1112" s="226" t="s">
        <v>19</v>
      </c>
      <c r="L1112" s="226">
        <v>1</v>
      </c>
      <c r="M1112" s="228">
        <f t="shared" si="182"/>
        <v>31811</v>
      </c>
      <c r="N1112" s="229">
        <v>1</v>
      </c>
      <c r="O1112" s="229"/>
    </row>
    <row r="1113" spans="1:15" x14ac:dyDescent="0.2">
      <c r="A1113" s="226">
        <v>1112</v>
      </c>
      <c r="B1113" s="226" t="str">
        <f t="shared" si="181"/>
        <v>SISTEMA MANIFOLDTANK SIZE 32LFK-5-1-121-23</v>
      </c>
      <c r="C1113" s="226">
        <f t="shared" si="184"/>
        <v>1</v>
      </c>
      <c r="D1113" s="226" t="s">
        <v>126</v>
      </c>
      <c r="E1113" s="226" t="s">
        <v>52</v>
      </c>
      <c r="F1113" s="226" t="s">
        <v>98</v>
      </c>
      <c r="G1113" s="226">
        <f t="shared" si="183"/>
        <v>23</v>
      </c>
      <c r="H1113" s="226" t="s">
        <v>16</v>
      </c>
      <c r="I1113" s="227">
        <v>73597</v>
      </c>
      <c r="J1113" s="226" t="s">
        <v>41</v>
      </c>
      <c r="K1113" s="226" t="s">
        <v>19</v>
      </c>
      <c r="L1113" s="226">
        <v>1</v>
      </c>
      <c r="M1113" s="228">
        <f t="shared" si="182"/>
        <v>73597</v>
      </c>
      <c r="N1113" s="229">
        <v>1</v>
      </c>
      <c r="O1113" s="229"/>
    </row>
    <row r="1114" spans="1:15" x14ac:dyDescent="0.2">
      <c r="A1114" s="226">
        <v>1113</v>
      </c>
      <c r="B1114" s="226" t="str">
        <f t="shared" si="181"/>
        <v>SISTEMA MANIFOLDTANK SIZE 32LFK-5-1-121-24</v>
      </c>
      <c r="C1114" s="226">
        <f t="shared" si="184"/>
        <v>1</v>
      </c>
      <c r="D1114" s="226" t="s">
        <v>126</v>
      </c>
      <c r="E1114" s="226" t="s">
        <v>52</v>
      </c>
      <c r="F1114" s="226" t="s">
        <v>98</v>
      </c>
      <c r="G1114" s="226">
        <f t="shared" si="183"/>
        <v>24</v>
      </c>
      <c r="H1114" s="226" t="s">
        <v>16</v>
      </c>
      <c r="I1114" s="227">
        <v>76498</v>
      </c>
      <c r="J1114" s="226" t="s">
        <v>46</v>
      </c>
      <c r="K1114" s="226" t="s">
        <v>19</v>
      </c>
      <c r="L1114" s="226">
        <v>1</v>
      </c>
      <c r="M1114" s="228">
        <f t="shared" si="182"/>
        <v>76498</v>
      </c>
      <c r="N1114" s="229">
        <v>1</v>
      </c>
      <c r="O1114" s="229"/>
    </row>
    <row r="1115" spans="1:15" x14ac:dyDescent="0.2">
      <c r="A1115" s="226">
        <v>1114</v>
      </c>
      <c r="B1115" s="226" t="str">
        <f t="shared" si="181"/>
        <v>-</v>
      </c>
      <c r="M1115" s="228">
        <f t="shared" si="182"/>
        <v>0</v>
      </c>
      <c r="N1115" s="229">
        <v>1</v>
      </c>
      <c r="O1115" s="229"/>
    </row>
    <row r="1116" spans="1:15" x14ac:dyDescent="0.2">
      <c r="A1116" s="226">
        <v>1115</v>
      </c>
      <c r="B1116" s="226" t="str">
        <f t="shared" si="181"/>
        <v>SISTEMA MANIFOLDTANK SIZE 52LFK-5-1-121-1</v>
      </c>
      <c r="C1116" s="226">
        <f>L1116</f>
        <v>1</v>
      </c>
      <c r="D1116" s="226" t="s">
        <v>126</v>
      </c>
      <c r="E1116" s="226" t="s">
        <v>58</v>
      </c>
      <c r="F1116" s="226" t="s">
        <v>98</v>
      </c>
      <c r="G1116" s="226">
        <v>1</v>
      </c>
      <c r="H1116" s="226" t="s">
        <v>16</v>
      </c>
      <c r="I1116" s="227" t="s">
        <v>17</v>
      </c>
      <c r="J1116" s="226" t="s">
        <v>59</v>
      </c>
      <c r="K1116" s="226" t="s">
        <v>19</v>
      </c>
      <c r="L1116" s="226">
        <f>'COT AGENTES'!$H$3</f>
        <v>1</v>
      </c>
      <c r="M1116" s="228" t="s">
        <v>60</v>
      </c>
      <c r="N1116" s="229">
        <v>1</v>
      </c>
      <c r="O1116" s="229"/>
    </row>
    <row r="1117" spans="1:15" x14ac:dyDescent="0.2">
      <c r="A1117" s="226">
        <v>1116</v>
      </c>
      <c r="B1117" s="226" t="str">
        <f t="shared" si="181"/>
        <v>SISTEMA MANIFOLDTANK SIZE 52LFK-5-1-121-2</v>
      </c>
      <c r="C1117" s="226">
        <f>C1116</f>
        <v>1</v>
      </c>
      <c r="D1117" s="226" t="s">
        <v>126</v>
      </c>
      <c r="E1117" s="226" t="s">
        <v>58</v>
      </c>
      <c r="F1117" s="226" t="s">
        <v>98</v>
      </c>
      <c r="G1117" s="226">
        <f t="shared" ref="G1117:G1139" si="185">+G1116+1</f>
        <v>2</v>
      </c>
      <c r="H1117" s="226" t="s">
        <v>16</v>
      </c>
      <c r="I1117" s="227">
        <v>445735</v>
      </c>
      <c r="J1117" s="226" t="s">
        <v>110</v>
      </c>
      <c r="K1117" s="226" t="s">
        <v>19</v>
      </c>
      <c r="L1117" s="226">
        <f>L1116</f>
        <v>1</v>
      </c>
      <c r="M1117" s="228">
        <f t="shared" si="182"/>
        <v>445735</v>
      </c>
      <c r="N1117" s="229">
        <v>1</v>
      </c>
      <c r="O1117" s="229"/>
    </row>
    <row r="1118" spans="1:15" x14ac:dyDescent="0.2">
      <c r="A1118" s="226">
        <v>1117</v>
      </c>
      <c r="B1118" s="226" t="str">
        <f t="shared" si="181"/>
        <v>SISTEMA MANIFOLDTANK SIZE 52LFK-5-1-121-3</v>
      </c>
      <c r="C1118" s="226">
        <f t="shared" ref="C1118:C1139" si="186">C1117</f>
        <v>1</v>
      </c>
      <c r="D1118" s="226" t="s">
        <v>126</v>
      </c>
      <c r="E1118" s="226" t="s">
        <v>58</v>
      </c>
      <c r="F1118" s="226" t="s">
        <v>98</v>
      </c>
      <c r="G1118" s="226">
        <f t="shared" si="185"/>
        <v>3</v>
      </c>
      <c r="H1118" s="226" t="s">
        <v>16</v>
      </c>
      <c r="I1118" s="227" t="s">
        <v>98</v>
      </c>
      <c r="J1118" s="226" t="s">
        <v>100</v>
      </c>
      <c r="K1118" s="226" t="s">
        <v>19</v>
      </c>
      <c r="L1118" s="230">
        <f>'COT AGENTES'!$H$5</f>
        <v>2</v>
      </c>
      <c r="M1118" s="228" t="str">
        <f t="shared" si="182"/>
        <v>FK-5-1-12</v>
      </c>
      <c r="N1118" s="229">
        <v>1</v>
      </c>
      <c r="O1118" s="229"/>
    </row>
    <row r="1119" spans="1:15" x14ac:dyDescent="0.2">
      <c r="A1119" s="226">
        <v>1118</v>
      </c>
      <c r="B1119" s="226" t="str">
        <f t="shared" si="181"/>
        <v>SISTEMA MANIFOLDTANK SIZE 52LFK-5-1-121-4</v>
      </c>
      <c r="C1119" s="226">
        <f t="shared" si="186"/>
        <v>1</v>
      </c>
      <c r="D1119" s="226" t="s">
        <v>126</v>
      </c>
      <c r="E1119" s="226" t="s">
        <v>58</v>
      </c>
      <c r="F1119" s="226" t="s">
        <v>98</v>
      </c>
      <c r="G1119" s="226">
        <f t="shared" si="185"/>
        <v>4</v>
      </c>
      <c r="H1119" s="226" t="s">
        <v>16</v>
      </c>
      <c r="I1119" s="227">
        <v>302207021</v>
      </c>
      <c r="J1119" s="226" t="s">
        <v>101</v>
      </c>
      <c r="K1119" s="226" t="s">
        <v>19</v>
      </c>
      <c r="L1119" s="226">
        <f>L1117</f>
        <v>1</v>
      </c>
      <c r="M1119" s="228">
        <f t="shared" si="182"/>
        <v>302207021</v>
      </c>
      <c r="N1119" s="229">
        <v>1</v>
      </c>
      <c r="O1119" s="229"/>
    </row>
    <row r="1120" spans="1:15" x14ac:dyDescent="0.2">
      <c r="A1120" s="226">
        <v>1119</v>
      </c>
      <c r="B1120" s="226" t="str">
        <f t="shared" si="181"/>
        <v>SISTEMA MANIFOLDTANK SIZE 52LFK-5-1-121-5</v>
      </c>
      <c r="C1120" s="226">
        <f t="shared" si="186"/>
        <v>1</v>
      </c>
      <c r="D1120" s="226" t="s">
        <v>126</v>
      </c>
      <c r="E1120" s="226" t="s">
        <v>58</v>
      </c>
      <c r="F1120" s="226" t="s">
        <v>98</v>
      </c>
      <c r="G1120" s="226">
        <f t="shared" si="185"/>
        <v>5</v>
      </c>
      <c r="H1120" s="226" t="s">
        <v>16</v>
      </c>
      <c r="I1120" s="227">
        <v>314207207</v>
      </c>
      <c r="J1120" s="226" t="s">
        <v>102</v>
      </c>
      <c r="K1120" s="226" t="s">
        <v>19</v>
      </c>
      <c r="L1120" s="226">
        <f>L1117</f>
        <v>1</v>
      </c>
      <c r="M1120" s="228">
        <f t="shared" si="182"/>
        <v>314207207</v>
      </c>
      <c r="N1120" s="229">
        <v>1</v>
      </c>
      <c r="O1120" s="229"/>
    </row>
    <row r="1121" spans="1:15" x14ac:dyDescent="0.2">
      <c r="A1121" s="226">
        <v>1120</v>
      </c>
      <c r="B1121" s="226" t="str">
        <f t="shared" si="181"/>
        <v>SISTEMA MANIFOLDTANK SIZE 52LFK-5-1-121-6</v>
      </c>
      <c r="C1121" s="226">
        <f t="shared" si="186"/>
        <v>1</v>
      </c>
      <c r="D1121" s="226" t="s">
        <v>126</v>
      </c>
      <c r="E1121" s="226" t="s">
        <v>58</v>
      </c>
      <c r="F1121" s="226" t="s">
        <v>98</v>
      </c>
      <c r="G1121" s="226">
        <f t="shared" si="185"/>
        <v>6</v>
      </c>
      <c r="H1121" s="226" t="s">
        <v>16</v>
      </c>
      <c r="I1121" s="227">
        <v>570585</v>
      </c>
      <c r="J1121" s="226" t="s">
        <v>26</v>
      </c>
      <c r="K1121" s="226" t="s">
        <v>19</v>
      </c>
      <c r="L1121" s="226">
        <f>L1117</f>
        <v>1</v>
      </c>
      <c r="M1121" s="228">
        <f t="shared" si="182"/>
        <v>570585</v>
      </c>
      <c r="N1121" s="229">
        <v>1</v>
      </c>
      <c r="O1121" s="229"/>
    </row>
    <row r="1122" spans="1:15" x14ac:dyDescent="0.2">
      <c r="A1122" s="226">
        <v>1121</v>
      </c>
      <c r="B1122" s="226" t="str">
        <f t="shared" si="181"/>
        <v>SISTEMA MANIFOLDTANK SIZE 52LFK-5-1-121-7</v>
      </c>
      <c r="C1122" s="226">
        <f t="shared" si="186"/>
        <v>1</v>
      </c>
      <c r="D1122" s="226" t="s">
        <v>126</v>
      </c>
      <c r="E1122" s="226" t="s">
        <v>58</v>
      </c>
      <c r="F1122" s="226" t="s">
        <v>98</v>
      </c>
      <c r="G1122" s="226">
        <f t="shared" si="185"/>
        <v>7</v>
      </c>
      <c r="H1122" s="226" t="s">
        <v>16</v>
      </c>
      <c r="I1122" s="227">
        <v>304205030</v>
      </c>
      <c r="J1122" s="226" t="s">
        <v>27</v>
      </c>
      <c r="K1122" s="226" t="s">
        <v>19</v>
      </c>
      <c r="L1122" s="226">
        <v>1</v>
      </c>
      <c r="M1122" s="228">
        <f t="shared" si="182"/>
        <v>304205030</v>
      </c>
      <c r="N1122" s="229">
        <v>1</v>
      </c>
      <c r="O1122" s="229"/>
    </row>
    <row r="1123" spans="1:15" x14ac:dyDescent="0.2">
      <c r="A1123" s="226">
        <v>1122</v>
      </c>
      <c r="B1123" s="226" t="str">
        <f t="shared" si="181"/>
        <v>SISTEMA MANIFOLDTANK SIZE 52LFK-5-1-121-8</v>
      </c>
      <c r="C1123" s="226">
        <f t="shared" si="186"/>
        <v>1</v>
      </c>
      <c r="D1123" s="226" t="s">
        <v>126</v>
      </c>
      <c r="E1123" s="226" t="s">
        <v>58</v>
      </c>
      <c r="F1123" s="226" t="s">
        <v>98</v>
      </c>
      <c r="G1123" s="226">
        <f t="shared" si="185"/>
        <v>8</v>
      </c>
      <c r="H1123" s="226" t="s">
        <v>16</v>
      </c>
      <c r="I1123" s="227" t="s">
        <v>28</v>
      </c>
      <c r="J1123" s="226" t="s">
        <v>29</v>
      </c>
      <c r="K1123" s="226" t="s">
        <v>19</v>
      </c>
      <c r="L1123" s="226">
        <f>L1122</f>
        <v>1</v>
      </c>
      <c r="M1123" s="228" t="str">
        <f t="shared" si="182"/>
        <v>A1638150HY</v>
      </c>
      <c r="N1123" s="229">
        <v>1</v>
      </c>
      <c r="O1123" s="229"/>
    </row>
    <row r="1124" spans="1:15" x14ac:dyDescent="0.2">
      <c r="A1124" s="226">
        <v>1123</v>
      </c>
      <c r="B1124" s="226" t="str">
        <f t="shared" si="181"/>
        <v>SISTEMA MANIFOLDTANK SIZE 52LFK-5-1-121-9</v>
      </c>
      <c r="C1124" s="226">
        <f t="shared" si="186"/>
        <v>1</v>
      </c>
      <c r="D1124" s="226" t="s">
        <v>126</v>
      </c>
      <c r="E1124" s="226" t="s">
        <v>58</v>
      </c>
      <c r="F1124" s="226" t="s">
        <v>98</v>
      </c>
      <c r="G1124" s="226">
        <f t="shared" si="185"/>
        <v>9</v>
      </c>
      <c r="H1124" s="226" t="s">
        <v>16</v>
      </c>
      <c r="I1124" s="227" t="s">
        <v>62</v>
      </c>
      <c r="J1124" s="226" t="s">
        <v>63</v>
      </c>
      <c r="K1124" s="226" t="s">
        <v>19</v>
      </c>
      <c r="L1124" s="226">
        <f>L1117*2</f>
        <v>2</v>
      </c>
      <c r="M1124" s="228" t="str">
        <f t="shared" si="182"/>
        <v>570092-R2</v>
      </c>
      <c r="N1124" s="229">
        <v>1</v>
      </c>
      <c r="O1124" s="229"/>
    </row>
    <row r="1125" spans="1:15" x14ac:dyDescent="0.2">
      <c r="A1125" s="226">
        <v>1124</v>
      </c>
      <c r="B1125" s="226" t="str">
        <f t="shared" si="181"/>
        <v>SISTEMA MANIFOLDTANK SIZE 52LFK-5-1-121-10</v>
      </c>
      <c r="C1125" s="226">
        <f t="shared" si="186"/>
        <v>1</v>
      </c>
      <c r="D1125" s="226" t="s">
        <v>126</v>
      </c>
      <c r="E1125" s="226" t="s">
        <v>58</v>
      </c>
      <c r="F1125" s="226" t="s">
        <v>98</v>
      </c>
      <c r="G1125" s="226">
        <f t="shared" si="185"/>
        <v>10</v>
      </c>
      <c r="H1125" s="226" t="s">
        <v>16</v>
      </c>
      <c r="I1125" s="227" t="s">
        <v>32</v>
      </c>
      <c r="J1125" s="226" t="s">
        <v>33</v>
      </c>
      <c r="K1125" s="226" t="s">
        <v>19</v>
      </c>
      <c r="L1125" s="230">
        <f>'COT AGENTES'!$M$11</f>
        <v>1</v>
      </c>
      <c r="M1125" s="228" t="s">
        <v>64</v>
      </c>
      <c r="N1125" s="229">
        <v>1</v>
      </c>
      <c r="O1125" s="229"/>
    </row>
    <row r="1126" spans="1:15" x14ac:dyDescent="0.2">
      <c r="A1126" s="226">
        <v>1125</v>
      </c>
      <c r="B1126" s="226" t="str">
        <f t="shared" si="181"/>
        <v>SISTEMA MANIFOLDTANK SIZE 52LFK-5-1-121-11</v>
      </c>
      <c r="C1126" s="226">
        <f t="shared" si="186"/>
        <v>1</v>
      </c>
      <c r="D1126" s="226" t="s">
        <v>126</v>
      </c>
      <c r="E1126" s="226" t="s">
        <v>58</v>
      </c>
      <c r="F1126" s="226" t="s">
        <v>98</v>
      </c>
      <c r="G1126" s="226">
        <f t="shared" si="185"/>
        <v>11</v>
      </c>
      <c r="H1126" s="226" t="s">
        <v>16</v>
      </c>
      <c r="I1126" s="227" t="s">
        <v>103</v>
      </c>
      <c r="J1126" s="226" t="s">
        <v>104</v>
      </c>
      <c r="K1126" s="226" t="s">
        <v>19</v>
      </c>
      <c r="L1126" s="226">
        <v>1</v>
      </c>
      <c r="M1126" s="228" t="str">
        <f t="shared" si="182"/>
        <v>314207101-R2</v>
      </c>
      <c r="N1126" s="229">
        <v>1</v>
      </c>
      <c r="O1126" s="229"/>
    </row>
    <row r="1127" spans="1:15" x14ac:dyDescent="0.2">
      <c r="A1127" s="226">
        <v>1126</v>
      </c>
      <c r="B1127" s="226" t="str">
        <f t="shared" si="181"/>
        <v>SISTEMA MANIFOLDTANK SIZE 52LFK-5-1-121-12</v>
      </c>
      <c r="C1127" s="226">
        <f t="shared" si="186"/>
        <v>1</v>
      </c>
      <c r="D1127" s="226" t="s">
        <v>126</v>
      </c>
      <c r="E1127" s="226" t="s">
        <v>58</v>
      </c>
      <c r="F1127" s="226" t="s">
        <v>98</v>
      </c>
      <c r="G1127" s="226">
        <f t="shared" si="185"/>
        <v>12</v>
      </c>
      <c r="H1127" s="226" t="s">
        <v>16</v>
      </c>
      <c r="I1127" s="227" t="s">
        <v>105</v>
      </c>
      <c r="J1127" s="226" t="s">
        <v>106</v>
      </c>
      <c r="K1127" s="226" t="s">
        <v>19</v>
      </c>
      <c r="L1127" s="226">
        <v>1</v>
      </c>
      <c r="M1127" s="228" t="str">
        <f t="shared" si="182"/>
        <v>314207103-R2</v>
      </c>
      <c r="N1127" s="229">
        <v>1</v>
      </c>
      <c r="O1127" s="229"/>
    </row>
    <row r="1128" spans="1:15" x14ac:dyDescent="0.2">
      <c r="A1128" s="226">
        <v>1127</v>
      </c>
      <c r="B1128" s="226" t="str">
        <f t="shared" si="181"/>
        <v>SISTEMA MANIFOLDTANK SIZE 52LFK-5-1-121-13</v>
      </c>
      <c r="C1128" s="226">
        <f t="shared" si="186"/>
        <v>1</v>
      </c>
      <c r="D1128" s="226" t="s">
        <v>126</v>
      </c>
      <c r="E1128" s="226" t="s">
        <v>58</v>
      </c>
      <c r="F1128" s="226" t="s">
        <v>98</v>
      </c>
      <c r="G1128" s="226">
        <f t="shared" si="185"/>
        <v>13</v>
      </c>
      <c r="H1128" s="226" t="s">
        <v>16</v>
      </c>
      <c r="I1128" s="227" t="s">
        <v>67</v>
      </c>
      <c r="J1128" s="226" t="s">
        <v>68</v>
      </c>
      <c r="K1128" s="226" t="s">
        <v>19</v>
      </c>
      <c r="L1128" s="226">
        <f>L1117</f>
        <v>1</v>
      </c>
      <c r="M1128" s="228" t="str">
        <f t="shared" si="182"/>
        <v>570538-R2</v>
      </c>
      <c r="N1128" s="229">
        <v>1</v>
      </c>
      <c r="O1128" s="229"/>
    </row>
    <row r="1129" spans="1:15" x14ac:dyDescent="0.2">
      <c r="A1129" s="226">
        <v>1128</v>
      </c>
      <c r="B1129" s="226" t="str">
        <f t="shared" si="181"/>
        <v>SISTEMA MANIFOLDTANK SIZE 52LFK-5-1-121-14</v>
      </c>
      <c r="C1129" s="226">
        <f t="shared" si="186"/>
        <v>1</v>
      </c>
      <c r="D1129" s="226" t="s">
        <v>126</v>
      </c>
      <c r="E1129" s="226" t="s">
        <v>58</v>
      </c>
      <c r="F1129" s="226" t="s">
        <v>98</v>
      </c>
      <c r="G1129" s="226">
        <f t="shared" si="185"/>
        <v>14</v>
      </c>
      <c r="H1129" s="226" t="s">
        <v>16</v>
      </c>
      <c r="I1129" s="227">
        <v>570568</v>
      </c>
      <c r="J1129" s="226" t="s">
        <v>124</v>
      </c>
      <c r="K1129" s="226" t="s">
        <v>19</v>
      </c>
      <c r="L1129" s="226">
        <f>L1117</f>
        <v>1</v>
      </c>
      <c r="M1129" s="228">
        <f t="shared" si="182"/>
        <v>570568</v>
      </c>
      <c r="N1129" s="229">
        <v>1</v>
      </c>
      <c r="O1129" s="229"/>
    </row>
    <row r="1130" spans="1:15" x14ac:dyDescent="0.2">
      <c r="A1130" s="226">
        <v>1129</v>
      </c>
      <c r="B1130" s="226" t="str">
        <f t="shared" si="181"/>
        <v>SISTEMA MANIFOLDTANK SIZE 52LFK-5-1-121-15</v>
      </c>
      <c r="C1130" s="226">
        <f t="shared" si="186"/>
        <v>1</v>
      </c>
      <c r="D1130" s="226" t="s">
        <v>126</v>
      </c>
      <c r="E1130" s="226" t="s">
        <v>58</v>
      </c>
      <c r="F1130" s="226" t="s">
        <v>98</v>
      </c>
      <c r="G1130" s="226">
        <f t="shared" si="185"/>
        <v>15</v>
      </c>
      <c r="H1130" s="226" t="s">
        <v>16</v>
      </c>
      <c r="I1130" s="227">
        <v>570550</v>
      </c>
      <c r="J1130" s="226" t="s">
        <v>120</v>
      </c>
      <c r="K1130" s="226" t="s">
        <v>19</v>
      </c>
      <c r="L1130" s="226">
        <f>L1117-1</f>
        <v>0</v>
      </c>
      <c r="M1130" s="228">
        <f t="shared" si="182"/>
        <v>570550</v>
      </c>
      <c r="N1130" s="229">
        <v>1</v>
      </c>
      <c r="O1130" s="229"/>
    </row>
    <row r="1131" spans="1:15" x14ac:dyDescent="0.2">
      <c r="A1131" s="226">
        <v>1130</v>
      </c>
      <c r="B1131" s="226" t="str">
        <f t="shared" si="181"/>
        <v>SISTEMA MANIFOLDTANK SIZE 52LFK-5-1-121-16</v>
      </c>
      <c r="C1131" s="226">
        <f t="shared" si="186"/>
        <v>1</v>
      </c>
      <c r="D1131" s="226" t="s">
        <v>126</v>
      </c>
      <c r="E1131" s="226" t="s">
        <v>58</v>
      </c>
      <c r="F1131" s="226" t="s">
        <v>98</v>
      </c>
      <c r="G1131" s="226">
        <f t="shared" si="185"/>
        <v>16</v>
      </c>
      <c r="H1131" s="226" t="s">
        <v>16</v>
      </c>
      <c r="I1131" s="227">
        <v>32338</v>
      </c>
      <c r="J1131" s="226" t="s">
        <v>42</v>
      </c>
      <c r="K1131" s="226" t="s">
        <v>19</v>
      </c>
      <c r="L1131" s="226">
        <v>1</v>
      </c>
      <c r="M1131" s="228">
        <f t="shared" si="182"/>
        <v>32338</v>
      </c>
      <c r="N1131" s="229">
        <v>1</v>
      </c>
      <c r="O1131" s="229"/>
    </row>
    <row r="1132" spans="1:15" x14ac:dyDescent="0.2">
      <c r="A1132" s="226">
        <v>1131</v>
      </c>
      <c r="B1132" s="226" t="str">
        <f t="shared" si="181"/>
        <v>SISTEMA MANIFOLDTANK SIZE 52LFK-5-1-121-17</v>
      </c>
      <c r="C1132" s="226">
        <f t="shared" si="186"/>
        <v>1</v>
      </c>
      <c r="D1132" s="226" t="s">
        <v>126</v>
      </c>
      <c r="E1132" s="226" t="s">
        <v>58</v>
      </c>
      <c r="F1132" s="226" t="s">
        <v>98</v>
      </c>
      <c r="G1132" s="226">
        <f t="shared" si="185"/>
        <v>17</v>
      </c>
      <c r="H1132" s="226" t="s">
        <v>16</v>
      </c>
      <c r="I1132" s="227">
        <v>31810</v>
      </c>
      <c r="J1132" s="226" t="s">
        <v>121</v>
      </c>
      <c r="K1132" s="226" t="s">
        <v>19</v>
      </c>
      <c r="L1132" s="226">
        <v>1</v>
      </c>
      <c r="M1132" s="228">
        <f t="shared" si="182"/>
        <v>31810</v>
      </c>
      <c r="N1132" s="229">
        <v>1</v>
      </c>
      <c r="O1132" s="229"/>
    </row>
    <row r="1133" spans="1:15" x14ac:dyDescent="0.2">
      <c r="A1133" s="226">
        <v>1132</v>
      </c>
      <c r="B1133" s="226" t="str">
        <f t="shared" si="181"/>
        <v>SISTEMA MANIFOLDTANK SIZE 52LFK-5-1-121-18</v>
      </c>
      <c r="C1133" s="226">
        <f t="shared" si="186"/>
        <v>1</v>
      </c>
      <c r="D1133" s="226" t="s">
        <v>126</v>
      </c>
      <c r="E1133" s="226" t="s">
        <v>58</v>
      </c>
      <c r="F1133" s="226" t="s">
        <v>98</v>
      </c>
      <c r="G1133" s="226">
        <f t="shared" si="185"/>
        <v>18</v>
      </c>
      <c r="H1133" s="226" t="s">
        <v>16</v>
      </c>
      <c r="I1133" s="227">
        <v>32336</v>
      </c>
      <c r="J1133" s="226" t="s">
        <v>122</v>
      </c>
      <c r="K1133" s="226" t="s">
        <v>19</v>
      </c>
      <c r="L1133" s="226">
        <f>L1117-1</f>
        <v>0</v>
      </c>
      <c r="M1133" s="228">
        <f t="shared" si="182"/>
        <v>32336</v>
      </c>
      <c r="N1133" s="229">
        <v>1</v>
      </c>
      <c r="O1133" s="229"/>
    </row>
    <row r="1134" spans="1:15" x14ac:dyDescent="0.2">
      <c r="A1134" s="226">
        <v>1133</v>
      </c>
      <c r="B1134" s="226" t="str">
        <f t="shared" si="181"/>
        <v>SISTEMA MANIFOLDTANK SIZE 52LFK-5-1-121-19</v>
      </c>
      <c r="C1134" s="226">
        <f t="shared" si="186"/>
        <v>1</v>
      </c>
      <c r="D1134" s="226" t="s">
        <v>126</v>
      </c>
      <c r="E1134" s="226" t="s">
        <v>58</v>
      </c>
      <c r="F1134" s="226" t="s">
        <v>98</v>
      </c>
      <c r="G1134" s="226">
        <f t="shared" si="185"/>
        <v>19</v>
      </c>
      <c r="H1134" s="226" t="s">
        <v>16</v>
      </c>
      <c r="I1134" s="227">
        <v>31811</v>
      </c>
      <c r="J1134" s="226" t="s">
        <v>123</v>
      </c>
      <c r="K1134" s="226" t="s">
        <v>19</v>
      </c>
      <c r="L1134" s="226">
        <f>IF(L1117&gt;1,L1117-1,0)</f>
        <v>0</v>
      </c>
      <c r="M1134" s="228">
        <f t="shared" si="182"/>
        <v>31811</v>
      </c>
      <c r="N1134" s="229">
        <v>1</v>
      </c>
      <c r="O1134" s="229"/>
    </row>
    <row r="1135" spans="1:15" x14ac:dyDescent="0.2">
      <c r="A1135" s="226">
        <v>1134</v>
      </c>
      <c r="B1135" s="226" t="str">
        <f t="shared" ref="B1135:B1198" si="187">D1135&amp;E1135&amp;F1135&amp;C1135&amp;"-"&amp;G1135&amp;IF(M1135&lt;&gt;"",O1135,"")</f>
        <v>SISTEMA MANIFOLDTANK SIZE 52LFK-5-1-121-20</v>
      </c>
      <c r="C1135" s="226">
        <f t="shared" si="186"/>
        <v>1</v>
      </c>
      <c r="D1135" s="226" t="s">
        <v>126</v>
      </c>
      <c r="E1135" s="226" t="s">
        <v>58</v>
      </c>
      <c r="F1135" s="226" t="s">
        <v>98</v>
      </c>
      <c r="G1135" s="226">
        <f t="shared" si="185"/>
        <v>20</v>
      </c>
      <c r="M1135" s="228">
        <f t="shared" si="182"/>
        <v>0</v>
      </c>
      <c r="N1135" s="229">
        <v>1</v>
      </c>
      <c r="O1135" s="229"/>
    </row>
    <row r="1136" spans="1:15" x14ac:dyDescent="0.2">
      <c r="A1136" s="226">
        <v>1135</v>
      </c>
      <c r="B1136" s="226" t="str">
        <f t="shared" si="187"/>
        <v>SISTEMA MANIFOLDTANK SIZE 52LFK-5-1-121-21</v>
      </c>
      <c r="C1136" s="226">
        <f t="shared" si="186"/>
        <v>1</v>
      </c>
      <c r="D1136" s="226" t="s">
        <v>126</v>
      </c>
      <c r="E1136" s="226" t="s">
        <v>58</v>
      </c>
      <c r="F1136" s="226" t="s">
        <v>98</v>
      </c>
      <c r="G1136" s="226">
        <f t="shared" si="185"/>
        <v>21</v>
      </c>
      <c r="H1136" s="226" t="s">
        <v>16</v>
      </c>
      <c r="I1136" s="227">
        <v>437900</v>
      </c>
      <c r="J1136" s="226" t="s">
        <v>40</v>
      </c>
      <c r="K1136" s="226" t="s">
        <v>19</v>
      </c>
      <c r="L1136" s="226">
        <v>1</v>
      </c>
      <c r="M1136" s="228">
        <f t="shared" ref="M1136:M1199" si="188">I1136</f>
        <v>437900</v>
      </c>
      <c r="N1136" s="229">
        <v>1</v>
      </c>
      <c r="O1136" s="229"/>
    </row>
    <row r="1137" spans="1:15" x14ac:dyDescent="0.2">
      <c r="A1137" s="226">
        <v>1136</v>
      </c>
      <c r="B1137" s="226" t="str">
        <f t="shared" si="187"/>
        <v>SISTEMA MANIFOLDTANK SIZE 52LFK-5-1-121-22</v>
      </c>
      <c r="C1137" s="226">
        <f t="shared" si="186"/>
        <v>1</v>
      </c>
      <c r="D1137" s="226" t="s">
        <v>126</v>
      </c>
      <c r="E1137" s="226" t="s">
        <v>58</v>
      </c>
      <c r="F1137" s="226" t="s">
        <v>98</v>
      </c>
      <c r="G1137" s="226">
        <f t="shared" si="185"/>
        <v>22</v>
      </c>
      <c r="H1137" s="226" t="s">
        <v>16</v>
      </c>
      <c r="I1137" s="227">
        <v>31811</v>
      </c>
      <c r="J1137" s="226" t="s">
        <v>123</v>
      </c>
      <c r="K1137" s="226" t="s">
        <v>19</v>
      </c>
      <c r="L1137" s="226">
        <v>1</v>
      </c>
      <c r="M1137" s="228">
        <f t="shared" si="188"/>
        <v>31811</v>
      </c>
      <c r="N1137" s="229">
        <v>1</v>
      </c>
      <c r="O1137" s="229"/>
    </row>
    <row r="1138" spans="1:15" x14ac:dyDescent="0.2">
      <c r="A1138" s="226">
        <v>1137</v>
      </c>
      <c r="B1138" s="226" t="str">
        <f t="shared" si="187"/>
        <v>SISTEMA MANIFOLDTANK SIZE 52LFK-5-1-121-23</v>
      </c>
      <c r="C1138" s="226">
        <f t="shared" si="186"/>
        <v>1</v>
      </c>
      <c r="D1138" s="226" t="s">
        <v>126</v>
      </c>
      <c r="E1138" s="226" t="s">
        <v>58</v>
      </c>
      <c r="F1138" s="226" t="s">
        <v>98</v>
      </c>
      <c r="G1138" s="226">
        <f t="shared" si="185"/>
        <v>23</v>
      </c>
      <c r="H1138" s="226" t="s">
        <v>16</v>
      </c>
      <c r="I1138" s="227">
        <v>415142</v>
      </c>
      <c r="J1138" s="226" t="s">
        <v>66</v>
      </c>
      <c r="K1138" s="226" t="s">
        <v>19</v>
      </c>
      <c r="L1138" s="226">
        <v>1</v>
      </c>
      <c r="M1138" s="228">
        <f t="shared" si="188"/>
        <v>415142</v>
      </c>
      <c r="N1138" s="229">
        <v>1</v>
      </c>
      <c r="O1138" s="229"/>
    </row>
    <row r="1139" spans="1:15" x14ac:dyDescent="0.2">
      <c r="A1139" s="226">
        <v>1138</v>
      </c>
      <c r="B1139" s="226" t="str">
        <f t="shared" si="187"/>
        <v>SISTEMA MANIFOLDTANK SIZE 52LFK-5-1-121-24</v>
      </c>
      <c r="C1139" s="226">
        <f t="shared" si="186"/>
        <v>1</v>
      </c>
      <c r="D1139" s="226" t="s">
        <v>126</v>
      </c>
      <c r="E1139" s="226" t="s">
        <v>58</v>
      </c>
      <c r="F1139" s="226" t="s">
        <v>98</v>
      </c>
      <c r="G1139" s="226">
        <f t="shared" si="185"/>
        <v>24</v>
      </c>
      <c r="H1139" s="226" t="s">
        <v>16</v>
      </c>
      <c r="I1139" s="227">
        <v>76498</v>
      </c>
      <c r="J1139" s="226" t="s">
        <v>46</v>
      </c>
      <c r="K1139" s="226" t="s">
        <v>19</v>
      </c>
      <c r="L1139" s="226">
        <v>1</v>
      </c>
      <c r="M1139" s="228">
        <f t="shared" si="188"/>
        <v>76498</v>
      </c>
      <c r="N1139" s="229">
        <v>1</v>
      </c>
      <c r="O1139" s="229"/>
    </row>
    <row r="1140" spans="1:15" x14ac:dyDescent="0.2">
      <c r="A1140" s="226">
        <v>1139</v>
      </c>
      <c r="B1140" s="226" t="str">
        <f t="shared" si="187"/>
        <v>-</v>
      </c>
      <c r="M1140" s="228">
        <f t="shared" si="188"/>
        <v>0</v>
      </c>
      <c r="N1140" s="229">
        <v>1</v>
      </c>
      <c r="O1140" s="229"/>
    </row>
    <row r="1141" spans="1:15" x14ac:dyDescent="0.2">
      <c r="A1141" s="226">
        <v>1140</v>
      </c>
      <c r="B1141" s="226" t="str">
        <f t="shared" si="187"/>
        <v>SISTEMA MANIFOLDTANK SIZE 106LFK-5-1-121-1</v>
      </c>
      <c r="C1141" s="226">
        <f>L1141</f>
        <v>1</v>
      </c>
      <c r="D1141" s="226" t="s">
        <v>126</v>
      </c>
      <c r="E1141" s="226" t="s">
        <v>69</v>
      </c>
      <c r="F1141" s="226" t="s">
        <v>98</v>
      </c>
      <c r="G1141" s="226">
        <v>1</v>
      </c>
      <c r="H1141" s="226" t="s">
        <v>16</v>
      </c>
      <c r="I1141" s="227" t="s">
        <v>17</v>
      </c>
      <c r="J1141" s="226" t="s">
        <v>70</v>
      </c>
      <c r="K1141" s="226" t="s">
        <v>19</v>
      </c>
      <c r="L1141" s="226">
        <f>'COT AGENTES'!$H$3</f>
        <v>1</v>
      </c>
      <c r="M1141" s="228" t="s">
        <v>71</v>
      </c>
      <c r="N1141" s="229">
        <v>1</v>
      </c>
      <c r="O1141" s="229"/>
    </row>
    <row r="1142" spans="1:15" x14ac:dyDescent="0.2">
      <c r="A1142" s="226">
        <v>1141</v>
      </c>
      <c r="B1142" s="226" t="str">
        <f t="shared" si="187"/>
        <v>SISTEMA MANIFOLDTANK SIZE 106LFK-5-1-121-2</v>
      </c>
      <c r="C1142" s="226">
        <f>C1141</f>
        <v>1</v>
      </c>
      <c r="D1142" s="226" t="s">
        <v>126</v>
      </c>
      <c r="E1142" s="226" t="s">
        <v>69</v>
      </c>
      <c r="F1142" s="226" t="s">
        <v>98</v>
      </c>
      <c r="G1142" s="226">
        <f t="shared" ref="G1142:G1165" si="189">+G1141+1</f>
        <v>2</v>
      </c>
      <c r="H1142" s="226" t="s">
        <v>16</v>
      </c>
      <c r="I1142" s="227">
        <v>445736</v>
      </c>
      <c r="J1142" s="226" t="s">
        <v>111</v>
      </c>
      <c r="K1142" s="226" t="s">
        <v>19</v>
      </c>
      <c r="L1142" s="226">
        <f>L1141</f>
        <v>1</v>
      </c>
      <c r="M1142" s="228">
        <f t="shared" si="188"/>
        <v>445736</v>
      </c>
      <c r="N1142" s="229">
        <v>1</v>
      </c>
      <c r="O1142" s="229"/>
    </row>
    <row r="1143" spans="1:15" x14ac:dyDescent="0.2">
      <c r="A1143" s="226">
        <v>1142</v>
      </c>
      <c r="B1143" s="226" t="str">
        <f t="shared" si="187"/>
        <v>SISTEMA MANIFOLDTANK SIZE 106LFK-5-1-121-3</v>
      </c>
      <c r="C1143" s="226">
        <f t="shared" ref="C1143:C1165" si="190">C1142</f>
        <v>1</v>
      </c>
      <c r="D1143" s="226" t="s">
        <v>126</v>
      </c>
      <c r="E1143" s="226" t="s">
        <v>69</v>
      </c>
      <c r="F1143" s="226" t="s">
        <v>98</v>
      </c>
      <c r="G1143" s="226">
        <f t="shared" si="189"/>
        <v>3</v>
      </c>
      <c r="H1143" s="226" t="s">
        <v>16</v>
      </c>
      <c r="I1143" s="227" t="s">
        <v>98</v>
      </c>
      <c r="J1143" s="226" t="s">
        <v>100</v>
      </c>
      <c r="K1143" s="226" t="s">
        <v>19</v>
      </c>
      <c r="L1143" s="230">
        <f>'COT AGENTES'!$H$5</f>
        <v>2</v>
      </c>
      <c r="M1143" s="228" t="str">
        <f t="shared" si="188"/>
        <v>FK-5-1-12</v>
      </c>
      <c r="N1143" s="229">
        <v>1</v>
      </c>
      <c r="O1143" s="229"/>
    </row>
    <row r="1144" spans="1:15" x14ac:dyDescent="0.2">
      <c r="A1144" s="226">
        <v>1143</v>
      </c>
      <c r="B1144" s="226" t="str">
        <f t="shared" si="187"/>
        <v>SISTEMA MANIFOLDTANK SIZE 106LFK-5-1-121-4</v>
      </c>
      <c r="C1144" s="226">
        <f t="shared" si="190"/>
        <v>1</v>
      </c>
      <c r="D1144" s="226" t="s">
        <v>126</v>
      </c>
      <c r="E1144" s="226" t="s">
        <v>69</v>
      </c>
      <c r="F1144" s="226" t="s">
        <v>98</v>
      </c>
      <c r="G1144" s="226">
        <f t="shared" si="189"/>
        <v>4</v>
      </c>
      <c r="H1144" s="226" t="s">
        <v>16</v>
      </c>
      <c r="I1144" s="227">
        <v>302207021</v>
      </c>
      <c r="J1144" s="226" t="s">
        <v>101</v>
      </c>
      <c r="K1144" s="226" t="s">
        <v>19</v>
      </c>
      <c r="L1144" s="226">
        <f>L1142</f>
        <v>1</v>
      </c>
      <c r="M1144" s="228">
        <f t="shared" si="188"/>
        <v>302207021</v>
      </c>
      <c r="N1144" s="229">
        <v>1</v>
      </c>
      <c r="O1144" s="229"/>
    </row>
    <row r="1145" spans="1:15" x14ac:dyDescent="0.2">
      <c r="A1145" s="226">
        <v>1144</v>
      </c>
      <c r="B1145" s="226" t="str">
        <f t="shared" si="187"/>
        <v>SISTEMA MANIFOLDTANK SIZE 106LFK-5-1-121-5</v>
      </c>
      <c r="C1145" s="226">
        <f t="shared" si="190"/>
        <v>1</v>
      </c>
      <c r="D1145" s="226" t="s">
        <v>126</v>
      </c>
      <c r="E1145" s="226" t="s">
        <v>69</v>
      </c>
      <c r="F1145" s="226" t="s">
        <v>98</v>
      </c>
      <c r="G1145" s="226">
        <f t="shared" si="189"/>
        <v>5</v>
      </c>
      <c r="H1145" s="226" t="s">
        <v>16</v>
      </c>
      <c r="I1145" s="227">
        <v>314207329</v>
      </c>
      <c r="J1145" s="226" t="s">
        <v>109</v>
      </c>
      <c r="K1145" s="226" t="s">
        <v>19</v>
      </c>
      <c r="L1145" s="226">
        <f>L1142</f>
        <v>1</v>
      </c>
      <c r="M1145" s="228">
        <f t="shared" si="188"/>
        <v>314207329</v>
      </c>
      <c r="N1145" s="229">
        <v>1</v>
      </c>
      <c r="O1145" s="229"/>
    </row>
    <row r="1146" spans="1:15" x14ac:dyDescent="0.2">
      <c r="A1146" s="226">
        <v>1145</v>
      </c>
      <c r="B1146" s="226" t="str">
        <f t="shared" si="187"/>
        <v>SISTEMA MANIFOLDTANK SIZE 106LFK-5-1-121-6</v>
      </c>
      <c r="C1146" s="226">
        <f t="shared" si="190"/>
        <v>1</v>
      </c>
      <c r="D1146" s="226" t="s">
        <v>126</v>
      </c>
      <c r="E1146" s="226" t="s">
        <v>69</v>
      </c>
      <c r="F1146" s="226" t="s">
        <v>98</v>
      </c>
      <c r="G1146" s="226">
        <f t="shared" si="189"/>
        <v>6</v>
      </c>
      <c r="H1146" s="226" t="s">
        <v>16</v>
      </c>
      <c r="I1146" s="227">
        <v>570585</v>
      </c>
      <c r="J1146" s="226" t="s">
        <v>26</v>
      </c>
      <c r="K1146" s="226" t="s">
        <v>19</v>
      </c>
      <c r="L1146" s="226">
        <f>L1142</f>
        <v>1</v>
      </c>
      <c r="M1146" s="228">
        <f t="shared" si="188"/>
        <v>570585</v>
      </c>
      <c r="N1146" s="229">
        <v>1</v>
      </c>
      <c r="O1146" s="229"/>
    </row>
    <row r="1147" spans="1:15" x14ac:dyDescent="0.2">
      <c r="A1147" s="226">
        <v>1146</v>
      </c>
      <c r="B1147" s="226" t="str">
        <f t="shared" si="187"/>
        <v>SISTEMA MANIFOLDTANK SIZE 106LFK-5-1-121-7</v>
      </c>
      <c r="C1147" s="226">
        <f t="shared" si="190"/>
        <v>1</v>
      </c>
      <c r="D1147" s="226" t="s">
        <v>126</v>
      </c>
      <c r="E1147" s="226" t="s">
        <v>69</v>
      </c>
      <c r="F1147" s="226" t="s">
        <v>98</v>
      </c>
      <c r="G1147" s="226">
        <f t="shared" si="189"/>
        <v>7</v>
      </c>
      <c r="H1147" s="226" t="s">
        <v>16</v>
      </c>
      <c r="I1147" s="227">
        <v>304205030</v>
      </c>
      <c r="J1147" s="226" t="s">
        <v>27</v>
      </c>
      <c r="K1147" s="226" t="s">
        <v>19</v>
      </c>
      <c r="L1147" s="226">
        <v>1</v>
      </c>
      <c r="M1147" s="228">
        <f t="shared" si="188"/>
        <v>304205030</v>
      </c>
      <c r="N1147" s="229">
        <v>1</v>
      </c>
      <c r="O1147" s="229"/>
    </row>
    <row r="1148" spans="1:15" x14ac:dyDescent="0.2">
      <c r="A1148" s="226">
        <v>1147</v>
      </c>
      <c r="B1148" s="226" t="str">
        <f t="shared" si="187"/>
        <v>SISTEMA MANIFOLDTANK SIZE 106LFK-5-1-121-8</v>
      </c>
      <c r="C1148" s="226">
        <f t="shared" si="190"/>
        <v>1</v>
      </c>
      <c r="D1148" s="226" t="s">
        <v>126</v>
      </c>
      <c r="E1148" s="226" t="s">
        <v>69</v>
      </c>
      <c r="F1148" s="226" t="s">
        <v>98</v>
      </c>
      <c r="G1148" s="226">
        <f t="shared" si="189"/>
        <v>8</v>
      </c>
      <c r="H1148" s="226" t="s">
        <v>16</v>
      </c>
      <c r="I1148" s="227" t="s">
        <v>28</v>
      </c>
      <c r="J1148" s="226" t="s">
        <v>29</v>
      </c>
      <c r="K1148" s="226" t="s">
        <v>19</v>
      </c>
      <c r="L1148" s="226">
        <f>L1147</f>
        <v>1</v>
      </c>
      <c r="M1148" s="228" t="str">
        <f t="shared" si="188"/>
        <v>A1638150HY</v>
      </c>
      <c r="N1148" s="229">
        <v>1</v>
      </c>
      <c r="O1148" s="229"/>
    </row>
    <row r="1149" spans="1:15" x14ac:dyDescent="0.2">
      <c r="A1149" s="226">
        <v>1148</v>
      </c>
      <c r="B1149" s="226" t="str">
        <f t="shared" si="187"/>
        <v>SISTEMA MANIFOLDTANK SIZE 106LFK-5-1-121-9</v>
      </c>
      <c r="C1149" s="226">
        <f t="shared" si="190"/>
        <v>1</v>
      </c>
      <c r="D1149" s="226" t="s">
        <v>126</v>
      </c>
      <c r="E1149" s="226" t="s">
        <v>69</v>
      </c>
      <c r="F1149" s="226" t="s">
        <v>98</v>
      </c>
      <c r="G1149" s="226">
        <f t="shared" si="189"/>
        <v>9</v>
      </c>
      <c r="H1149" s="226" t="s">
        <v>16</v>
      </c>
      <c r="I1149" s="227" t="s">
        <v>62</v>
      </c>
      <c r="J1149" s="226" t="s">
        <v>63</v>
      </c>
      <c r="K1149" s="226" t="s">
        <v>19</v>
      </c>
      <c r="L1149" s="226">
        <f>L1142*2</f>
        <v>2</v>
      </c>
      <c r="M1149" s="228" t="str">
        <f t="shared" si="188"/>
        <v>570092-R2</v>
      </c>
      <c r="N1149" s="229">
        <v>1</v>
      </c>
      <c r="O1149" s="229"/>
    </row>
    <row r="1150" spans="1:15" x14ac:dyDescent="0.2">
      <c r="A1150" s="226">
        <v>1149</v>
      </c>
      <c r="B1150" s="226" t="str">
        <f t="shared" si="187"/>
        <v>SISTEMA MANIFOLDTANK SIZE 106LFK-5-1-121-10</v>
      </c>
      <c r="C1150" s="226">
        <f t="shared" si="190"/>
        <v>1</v>
      </c>
      <c r="D1150" s="226" t="s">
        <v>126</v>
      </c>
      <c r="E1150" s="226" t="s">
        <v>69</v>
      </c>
      <c r="F1150" s="226" t="s">
        <v>98</v>
      </c>
      <c r="G1150" s="226">
        <f t="shared" si="189"/>
        <v>10</v>
      </c>
      <c r="H1150" s="226" t="s">
        <v>16</v>
      </c>
      <c r="I1150" s="227" t="s">
        <v>32</v>
      </c>
      <c r="J1150" s="226" t="s">
        <v>33</v>
      </c>
      <c r="K1150" s="226" t="s">
        <v>19</v>
      </c>
      <c r="L1150" s="230">
        <f>'COT AGENTES'!$M$11</f>
        <v>1</v>
      </c>
      <c r="M1150" s="228" t="s">
        <v>73</v>
      </c>
      <c r="N1150" s="229">
        <v>1</v>
      </c>
      <c r="O1150" s="229"/>
    </row>
    <row r="1151" spans="1:15" x14ac:dyDescent="0.2">
      <c r="A1151" s="226">
        <v>1150</v>
      </c>
      <c r="B1151" s="226" t="str">
        <f t="shared" si="187"/>
        <v>SISTEMA MANIFOLDTANK SIZE 106LFK-5-1-121-11</v>
      </c>
      <c r="C1151" s="226">
        <f t="shared" si="190"/>
        <v>1</v>
      </c>
      <c r="D1151" s="226" t="s">
        <v>126</v>
      </c>
      <c r="E1151" s="226" t="s">
        <v>69</v>
      </c>
      <c r="F1151" s="226" t="s">
        <v>98</v>
      </c>
      <c r="G1151" s="226">
        <f t="shared" si="189"/>
        <v>11</v>
      </c>
      <c r="H1151" s="226" t="s">
        <v>16</v>
      </c>
      <c r="I1151" s="227" t="s">
        <v>103</v>
      </c>
      <c r="J1151" s="226" t="s">
        <v>104</v>
      </c>
      <c r="K1151" s="226" t="s">
        <v>19</v>
      </c>
      <c r="L1151" s="226">
        <v>1</v>
      </c>
      <c r="M1151" s="228" t="str">
        <f t="shared" si="188"/>
        <v>314207101-R2</v>
      </c>
      <c r="N1151" s="229">
        <v>1</v>
      </c>
      <c r="O1151" s="229"/>
    </row>
    <row r="1152" spans="1:15" x14ac:dyDescent="0.2">
      <c r="A1152" s="226">
        <v>1151</v>
      </c>
      <c r="B1152" s="226" t="str">
        <f t="shared" si="187"/>
        <v>SISTEMA MANIFOLDTANK SIZE 106LFK-5-1-121-12</v>
      </c>
      <c r="C1152" s="226">
        <f t="shared" si="190"/>
        <v>1</v>
      </c>
      <c r="D1152" s="226" t="s">
        <v>126</v>
      </c>
      <c r="E1152" s="226" t="s">
        <v>69</v>
      </c>
      <c r="F1152" s="226" t="s">
        <v>98</v>
      </c>
      <c r="G1152" s="226">
        <f t="shared" si="189"/>
        <v>12</v>
      </c>
      <c r="H1152" s="226" t="s">
        <v>16</v>
      </c>
      <c r="I1152" s="227" t="s">
        <v>105</v>
      </c>
      <c r="J1152" s="226" t="s">
        <v>106</v>
      </c>
      <c r="K1152" s="226" t="s">
        <v>19</v>
      </c>
      <c r="L1152" s="226">
        <v>1</v>
      </c>
      <c r="M1152" s="228" t="str">
        <f t="shared" si="188"/>
        <v>314207103-R2</v>
      </c>
      <c r="N1152" s="229">
        <v>1</v>
      </c>
      <c r="O1152" s="229"/>
    </row>
    <row r="1153" spans="1:15" x14ac:dyDescent="0.2">
      <c r="A1153" s="226">
        <v>1152</v>
      </c>
      <c r="B1153" s="226" t="str">
        <f t="shared" si="187"/>
        <v>SISTEMA MANIFOLDTANK SIZE 106LFK-5-1-121-13</v>
      </c>
      <c r="C1153" s="226">
        <f t="shared" si="190"/>
        <v>1</v>
      </c>
      <c r="D1153" s="226" t="s">
        <v>126</v>
      </c>
      <c r="E1153" s="226" t="s">
        <v>69</v>
      </c>
      <c r="F1153" s="226" t="s">
        <v>98</v>
      </c>
      <c r="G1153" s="226">
        <f t="shared" si="189"/>
        <v>13</v>
      </c>
      <c r="H1153" s="226" t="s">
        <v>16</v>
      </c>
      <c r="I1153" s="227" t="s">
        <v>67</v>
      </c>
      <c r="J1153" s="226" t="s">
        <v>68</v>
      </c>
      <c r="K1153" s="226" t="s">
        <v>19</v>
      </c>
      <c r="L1153" s="226">
        <f>L1142</f>
        <v>1</v>
      </c>
      <c r="M1153" s="228" t="str">
        <f t="shared" si="188"/>
        <v>570538-R2</v>
      </c>
      <c r="N1153" s="229">
        <v>1</v>
      </c>
      <c r="O1153" s="229"/>
    </row>
    <row r="1154" spans="1:15" x14ac:dyDescent="0.2">
      <c r="A1154" s="226">
        <v>1153</v>
      </c>
      <c r="B1154" s="226" t="str">
        <f t="shared" si="187"/>
        <v>SISTEMA MANIFOLDTANK SIZE 106LFK-5-1-121-14</v>
      </c>
      <c r="C1154" s="226">
        <f t="shared" si="190"/>
        <v>1</v>
      </c>
      <c r="D1154" s="226" t="s">
        <v>126</v>
      </c>
      <c r="E1154" s="226" t="s">
        <v>69</v>
      </c>
      <c r="F1154" s="226" t="s">
        <v>98</v>
      </c>
      <c r="G1154" s="226">
        <f t="shared" si="189"/>
        <v>14</v>
      </c>
      <c r="H1154" s="226" t="s">
        <v>16</v>
      </c>
      <c r="I1154" s="227">
        <v>570568</v>
      </c>
      <c r="J1154" s="226" t="s">
        <v>124</v>
      </c>
      <c r="K1154" s="226" t="s">
        <v>19</v>
      </c>
      <c r="L1154" s="226">
        <f>L1142</f>
        <v>1</v>
      </c>
      <c r="M1154" s="228">
        <f t="shared" si="188"/>
        <v>570568</v>
      </c>
      <c r="N1154" s="229">
        <v>1</v>
      </c>
      <c r="O1154" s="229"/>
    </row>
    <row r="1155" spans="1:15" x14ac:dyDescent="0.2">
      <c r="A1155" s="226">
        <v>1154</v>
      </c>
      <c r="B1155" s="226" t="str">
        <f t="shared" si="187"/>
        <v>SISTEMA MANIFOLDTANK SIZE 106LFK-5-1-121-15</v>
      </c>
      <c r="C1155" s="226">
        <f t="shared" si="190"/>
        <v>1</v>
      </c>
      <c r="D1155" s="226" t="s">
        <v>126</v>
      </c>
      <c r="E1155" s="226" t="s">
        <v>69</v>
      </c>
      <c r="F1155" s="226" t="s">
        <v>98</v>
      </c>
      <c r="G1155" s="226">
        <f t="shared" si="189"/>
        <v>15</v>
      </c>
      <c r="H1155" s="226" t="s">
        <v>16</v>
      </c>
      <c r="I1155" s="227">
        <v>570550</v>
      </c>
      <c r="J1155" s="226" t="s">
        <v>120</v>
      </c>
      <c r="K1155" s="226" t="s">
        <v>19</v>
      </c>
      <c r="L1155" s="226">
        <f>L1142-1</f>
        <v>0</v>
      </c>
      <c r="M1155" s="228">
        <f t="shared" si="188"/>
        <v>570550</v>
      </c>
      <c r="N1155" s="229">
        <v>1</v>
      </c>
      <c r="O1155" s="229"/>
    </row>
    <row r="1156" spans="1:15" x14ac:dyDescent="0.2">
      <c r="A1156" s="226">
        <v>1155</v>
      </c>
      <c r="B1156" s="226" t="str">
        <f t="shared" si="187"/>
        <v>SISTEMA MANIFOLDTANK SIZE 106LFK-5-1-121-16</v>
      </c>
      <c r="C1156" s="226">
        <f t="shared" si="190"/>
        <v>1</v>
      </c>
      <c r="D1156" s="226" t="s">
        <v>126</v>
      </c>
      <c r="E1156" s="226" t="s">
        <v>69</v>
      </c>
      <c r="F1156" s="226" t="s">
        <v>98</v>
      </c>
      <c r="G1156" s="226">
        <f t="shared" si="189"/>
        <v>16</v>
      </c>
      <c r="H1156" s="226" t="s">
        <v>16</v>
      </c>
      <c r="I1156" s="227">
        <v>32338</v>
      </c>
      <c r="J1156" s="226" t="s">
        <v>42</v>
      </c>
      <c r="K1156" s="226" t="s">
        <v>19</v>
      </c>
      <c r="L1156" s="226">
        <v>1</v>
      </c>
      <c r="M1156" s="228">
        <f t="shared" si="188"/>
        <v>32338</v>
      </c>
      <c r="N1156" s="229">
        <v>1</v>
      </c>
      <c r="O1156" s="229"/>
    </row>
    <row r="1157" spans="1:15" x14ac:dyDescent="0.2">
      <c r="A1157" s="226">
        <v>1156</v>
      </c>
      <c r="B1157" s="226" t="str">
        <f t="shared" si="187"/>
        <v>SISTEMA MANIFOLDTANK SIZE 106LFK-5-1-121-17</v>
      </c>
      <c r="C1157" s="226">
        <f t="shared" si="190"/>
        <v>1</v>
      </c>
      <c r="D1157" s="226" t="s">
        <v>126</v>
      </c>
      <c r="E1157" s="226" t="s">
        <v>69</v>
      </c>
      <c r="F1157" s="226" t="s">
        <v>98</v>
      </c>
      <c r="G1157" s="226">
        <f t="shared" si="189"/>
        <v>17</v>
      </c>
      <c r="H1157" s="226" t="s">
        <v>16</v>
      </c>
      <c r="I1157" s="227">
        <v>31810</v>
      </c>
      <c r="J1157" s="226" t="s">
        <v>121</v>
      </c>
      <c r="K1157" s="226" t="s">
        <v>19</v>
      </c>
      <c r="L1157" s="226">
        <v>1</v>
      </c>
      <c r="M1157" s="228">
        <f t="shared" si="188"/>
        <v>31810</v>
      </c>
      <c r="N1157" s="229">
        <v>1</v>
      </c>
      <c r="O1157" s="229"/>
    </row>
    <row r="1158" spans="1:15" x14ac:dyDescent="0.2">
      <c r="A1158" s="226">
        <v>1157</v>
      </c>
      <c r="B1158" s="226" t="str">
        <f t="shared" si="187"/>
        <v>SISTEMA MANIFOLDTANK SIZE 106LFK-5-1-121-18</v>
      </c>
      <c r="C1158" s="226">
        <f t="shared" si="190"/>
        <v>1</v>
      </c>
      <c r="D1158" s="226" t="s">
        <v>126</v>
      </c>
      <c r="E1158" s="226" t="s">
        <v>69</v>
      </c>
      <c r="F1158" s="226" t="s">
        <v>98</v>
      </c>
      <c r="G1158" s="226">
        <f t="shared" si="189"/>
        <v>18</v>
      </c>
      <c r="H1158" s="226" t="s">
        <v>16</v>
      </c>
      <c r="I1158" s="227">
        <v>32336</v>
      </c>
      <c r="J1158" s="226" t="s">
        <v>122</v>
      </c>
      <c r="K1158" s="226" t="s">
        <v>19</v>
      </c>
      <c r="L1158" s="226">
        <f>L1142-1</f>
        <v>0</v>
      </c>
      <c r="M1158" s="228">
        <f t="shared" si="188"/>
        <v>32336</v>
      </c>
      <c r="N1158" s="229">
        <v>1</v>
      </c>
      <c r="O1158" s="229"/>
    </row>
    <row r="1159" spans="1:15" x14ac:dyDescent="0.2">
      <c r="A1159" s="226">
        <v>1158</v>
      </c>
      <c r="B1159" s="226" t="str">
        <f t="shared" si="187"/>
        <v>SISTEMA MANIFOLDTANK SIZE 106LFK-5-1-121-19</v>
      </c>
      <c r="C1159" s="226">
        <f t="shared" si="190"/>
        <v>1</v>
      </c>
      <c r="D1159" s="226" t="s">
        <v>126</v>
      </c>
      <c r="E1159" s="226" t="s">
        <v>69</v>
      </c>
      <c r="F1159" s="226" t="s">
        <v>98</v>
      </c>
      <c r="G1159" s="226">
        <f t="shared" si="189"/>
        <v>19</v>
      </c>
      <c r="H1159" s="226" t="s">
        <v>16</v>
      </c>
      <c r="I1159" s="227">
        <v>31811</v>
      </c>
      <c r="J1159" s="226" t="s">
        <v>123</v>
      </c>
      <c r="K1159" s="226" t="s">
        <v>19</v>
      </c>
      <c r="L1159" s="226">
        <f>IF(L1142&gt;1,L1142-1,0)</f>
        <v>0</v>
      </c>
      <c r="M1159" s="228">
        <f t="shared" si="188"/>
        <v>31811</v>
      </c>
      <c r="N1159" s="229">
        <v>1</v>
      </c>
      <c r="O1159" s="229"/>
    </row>
    <row r="1160" spans="1:15" x14ac:dyDescent="0.2">
      <c r="A1160" s="226">
        <v>1159</v>
      </c>
      <c r="B1160" s="226" t="str">
        <f t="shared" si="187"/>
        <v>SISTEMA MANIFOLDTANK SIZE 106LFK-5-1-121-20</v>
      </c>
      <c r="C1160" s="226">
        <f t="shared" si="190"/>
        <v>1</v>
      </c>
      <c r="D1160" s="226" t="s">
        <v>126</v>
      </c>
      <c r="E1160" s="226" t="s">
        <v>69</v>
      </c>
      <c r="F1160" s="226" t="s">
        <v>98</v>
      </c>
      <c r="G1160" s="226">
        <f t="shared" si="189"/>
        <v>20</v>
      </c>
      <c r="M1160" s="228">
        <f t="shared" si="188"/>
        <v>0</v>
      </c>
      <c r="N1160" s="229">
        <v>1</v>
      </c>
      <c r="O1160" s="229"/>
    </row>
    <row r="1161" spans="1:15" x14ac:dyDescent="0.2">
      <c r="A1161" s="226">
        <v>1160</v>
      </c>
      <c r="B1161" s="226" t="str">
        <f t="shared" si="187"/>
        <v>SISTEMA MANIFOLDTANK SIZE 106LFK-5-1-121-21</v>
      </c>
      <c r="C1161" s="226">
        <f t="shared" si="190"/>
        <v>1</v>
      </c>
      <c r="D1161" s="226" t="s">
        <v>126</v>
      </c>
      <c r="E1161" s="226" t="s">
        <v>69</v>
      </c>
      <c r="F1161" s="226" t="s">
        <v>98</v>
      </c>
      <c r="G1161" s="226">
        <f t="shared" si="189"/>
        <v>21</v>
      </c>
      <c r="H1161" s="226" t="s">
        <v>16</v>
      </c>
      <c r="I1161" s="227">
        <v>437900</v>
      </c>
      <c r="J1161" s="226" t="s">
        <v>40</v>
      </c>
      <c r="K1161" s="226" t="s">
        <v>19</v>
      </c>
      <c r="L1161" s="226">
        <v>1</v>
      </c>
      <c r="M1161" s="228">
        <f t="shared" si="188"/>
        <v>437900</v>
      </c>
      <c r="N1161" s="229">
        <v>1</v>
      </c>
      <c r="O1161" s="229"/>
    </row>
    <row r="1162" spans="1:15" x14ac:dyDescent="0.2">
      <c r="A1162" s="226">
        <v>1161</v>
      </c>
      <c r="B1162" s="226" t="str">
        <f t="shared" si="187"/>
        <v>SISTEMA MANIFOLDTANK SIZE 106LFK-5-1-121-22</v>
      </c>
      <c r="C1162" s="226">
        <f t="shared" si="190"/>
        <v>1</v>
      </c>
      <c r="D1162" s="226" t="s">
        <v>126</v>
      </c>
      <c r="E1162" s="226" t="s">
        <v>69</v>
      </c>
      <c r="F1162" s="226" t="s">
        <v>98</v>
      </c>
      <c r="G1162" s="226">
        <f t="shared" si="189"/>
        <v>22</v>
      </c>
      <c r="H1162" s="226" t="s">
        <v>16</v>
      </c>
      <c r="I1162" s="227">
        <v>31811</v>
      </c>
      <c r="J1162" s="226" t="s">
        <v>123</v>
      </c>
      <c r="K1162" s="226" t="s">
        <v>19</v>
      </c>
      <c r="L1162" s="226">
        <v>1</v>
      </c>
      <c r="M1162" s="228">
        <f t="shared" si="188"/>
        <v>31811</v>
      </c>
      <c r="N1162" s="229">
        <v>1</v>
      </c>
      <c r="O1162" s="229"/>
    </row>
    <row r="1163" spans="1:15" x14ac:dyDescent="0.2">
      <c r="A1163" s="226">
        <v>1162</v>
      </c>
      <c r="B1163" s="226" t="str">
        <f t="shared" si="187"/>
        <v>SISTEMA MANIFOLDTANK SIZE 106LFK-5-1-121-23</v>
      </c>
      <c r="C1163" s="226">
        <f t="shared" si="190"/>
        <v>1</v>
      </c>
      <c r="D1163" s="226" t="s">
        <v>126</v>
      </c>
      <c r="E1163" s="226" t="s">
        <v>69</v>
      </c>
      <c r="F1163" s="226" t="s">
        <v>98</v>
      </c>
      <c r="G1163" s="226">
        <f t="shared" si="189"/>
        <v>23</v>
      </c>
      <c r="H1163" s="226" t="s">
        <v>16</v>
      </c>
      <c r="I1163" s="227">
        <v>415142</v>
      </c>
      <c r="J1163" s="226" t="s">
        <v>66</v>
      </c>
      <c r="K1163" s="226" t="s">
        <v>19</v>
      </c>
      <c r="L1163" s="226">
        <v>1</v>
      </c>
      <c r="M1163" s="228">
        <f t="shared" si="188"/>
        <v>415142</v>
      </c>
      <c r="N1163" s="229">
        <v>1</v>
      </c>
      <c r="O1163" s="229"/>
    </row>
    <row r="1164" spans="1:15" x14ac:dyDescent="0.2">
      <c r="A1164" s="226">
        <v>1163</v>
      </c>
      <c r="B1164" s="226" t="str">
        <f t="shared" si="187"/>
        <v>SISTEMA MANIFOLDTANK SIZE 106LFK-5-1-121-24</v>
      </c>
      <c r="C1164" s="226">
        <f t="shared" si="190"/>
        <v>1</v>
      </c>
      <c r="D1164" s="226" t="s">
        <v>126</v>
      </c>
      <c r="E1164" s="226" t="s">
        <v>69</v>
      </c>
      <c r="F1164" s="226" t="s">
        <v>98</v>
      </c>
      <c r="G1164" s="226">
        <f t="shared" si="189"/>
        <v>24</v>
      </c>
      <c r="H1164" s="226" t="s">
        <v>16</v>
      </c>
      <c r="I1164" s="227">
        <v>76498</v>
      </c>
      <c r="J1164" s="226" t="s">
        <v>46</v>
      </c>
      <c r="K1164" s="226" t="s">
        <v>19</v>
      </c>
      <c r="L1164" s="226">
        <v>1</v>
      </c>
      <c r="M1164" s="228">
        <f t="shared" si="188"/>
        <v>76498</v>
      </c>
      <c r="N1164" s="229">
        <v>1</v>
      </c>
      <c r="O1164" s="229"/>
    </row>
    <row r="1165" spans="1:15" x14ac:dyDescent="0.2">
      <c r="A1165" s="226">
        <v>1164</v>
      </c>
      <c r="B1165" s="226" t="str">
        <f t="shared" si="187"/>
        <v>SISTEMA MANIFOLDTANK SIZE 106LFK-5-1-121-25</v>
      </c>
      <c r="C1165" s="226">
        <f t="shared" si="190"/>
        <v>1</v>
      </c>
      <c r="D1165" s="226" t="s">
        <v>126</v>
      </c>
      <c r="E1165" s="226" t="s">
        <v>69</v>
      </c>
      <c r="F1165" s="226" t="s">
        <v>98</v>
      </c>
      <c r="G1165" s="226">
        <f t="shared" si="189"/>
        <v>25</v>
      </c>
      <c r="H1165" s="226" t="s">
        <v>16</v>
      </c>
      <c r="I1165" s="228">
        <v>570277</v>
      </c>
      <c r="J1165" s="226" t="s">
        <v>74</v>
      </c>
      <c r="K1165" s="226" t="s">
        <v>19</v>
      </c>
      <c r="L1165" s="226">
        <f>L1142</f>
        <v>1</v>
      </c>
      <c r="M1165" s="228">
        <f t="shared" si="188"/>
        <v>570277</v>
      </c>
      <c r="N1165" s="229">
        <v>1</v>
      </c>
      <c r="O1165" s="229"/>
    </row>
    <row r="1166" spans="1:15" x14ac:dyDescent="0.2">
      <c r="A1166" s="226">
        <v>1165</v>
      </c>
      <c r="B1166" s="226" t="str">
        <f t="shared" si="187"/>
        <v>-</v>
      </c>
      <c r="M1166" s="228">
        <f t="shared" si="188"/>
        <v>0</v>
      </c>
      <c r="N1166" s="229">
        <v>1</v>
      </c>
      <c r="O1166" s="229"/>
    </row>
    <row r="1167" spans="1:15" x14ac:dyDescent="0.2">
      <c r="A1167" s="226">
        <v>1166</v>
      </c>
      <c r="B1167" s="226" t="str">
        <f t="shared" si="187"/>
        <v>SISTEMA MANIFOLDTANK SIZE 147LFK-5-1-121-1</v>
      </c>
      <c r="C1167" s="226">
        <f>L1167</f>
        <v>1</v>
      </c>
      <c r="D1167" s="226" t="s">
        <v>126</v>
      </c>
      <c r="E1167" s="226" t="s">
        <v>75</v>
      </c>
      <c r="F1167" s="226" t="s">
        <v>98</v>
      </c>
      <c r="G1167" s="226">
        <v>1</v>
      </c>
      <c r="H1167" s="226" t="s">
        <v>16</v>
      </c>
      <c r="I1167" s="227" t="s">
        <v>17</v>
      </c>
      <c r="J1167" s="226" t="s">
        <v>76</v>
      </c>
      <c r="K1167" s="226" t="s">
        <v>19</v>
      </c>
      <c r="L1167" s="226">
        <f>'COT AGENTES'!$H$3</f>
        <v>1</v>
      </c>
      <c r="M1167" s="228" t="s">
        <v>77</v>
      </c>
      <c r="N1167" s="229">
        <v>1</v>
      </c>
      <c r="O1167" s="229"/>
    </row>
    <row r="1168" spans="1:15" x14ac:dyDescent="0.2">
      <c r="A1168" s="226">
        <v>1167</v>
      </c>
      <c r="B1168" s="226" t="str">
        <f t="shared" si="187"/>
        <v>SISTEMA MANIFOLDTANK SIZE 147LFK-5-1-121-2</v>
      </c>
      <c r="C1168" s="226">
        <f>C1167</f>
        <v>1</v>
      </c>
      <c r="D1168" s="226" t="s">
        <v>126</v>
      </c>
      <c r="E1168" s="226" t="s">
        <v>75</v>
      </c>
      <c r="F1168" s="226" t="s">
        <v>98</v>
      </c>
      <c r="G1168" s="226">
        <f>+G1167+1</f>
        <v>2</v>
      </c>
      <c r="H1168" s="226" t="s">
        <v>16</v>
      </c>
      <c r="I1168" s="227">
        <v>445737</v>
      </c>
      <c r="J1168" s="226" t="s">
        <v>112</v>
      </c>
      <c r="K1168" s="226" t="s">
        <v>19</v>
      </c>
      <c r="L1168" s="226">
        <f>L1167</f>
        <v>1</v>
      </c>
      <c r="M1168" s="228">
        <f t="shared" si="188"/>
        <v>445737</v>
      </c>
      <c r="N1168" s="229">
        <v>1</v>
      </c>
      <c r="O1168" s="229"/>
    </row>
    <row r="1169" spans="1:15" x14ac:dyDescent="0.2">
      <c r="A1169" s="226">
        <v>1168</v>
      </c>
      <c r="B1169" s="226" t="str">
        <f t="shared" si="187"/>
        <v>SISTEMA MANIFOLDTANK SIZE 147LFK-5-1-121-3</v>
      </c>
      <c r="C1169" s="226">
        <f t="shared" ref="C1169:C1191" si="191">C1168</f>
        <v>1</v>
      </c>
      <c r="D1169" s="226" t="s">
        <v>126</v>
      </c>
      <c r="E1169" s="226" t="s">
        <v>75</v>
      </c>
      <c r="F1169" s="226" t="s">
        <v>98</v>
      </c>
      <c r="G1169" s="226">
        <f t="shared" ref="G1169:G1191" si="192">+G1168+1</f>
        <v>3</v>
      </c>
      <c r="H1169" s="226" t="s">
        <v>16</v>
      </c>
      <c r="I1169" s="227" t="s">
        <v>98</v>
      </c>
      <c r="J1169" s="226" t="s">
        <v>100</v>
      </c>
      <c r="K1169" s="226" t="s">
        <v>19</v>
      </c>
      <c r="L1169" s="230">
        <f>'COT AGENTES'!$H$5</f>
        <v>2</v>
      </c>
      <c r="M1169" s="228" t="str">
        <f t="shared" si="188"/>
        <v>FK-5-1-12</v>
      </c>
      <c r="N1169" s="229">
        <v>1</v>
      </c>
      <c r="O1169" s="229"/>
    </row>
    <row r="1170" spans="1:15" x14ac:dyDescent="0.2">
      <c r="A1170" s="226">
        <v>1169</v>
      </c>
      <c r="B1170" s="226" t="str">
        <f t="shared" si="187"/>
        <v>SISTEMA MANIFOLDTANK SIZE 147LFK-5-1-121-4</v>
      </c>
      <c r="C1170" s="226">
        <f t="shared" si="191"/>
        <v>1</v>
      </c>
      <c r="D1170" s="226" t="s">
        <v>126</v>
      </c>
      <c r="E1170" s="226" t="s">
        <v>75</v>
      </c>
      <c r="F1170" s="226" t="s">
        <v>98</v>
      </c>
      <c r="G1170" s="226">
        <f t="shared" si="192"/>
        <v>4</v>
      </c>
      <c r="H1170" s="226" t="s">
        <v>16</v>
      </c>
      <c r="I1170" s="227">
        <v>302207021</v>
      </c>
      <c r="J1170" s="226" t="s">
        <v>101</v>
      </c>
      <c r="K1170" s="226" t="s">
        <v>19</v>
      </c>
      <c r="L1170" s="226">
        <f>L1168</f>
        <v>1</v>
      </c>
      <c r="M1170" s="228">
        <f t="shared" si="188"/>
        <v>302207021</v>
      </c>
      <c r="N1170" s="229">
        <v>1</v>
      </c>
      <c r="O1170" s="229"/>
    </row>
    <row r="1171" spans="1:15" x14ac:dyDescent="0.2">
      <c r="A1171" s="226">
        <v>1170</v>
      </c>
      <c r="B1171" s="226" t="str">
        <f t="shared" si="187"/>
        <v>SISTEMA MANIFOLDTANK SIZE 147LFK-5-1-121-5</v>
      </c>
      <c r="C1171" s="226">
        <f t="shared" si="191"/>
        <v>1</v>
      </c>
      <c r="D1171" s="226" t="s">
        <v>126</v>
      </c>
      <c r="E1171" s="226" t="s">
        <v>75</v>
      </c>
      <c r="F1171" s="226" t="s">
        <v>98</v>
      </c>
      <c r="G1171" s="226">
        <f t="shared" si="192"/>
        <v>5</v>
      </c>
      <c r="H1171" s="226" t="s">
        <v>16</v>
      </c>
      <c r="I1171" s="227">
        <v>314207329</v>
      </c>
      <c r="J1171" s="226" t="s">
        <v>109</v>
      </c>
      <c r="K1171" s="226" t="s">
        <v>19</v>
      </c>
      <c r="L1171" s="226">
        <f>L1168</f>
        <v>1</v>
      </c>
      <c r="M1171" s="228">
        <f t="shared" si="188"/>
        <v>314207329</v>
      </c>
      <c r="N1171" s="229">
        <v>1</v>
      </c>
      <c r="O1171" s="229"/>
    </row>
    <row r="1172" spans="1:15" x14ac:dyDescent="0.2">
      <c r="A1172" s="226">
        <v>1171</v>
      </c>
      <c r="B1172" s="226" t="str">
        <f t="shared" si="187"/>
        <v>SISTEMA MANIFOLDTANK SIZE 147LFK-5-1-121-6</v>
      </c>
      <c r="C1172" s="226">
        <f t="shared" si="191"/>
        <v>1</v>
      </c>
      <c r="D1172" s="226" t="s">
        <v>126</v>
      </c>
      <c r="E1172" s="226" t="s">
        <v>75</v>
      </c>
      <c r="F1172" s="226" t="s">
        <v>98</v>
      </c>
      <c r="G1172" s="226">
        <f t="shared" si="192"/>
        <v>6</v>
      </c>
      <c r="H1172" s="226" t="s">
        <v>16</v>
      </c>
      <c r="I1172" s="227">
        <v>570585</v>
      </c>
      <c r="J1172" s="226" t="s">
        <v>26</v>
      </c>
      <c r="K1172" s="226" t="s">
        <v>19</v>
      </c>
      <c r="L1172" s="226">
        <f>L1168</f>
        <v>1</v>
      </c>
      <c r="M1172" s="228">
        <f t="shared" si="188"/>
        <v>570585</v>
      </c>
      <c r="N1172" s="229">
        <v>1</v>
      </c>
      <c r="O1172" s="229"/>
    </row>
    <row r="1173" spans="1:15" x14ac:dyDescent="0.2">
      <c r="A1173" s="226">
        <v>1172</v>
      </c>
      <c r="B1173" s="226" t="str">
        <f t="shared" si="187"/>
        <v>SISTEMA MANIFOLDTANK SIZE 147LFK-5-1-121-7</v>
      </c>
      <c r="C1173" s="226">
        <f t="shared" si="191"/>
        <v>1</v>
      </c>
      <c r="D1173" s="226" t="s">
        <v>126</v>
      </c>
      <c r="E1173" s="226" t="s">
        <v>75</v>
      </c>
      <c r="F1173" s="226" t="s">
        <v>98</v>
      </c>
      <c r="G1173" s="226">
        <f t="shared" si="192"/>
        <v>7</v>
      </c>
      <c r="H1173" s="226" t="s">
        <v>16</v>
      </c>
      <c r="I1173" s="227">
        <v>304205030</v>
      </c>
      <c r="J1173" s="226" t="s">
        <v>27</v>
      </c>
      <c r="K1173" s="226" t="s">
        <v>19</v>
      </c>
      <c r="L1173" s="226">
        <v>1</v>
      </c>
      <c r="M1173" s="228">
        <f t="shared" si="188"/>
        <v>304205030</v>
      </c>
      <c r="N1173" s="229">
        <v>1</v>
      </c>
      <c r="O1173" s="229"/>
    </row>
    <row r="1174" spans="1:15" x14ac:dyDescent="0.2">
      <c r="A1174" s="226">
        <v>1173</v>
      </c>
      <c r="B1174" s="226" t="str">
        <f t="shared" si="187"/>
        <v>SISTEMA MANIFOLDTANK SIZE 147LFK-5-1-121-8</v>
      </c>
      <c r="C1174" s="226">
        <f t="shared" si="191"/>
        <v>1</v>
      </c>
      <c r="D1174" s="226" t="s">
        <v>126</v>
      </c>
      <c r="E1174" s="226" t="s">
        <v>75</v>
      </c>
      <c r="F1174" s="226" t="s">
        <v>98</v>
      </c>
      <c r="G1174" s="226">
        <f t="shared" si="192"/>
        <v>8</v>
      </c>
      <c r="H1174" s="226" t="s">
        <v>16</v>
      </c>
      <c r="I1174" s="227" t="s">
        <v>28</v>
      </c>
      <c r="J1174" s="226" t="s">
        <v>29</v>
      </c>
      <c r="K1174" s="226" t="s">
        <v>19</v>
      </c>
      <c r="L1174" s="226">
        <f>L1173</f>
        <v>1</v>
      </c>
      <c r="M1174" s="228" t="str">
        <f t="shared" si="188"/>
        <v>A1638150HY</v>
      </c>
      <c r="N1174" s="229">
        <v>1</v>
      </c>
      <c r="O1174" s="229"/>
    </row>
    <row r="1175" spans="1:15" x14ac:dyDescent="0.2">
      <c r="A1175" s="226">
        <v>1174</v>
      </c>
      <c r="B1175" s="226" t="str">
        <f t="shared" si="187"/>
        <v>SISTEMA MANIFOLDTANK SIZE 147LFK-5-1-121-9</v>
      </c>
      <c r="C1175" s="226">
        <f t="shared" si="191"/>
        <v>1</v>
      </c>
      <c r="D1175" s="226" t="s">
        <v>126</v>
      </c>
      <c r="E1175" s="226" t="s">
        <v>75</v>
      </c>
      <c r="F1175" s="226" t="s">
        <v>98</v>
      </c>
      <c r="G1175" s="226">
        <f t="shared" si="192"/>
        <v>9</v>
      </c>
      <c r="H1175" s="226" t="s">
        <v>16</v>
      </c>
      <c r="I1175" s="227" t="s">
        <v>62</v>
      </c>
      <c r="J1175" s="226" t="s">
        <v>63</v>
      </c>
      <c r="K1175" s="226" t="s">
        <v>19</v>
      </c>
      <c r="L1175" s="226">
        <f>L1168*2</f>
        <v>2</v>
      </c>
      <c r="M1175" s="228" t="str">
        <f t="shared" si="188"/>
        <v>570092-R2</v>
      </c>
      <c r="N1175" s="229">
        <v>1</v>
      </c>
      <c r="O1175" s="229"/>
    </row>
    <row r="1176" spans="1:15" x14ac:dyDescent="0.2">
      <c r="A1176" s="226">
        <v>1175</v>
      </c>
      <c r="B1176" s="226" t="str">
        <f t="shared" si="187"/>
        <v>SISTEMA MANIFOLDTANK SIZE 147LFK-5-1-121-10</v>
      </c>
      <c r="C1176" s="226">
        <f t="shared" si="191"/>
        <v>1</v>
      </c>
      <c r="D1176" s="226" t="s">
        <v>126</v>
      </c>
      <c r="E1176" s="226" t="s">
        <v>75</v>
      </c>
      <c r="F1176" s="226" t="s">
        <v>98</v>
      </c>
      <c r="G1176" s="226">
        <f t="shared" si="192"/>
        <v>10</v>
      </c>
      <c r="H1176" s="226" t="s">
        <v>16</v>
      </c>
      <c r="I1176" s="227" t="s">
        <v>32</v>
      </c>
      <c r="J1176" s="226" t="s">
        <v>33</v>
      </c>
      <c r="K1176" s="226" t="s">
        <v>19</v>
      </c>
      <c r="L1176" s="230">
        <f>'COT AGENTES'!$M$11</f>
        <v>1</v>
      </c>
      <c r="M1176" s="228" t="s">
        <v>79</v>
      </c>
      <c r="N1176" s="229">
        <v>1</v>
      </c>
      <c r="O1176" s="229"/>
    </row>
    <row r="1177" spans="1:15" x14ac:dyDescent="0.2">
      <c r="A1177" s="226">
        <v>1176</v>
      </c>
      <c r="B1177" s="226" t="str">
        <f t="shared" si="187"/>
        <v>SISTEMA MANIFOLDTANK SIZE 147LFK-5-1-121-11</v>
      </c>
      <c r="C1177" s="226">
        <f t="shared" si="191"/>
        <v>1</v>
      </c>
      <c r="D1177" s="226" t="s">
        <v>126</v>
      </c>
      <c r="E1177" s="226" t="s">
        <v>75</v>
      </c>
      <c r="F1177" s="226" t="s">
        <v>98</v>
      </c>
      <c r="G1177" s="226">
        <f t="shared" si="192"/>
        <v>11</v>
      </c>
      <c r="H1177" s="226" t="s">
        <v>16</v>
      </c>
      <c r="I1177" s="227" t="s">
        <v>103</v>
      </c>
      <c r="J1177" s="226" t="s">
        <v>104</v>
      </c>
      <c r="K1177" s="226" t="s">
        <v>19</v>
      </c>
      <c r="L1177" s="226">
        <v>1</v>
      </c>
      <c r="M1177" s="228" t="str">
        <f t="shared" si="188"/>
        <v>314207101-R2</v>
      </c>
      <c r="N1177" s="229">
        <v>1</v>
      </c>
      <c r="O1177" s="229"/>
    </row>
    <row r="1178" spans="1:15" x14ac:dyDescent="0.2">
      <c r="A1178" s="226">
        <v>1177</v>
      </c>
      <c r="B1178" s="226" t="str">
        <f t="shared" si="187"/>
        <v>SISTEMA MANIFOLDTANK SIZE 147LFK-5-1-121-12</v>
      </c>
      <c r="C1178" s="226">
        <f t="shared" si="191"/>
        <v>1</v>
      </c>
      <c r="D1178" s="226" t="s">
        <v>126</v>
      </c>
      <c r="E1178" s="226" t="s">
        <v>75</v>
      </c>
      <c r="F1178" s="226" t="s">
        <v>98</v>
      </c>
      <c r="G1178" s="226">
        <f t="shared" si="192"/>
        <v>12</v>
      </c>
      <c r="H1178" s="226" t="s">
        <v>16</v>
      </c>
      <c r="I1178" s="227" t="s">
        <v>105</v>
      </c>
      <c r="J1178" s="226" t="s">
        <v>106</v>
      </c>
      <c r="K1178" s="226" t="s">
        <v>19</v>
      </c>
      <c r="L1178" s="226">
        <v>1</v>
      </c>
      <c r="M1178" s="228" t="str">
        <f t="shared" si="188"/>
        <v>314207103-R2</v>
      </c>
      <c r="N1178" s="229">
        <v>1</v>
      </c>
      <c r="O1178" s="229"/>
    </row>
    <row r="1179" spans="1:15" x14ac:dyDescent="0.2">
      <c r="A1179" s="226">
        <v>1178</v>
      </c>
      <c r="B1179" s="226" t="str">
        <f t="shared" si="187"/>
        <v>SISTEMA MANIFOLDTANK SIZE 147LFK-5-1-121-13</v>
      </c>
      <c r="C1179" s="226">
        <f t="shared" si="191"/>
        <v>1</v>
      </c>
      <c r="D1179" s="226" t="s">
        <v>126</v>
      </c>
      <c r="E1179" s="226" t="s">
        <v>75</v>
      </c>
      <c r="F1179" s="226" t="s">
        <v>98</v>
      </c>
      <c r="G1179" s="226">
        <f t="shared" si="192"/>
        <v>13</v>
      </c>
      <c r="H1179" s="226" t="s">
        <v>16</v>
      </c>
      <c r="I1179" s="227" t="s">
        <v>67</v>
      </c>
      <c r="J1179" s="226" t="s">
        <v>68</v>
      </c>
      <c r="K1179" s="226" t="s">
        <v>19</v>
      </c>
      <c r="L1179" s="226">
        <f>L1168</f>
        <v>1</v>
      </c>
      <c r="M1179" s="228" t="str">
        <f t="shared" si="188"/>
        <v>570538-R2</v>
      </c>
      <c r="N1179" s="229">
        <v>1</v>
      </c>
      <c r="O1179" s="229"/>
    </row>
    <row r="1180" spans="1:15" x14ac:dyDescent="0.2">
      <c r="A1180" s="226">
        <v>1179</v>
      </c>
      <c r="B1180" s="226" t="str">
        <f t="shared" si="187"/>
        <v>SISTEMA MANIFOLDTANK SIZE 147LFK-5-1-121-14</v>
      </c>
      <c r="C1180" s="226">
        <f t="shared" si="191"/>
        <v>1</v>
      </c>
      <c r="D1180" s="226" t="s">
        <v>126</v>
      </c>
      <c r="E1180" s="226" t="s">
        <v>75</v>
      </c>
      <c r="F1180" s="226" t="s">
        <v>98</v>
      </c>
      <c r="G1180" s="226">
        <f t="shared" si="192"/>
        <v>14</v>
      </c>
      <c r="H1180" s="226" t="s">
        <v>16</v>
      </c>
      <c r="I1180" s="227">
        <v>570568</v>
      </c>
      <c r="J1180" s="226" t="s">
        <v>124</v>
      </c>
      <c r="K1180" s="226" t="s">
        <v>19</v>
      </c>
      <c r="L1180" s="226">
        <f>L1168</f>
        <v>1</v>
      </c>
      <c r="M1180" s="228">
        <f t="shared" si="188"/>
        <v>570568</v>
      </c>
      <c r="N1180" s="229">
        <v>1</v>
      </c>
      <c r="O1180" s="229"/>
    </row>
    <row r="1181" spans="1:15" x14ac:dyDescent="0.2">
      <c r="A1181" s="226">
        <v>1180</v>
      </c>
      <c r="B1181" s="226" t="str">
        <f t="shared" si="187"/>
        <v>SISTEMA MANIFOLDTANK SIZE 147LFK-5-1-121-15</v>
      </c>
      <c r="C1181" s="226">
        <f t="shared" si="191"/>
        <v>1</v>
      </c>
      <c r="D1181" s="226" t="s">
        <v>126</v>
      </c>
      <c r="E1181" s="226" t="s">
        <v>75</v>
      </c>
      <c r="F1181" s="226" t="s">
        <v>98</v>
      </c>
      <c r="G1181" s="226">
        <f t="shared" si="192"/>
        <v>15</v>
      </c>
      <c r="H1181" s="226" t="s">
        <v>16</v>
      </c>
      <c r="I1181" s="227">
        <v>570550</v>
      </c>
      <c r="J1181" s="226" t="s">
        <v>120</v>
      </c>
      <c r="K1181" s="226" t="s">
        <v>19</v>
      </c>
      <c r="L1181" s="226">
        <f>L1168-1</f>
        <v>0</v>
      </c>
      <c r="M1181" s="228">
        <f t="shared" si="188"/>
        <v>570550</v>
      </c>
      <c r="N1181" s="229">
        <v>1</v>
      </c>
      <c r="O1181" s="229"/>
    </row>
    <row r="1182" spans="1:15" x14ac:dyDescent="0.2">
      <c r="A1182" s="226">
        <v>1181</v>
      </c>
      <c r="B1182" s="226" t="str">
        <f t="shared" si="187"/>
        <v>SISTEMA MANIFOLDTANK SIZE 147LFK-5-1-121-16</v>
      </c>
      <c r="C1182" s="226">
        <f t="shared" si="191"/>
        <v>1</v>
      </c>
      <c r="D1182" s="226" t="s">
        <v>126</v>
      </c>
      <c r="E1182" s="226" t="s">
        <v>75</v>
      </c>
      <c r="F1182" s="226" t="s">
        <v>98</v>
      </c>
      <c r="G1182" s="226">
        <f t="shared" si="192"/>
        <v>16</v>
      </c>
      <c r="H1182" s="226" t="s">
        <v>16</v>
      </c>
      <c r="I1182" s="227">
        <v>32338</v>
      </c>
      <c r="J1182" s="226" t="s">
        <v>42</v>
      </c>
      <c r="K1182" s="226" t="s">
        <v>19</v>
      </c>
      <c r="L1182" s="226">
        <v>1</v>
      </c>
      <c r="M1182" s="228">
        <f t="shared" si="188"/>
        <v>32338</v>
      </c>
      <c r="N1182" s="229">
        <v>1</v>
      </c>
      <c r="O1182" s="229"/>
    </row>
    <row r="1183" spans="1:15" x14ac:dyDescent="0.2">
      <c r="A1183" s="226">
        <v>1182</v>
      </c>
      <c r="B1183" s="226" t="str">
        <f t="shared" si="187"/>
        <v>SISTEMA MANIFOLDTANK SIZE 147LFK-5-1-121-17</v>
      </c>
      <c r="C1183" s="226">
        <f t="shared" si="191"/>
        <v>1</v>
      </c>
      <c r="D1183" s="226" t="s">
        <v>126</v>
      </c>
      <c r="E1183" s="226" t="s">
        <v>75</v>
      </c>
      <c r="F1183" s="226" t="s">
        <v>98</v>
      </c>
      <c r="G1183" s="226">
        <f t="shared" si="192"/>
        <v>17</v>
      </c>
      <c r="H1183" s="226" t="s">
        <v>16</v>
      </c>
      <c r="I1183" s="227">
        <v>31810</v>
      </c>
      <c r="J1183" s="226" t="s">
        <v>121</v>
      </c>
      <c r="K1183" s="226" t="s">
        <v>19</v>
      </c>
      <c r="L1183" s="226">
        <v>1</v>
      </c>
      <c r="M1183" s="228">
        <f t="shared" si="188"/>
        <v>31810</v>
      </c>
      <c r="N1183" s="229">
        <v>1</v>
      </c>
      <c r="O1183" s="229"/>
    </row>
    <row r="1184" spans="1:15" x14ac:dyDescent="0.2">
      <c r="A1184" s="226">
        <v>1183</v>
      </c>
      <c r="B1184" s="226" t="str">
        <f t="shared" si="187"/>
        <v>SISTEMA MANIFOLDTANK SIZE 147LFK-5-1-121-18</v>
      </c>
      <c r="C1184" s="226">
        <f t="shared" si="191"/>
        <v>1</v>
      </c>
      <c r="D1184" s="226" t="s">
        <v>126</v>
      </c>
      <c r="E1184" s="226" t="s">
        <v>75</v>
      </c>
      <c r="F1184" s="226" t="s">
        <v>98</v>
      </c>
      <c r="G1184" s="226">
        <f t="shared" si="192"/>
        <v>18</v>
      </c>
      <c r="H1184" s="226" t="s">
        <v>16</v>
      </c>
      <c r="I1184" s="227">
        <v>32336</v>
      </c>
      <c r="J1184" s="226" t="s">
        <v>122</v>
      </c>
      <c r="K1184" s="226" t="s">
        <v>19</v>
      </c>
      <c r="L1184" s="226">
        <f>L1168-1</f>
        <v>0</v>
      </c>
      <c r="M1184" s="228">
        <f t="shared" si="188"/>
        <v>32336</v>
      </c>
      <c r="N1184" s="229">
        <v>1</v>
      </c>
      <c r="O1184" s="229"/>
    </row>
    <row r="1185" spans="1:15" x14ac:dyDescent="0.2">
      <c r="A1185" s="226">
        <v>1184</v>
      </c>
      <c r="B1185" s="226" t="str">
        <f t="shared" si="187"/>
        <v>SISTEMA MANIFOLDTANK SIZE 147LFK-5-1-121-19</v>
      </c>
      <c r="C1185" s="226">
        <f t="shared" si="191"/>
        <v>1</v>
      </c>
      <c r="D1185" s="226" t="s">
        <v>126</v>
      </c>
      <c r="E1185" s="226" t="s">
        <v>75</v>
      </c>
      <c r="F1185" s="226" t="s">
        <v>98</v>
      </c>
      <c r="G1185" s="226">
        <f t="shared" si="192"/>
        <v>19</v>
      </c>
      <c r="H1185" s="226" t="s">
        <v>16</v>
      </c>
      <c r="I1185" s="227">
        <v>31811</v>
      </c>
      <c r="J1185" s="226" t="s">
        <v>123</v>
      </c>
      <c r="K1185" s="226" t="s">
        <v>19</v>
      </c>
      <c r="L1185" s="226">
        <f>IF(L1168&gt;1,L1168-1,0)</f>
        <v>0</v>
      </c>
      <c r="M1185" s="228">
        <f t="shared" si="188"/>
        <v>31811</v>
      </c>
      <c r="N1185" s="229">
        <v>1</v>
      </c>
      <c r="O1185" s="229"/>
    </row>
    <row r="1186" spans="1:15" x14ac:dyDescent="0.2">
      <c r="A1186" s="226">
        <v>1185</v>
      </c>
      <c r="B1186" s="226" t="str">
        <f t="shared" si="187"/>
        <v>SISTEMA MANIFOLDTANK SIZE 147LFK-5-1-121-20</v>
      </c>
      <c r="C1186" s="226">
        <f t="shared" si="191"/>
        <v>1</v>
      </c>
      <c r="D1186" s="226" t="s">
        <v>126</v>
      </c>
      <c r="E1186" s="226" t="s">
        <v>75</v>
      </c>
      <c r="F1186" s="226" t="s">
        <v>98</v>
      </c>
      <c r="G1186" s="226">
        <f t="shared" si="192"/>
        <v>20</v>
      </c>
      <c r="M1186" s="228">
        <f t="shared" si="188"/>
        <v>0</v>
      </c>
      <c r="N1186" s="229">
        <v>1</v>
      </c>
      <c r="O1186" s="229"/>
    </row>
    <row r="1187" spans="1:15" x14ac:dyDescent="0.2">
      <c r="A1187" s="226">
        <v>1186</v>
      </c>
      <c r="B1187" s="226" t="str">
        <f t="shared" si="187"/>
        <v>SISTEMA MANIFOLDTANK SIZE 147LFK-5-1-121-21</v>
      </c>
      <c r="C1187" s="226">
        <f t="shared" si="191"/>
        <v>1</v>
      </c>
      <c r="D1187" s="226" t="s">
        <v>126</v>
      </c>
      <c r="E1187" s="226" t="s">
        <v>75</v>
      </c>
      <c r="F1187" s="226" t="s">
        <v>98</v>
      </c>
      <c r="G1187" s="226">
        <f t="shared" si="192"/>
        <v>21</v>
      </c>
      <c r="H1187" s="226" t="s">
        <v>16</v>
      </c>
      <c r="I1187" s="227">
        <v>437900</v>
      </c>
      <c r="J1187" s="226" t="s">
        <v>40</v>
      </c>
      <c r="K1187" s="226" t="s">
        <v>19</v>
      </c>
      <c r="L1187" s="226">
        <v>1</v>
      </c>
      <c r="M1187" s="228">
        <f t="shared" si="188"/>
        <v>437900</v>
      </c>
      <c r="N1187" s="229">
        <v>1</v>
      </c>
      <c r="O1187" s="229"/>
    </row>
    <row r="1188" spans="1:15" x14ac:dyDescent="0.2">
      <c r="A1188" s="226">
        <v>1187</v>
      </c>
      <c r="B1188" s="226" t="str">
        <f t="shared" si="187"/>
        <v>SISTEMA MANIFOLDTANK SIZE 147LFK-5-1-121-22</v>
      </c>
      <c r="C1188" s="226">
        <f t="shared" si="191"/>
        <v>1</v>
      </c>
      <c r="D1188" s="226" t="s">
        <v>126</v>
      </c>
      <c r="E1188" s="226" t="s">
        <v>75</v>
      </c>
      <c r="F1188" s="226" t="s">
        <v>98</v>
      </c>
      <c r="G1188" s="226">
        <f t="shared" si="192"/>
        <v>22</v>
      </c>
      <c r="H1188" s="226" t="s">
        <v>16</v>
      </c>
      <c r="I1188" s="227">
        <v>31811</v>
      </c>
      <c r="J1188" s="226" t="s">
        <v>123</v>
      </c>
      <c r="K1188" s="226" t="s">
        <v>19</v>
      </c>
      <c r="L1188" s="226">
        <v>1</v>
      </c>
      <c r="M1188" s="228">
        <f t="shared" si="188"/>
        <v>31811</v>
      </c>
      <c r="N1188" s="229">
        <v>1</v>
      </c>
      <c r="O1188" s="229"/>
    </row>
    <row r="1189" spans="1:15" x14ac:dyDescent="0.2">
      <c r="A1189" s="226">
        <v>1188</v>
      </c>
      <c r="B1189" s="226" t="str">
        <f t="shared" si="187"/>
        <v>SISTEMA MANIFOLDTANK SIZE 147LFK-5-1-121-23</v>
      </c>
      <c r="C1189" s="226">
        <f t="shared" si="191"/>
        <v>1</v>
      </c>
      <c r="D1189" s="226" t="s">
        <v>126</v>
      </c>
      <c r="E1189" s="226" t="s">
        <v>75</v>
      </c>
      <c r="F1189" s="226" t="s">
        <v>98</v>
      </c>
      <c r="G1189" s="226">
        <f t="shared" si="192"/>
        <v>23</v>
      </c>
      <c r="H1189" s="226" t="s">
        <v>16</v>
      </c>
      <c r="I1189" s="227">
        <v>415142</v>
      </c>
      <c r="J1189" s="226" t="s">
        <v>66</v>
      </c>
      <c r="K1189" s="226" t="s">
        <v>19</v>
      </c>
      <c r="L1189" s="226">
        <v>1</v>
      </c>
      <c r="M1189" s="228">
        <f t="shared" si="188"/>
        <v>415142</v>
      </c>
      <c r="N1189" s="229">
        <v>1</v>
      </c>
      <c r="O1189" s="229"/>
    </row>
    <row r="1190" spans="1:15" x14ac:dyDescent="0.2">
      <c r="A1190" s="226">
        <v>1189</v>
      </c>
      <c r="B1190" s="226" t="str">
        <f t="shared" si="187"/>
        <v>SISTEMA MANIFOLDTANK SIZE 147LFK-5-1-121-24</v>
      </c>
      <c r="C1190" s="226">
        <f t="shared" si="191"/>
        <v>1</v>
      </c>
      <c r="D1190" s="226" t="s">
        <v>126</v>
      </c>
      <c r="E1190" s="226" t="s">
        <v>75</v>
      </c>
      <c r="F1190" s="226" t="s">
        <v>98</v>
      </c>
      <c r="G1190" s="226">
        <f t="shared" si="192"/>
        <v>24</v>
      </c>
      <c r="H1190" s="226" t="s">
        <v>16</v>
      </c>
      <c r="I1190" s="227">
        <v>76498</v>
      </c>
      <c r="J1190" s="226" t="s">
        <v>46</v>
      </c>
      <c r="K1190" s="226" t="s">
        <v>19</v>
      </c>
      <c r="L1190" s="226">
        <v>1</v>
      </c>
      <c r="M1190" s="228">
        <f t="shared" si="188"/>
        <v>76498</v>
      </c>
      <c r="N1190" s="229">
        <v>1</v>
      </c>
      <c r="O1190" s="229"/>
    </row>
    <row r="1191" spans="1:15" x14ac:dyDescent="0.2">
      <c r="A1191" s="226">
        <v>1190</v>
      </c>
      <c r="B1191" s="226" t="str">
        <f t="shared" si="187"/>
        <v>SISTEMA MANIFOLDTANK SIZE 147LFK-5-1-121-25</v>
      </c>
      <c r="C1191" s="226">
        <f t="shared" si="191"/>
        <v>1</v>
      </c>
      <c r="D1191" s="226" t="s">
        <v>126</v>
      </c>
      <c r="E1191" s="226" t="s">
        <v>75</v>
      </c>
      <c r="F1191" s="226" t="s">
        <v>98</v>
      </c>
      <c r="G1191" s="226">
        <f t="shared" si="192"/>
        <v>25</v>
      </c>
      <c r="H1191" s="226" t="s">
        <v>16</v>
      </c>
      <c r="I1191" s="228">
        <v>570278</v>
      </c>
      <c r="J1191" s="226" t="s">
        <v>80</v>
      </c>
      <c r="K1191" s="226" t="s">
        <v>19</v>
      </c>
      <c r="L1191" s="226">
        <f>L1168</f>
        <v>1</v>
      </c>
      <c r="M1191" s="228">
        <f t="shared" si="188"/>
        <v>570278</v>
      </c>
      <c r="N1191" s="229">
        <v>1</v>
      </c>
      <c r="O1191" s="229"/>
    </row>
    <row r="1192" spans="1:15" x14ac:dyDescent="0.2">
      <c r="A1192" s="226">
        <v>1191</v>
      </c>
      <c r="B1192" s="226" t="str">
        <f t="shared" si="187"/>
        <v>-</v>
      </c>
      <c r="M1192" s="228">
        <f t="shared" si="188"/>
        <v>0</v>
      </c>
      <c r="N1192" s="229">
        <v>1</v>
      </c>
      <c r="O1192" s="229"/>
    </row>
    <row r="1193" spans="1:15" x14ac:dyDescent="0.2">
      <c r="A1193" s="226">
        <v>1192</v>
      </c>
      <c r="B1193" s="226" t="str">
        <f t="shared" si="187"/>
        <v>SISTEMA MANIFOLDTANK SIZE 180LFK-5-1-121-1</v>
      </c>
      <c r="C1193" s="226">
        <f>L1193</f>
        <v>1</v>
      </c>
      <c r="D1193" s="226" t="s">
        <v>126</v>
      </c>
      <c r="E1193" s="226" t="s">
        <v>81</v>
      </c>
      <c r="F1193" s="226" t="s">
        <v>98</v>
      </c>
      <c r="G1193" s="226">
        <v>1</v>
      </c>
      <c r="H1193" s="226" t="s">
        <v>16</v>
      </c>
      <c r="I1193" s="227" t="s">
        <v>17</v>
      </c>
      <c r="J1193" s="226" t="s">
        <v>82</v>
      </c>
      <c r="K1193" s="226" t="s">
        <v>19</v>
      </c>
      <c r="L1193" s="226">
        <f>'COT AGENTES'!$H$3</f>
        <v>1</v>
      </c>
      <c r="M1193" s="228" t="s">
        <v>83</v>
      </c>
      <c r="N1193" s="229">
        <v>1</v>
      </c>
      <c r="O1193" s="229"/>
    </row>
    <row r="1194" spans="1:15" x14ac:dyDescent="0.2">
      <c r="A1194" s="226">
        <v>1193</v>
      </c>
      <c r="B1194" s="226" t="str">
        <f t="shared" si="187"/>
        <v>SISTEMA MANIFOLDTANK SIZE 180LFK-5-1-121-2</v>
      </c>
      <c r="C1194" s="226">
        <f>C1193</f>
        <v>1</v>
      </c>
      <c r="D1194" s="226" t="s">
        <v>126</v>
      </c>
      <c r="E1194" s="226" t="s">
        <v>81</v>
      </c>
      <c r="F1194" s="226" t="s">
        <v>98</v>
      </c>
      <c r="G1194" s="226">
        <f t="shared" ref="G1194:G1217" si="193">+G1193+1</f>
        <v>2</v>
      </c>
      <c r="H1194" s="226" t="s">
        <v>16</v>
      </c>
      <c r="I1194" s="227">
        <v>445738</v>
      </c>
      <c r="J1194" s="226" t="s">
        <v>113</v>
      </c>
      <c r="K1194" s="226" t="s">
        <v>19</v>
      </c>
      <c r="L1194" s="226">
        <f>L1193</f>
        <v>1</v>
      </c>
      <c r="M1194" s="228">
        <f t="shared" si="188"/>
        <v>445738</v>
      </c>
      <c r="N1194" s="229">
        <v>1</v>
      </c>
      <c r="O1194" s="229"/>
    </row>
    <row r="1195" spans="1:15" x14ac:dyDescent="0.2">
      <c r="A1195" s="226">
        <v>1194</v>
      </c>
      <c r="B1195" s="226" t="str">
        <f t="shared" si="187"/>
        <v>SISTEMA MANIFOLDTANK SIZE 180LFK-5-1-121-3</v>
      </c>
      <c r="C1195" s="226">
        <f t="shared" ref="C1195:C1217" si="194">C1194</f>
        <v>1</v>
      </c>
      <c r="D1195" s="226" t="s">
        <v>126</v>
      </c>
      <c r="E1195" s="226" t="s">
        <v>81</v>
      </c>
      <c r="F1195" s="226" t="s">
        <v>98</v>
      </c>
      <c r="G1195" s="226">
        <f t="shared" si="193"/>
        <v>3</v>
      </c>
      <c r="H1195" s="226" t="s">
        <v>16</v>
      </c>
      <c r="I1195" s="227" t="s">
        <v>98</v>
      </c>
      <c r="J1195" s="226" t="s">
        <v>100</v>
      </c>
      <c r="K1195" s="226" t="s">
        <v>19</v>
      </c>
      <c r="L1195" s="230">
        <f>'COT AGENTES'!$H$5</f>
        <v>2</v>
      </c>
      <c r="M1195" s="228" t="str">
        <f t="shared" si="188"/>
        <v>FK-5-1-12</v>
      </c>
      <c r="N1195" s="229">
        <v>1</v>
      </c>
      <c r="O1195" s="229"/>
    </row>
    <row r="1196" spans="1:15" x14ac:dyDescent="0.2">
      <c r="A1196" s="226">
        <v>1195</v>
      </c>
      <c r="B1196" s="226" t="str">
        <f t="shared" si="187"/>
        <v>SISTEMA MANIFOLDTANK SIZE 180LFK-5-1-121-4</v>
      </c>
      <c r="C1196" s="226">
        <f t="shared" si="194"/>
        <v>1</v>
      </c>
      <c r="D1196" s="226" t="s">
        <v>126</v>
      </c>
      <c r="E1196" s="226" t="s">
        <v>81</v>
      </c>
      <c r="F1196" s="226" t="s">
        <v>98</v>
      </c>
      <c r="G1196" s="226">
        <f t="shared" si="193"/>
        <v>4</v>
      </c>
      <c r="H1196" s="226" t="s">
        <v>16</v>
      </c>
      <c r="I1196" s="227">
        <v>302207021</v>
      </c>
      <c r="J1196" s="226" t="s">
        <v>101</v>
      </c>
      <c r="K1196" s="226" t="s">
        <v>19</v>
      </c>
      <c r="L1196" s="226">
        <f>L1194</f>
        <v>1</v>
      </c>
      <c r="M1196" s="228">
        <f t="shared" si="188"/>
        <v>302207021</v>
      </c>
      <c r="N1196" s="229">
        <v>1</v>
      </c>
      <c r="O1196" s="229"/>
    </row>
    <row r="1197" spans="1:15" x14ac:dyDescent="0.2">
      <c r="A1197" s="226">
        <v>1196</v>
      </c>
      <c r="B1197" s="226" t="str">
        <f t="shared" si="187"/>
        <v>SISTEMA MANIFOLDTANK SIZE 180LFK-5-1-121-5</v>
      </c>
      <c r="C1197" s="226">
        <f t="shared" si="194"/>
        <v>1</v>
      </c>
      <c r="D1197" s="226" t="s">
        <v>126</v>
      </c>
      <c r="E1197" s="226" t="s">
        <v>81</v>
      </c>
      <c r="F1197" s="226" t="s">
        <v>98</v>
      </c>
      <c r="G1197" s="226">
        <f t="shared" si="193"/>
        <v>5</v>
      </c>
      <c r="H1197" s="226" t="s">
        <v>16</v>
      </c>
      <c r="I1197" s="227">
        <v>314207329</v>
      </c>
      <c r="J1197" s="226" t="s">
        <v>109</v>
      </c>
      <c r="K1197" s="226" t="s">
        <v>19</v>
      </c>
      <c r="L1197" s="226">
        <f>L1194</f>
        <v>1</v>
      </c>
      <c r="M1197" s="228">
        <f t="shared" si="188"/>
        <v>314207329</v>
      </c>
      <c r="N1197" s="229">
        <v>1</v>
      </c>
      <c r="O1197" s="229"/>
    </row>
    <row r="1198" spans="1:15" x14ac:dyDescent="0.2">
      <c r="A1198" s="226">
        <v>1197</v>
      </c>
      <c r="B1198" s="226" t="str">
        <f t="shared" si="187"/>
        <v>SISTEMA MANIFOLDTANK SIZE 180LFK-5-1-121-6</v>
      </c>
      <c r="C1198" s="226">
        <f t="shared" si="194"/>
        <v>1</v>
      </c>
      <c r="D1198" s="226" t="s">
        <v>126</v>
      </c>
      <c r="E1198" s="226" t="s">
        <v>81</v>
      </c>
      <c r="F1198" s="226" t="s">
        <v>98</v>
      </c>
      <c r="G1198" s="226">
        <f t="shared" si="193"/>
        <v>6</v>
      </c>
      <c r="H1198" s="226" t="s">
        <v>16</v>
      </c>
      <c r="I1198" s="227">
        <v>570585</v>
      </c>
      <c r="J1198" s="226" t="s">
        <v>26</v>
      </c>
      <c r="K1198" s="226" t="s">
        <v>19</v>
      </c>
      <c r="L1198" s="226">
        <f>L1194</f>
        <v>1</v>
      </c>
      <c r="M1198" s="228">
        <f t="shared" si="188"/>
        <v>570585</v>
      </c>
      <c r="N1198" s="229">
        <v>1</v>
      </c>
      <c r="O1198" s="229"/>
    </row>
    <row r="1199" spans="1:15" x14ac:dyDescent="0.2">
      <c r="A1199" s="226">
        <v>1198</v>
      </c>
      <c r="B1199" s="226" t="str">
        <f t="shared" ref="B1199:B1242" si="195">D1199&amp;E1199&amp;F1199&amp;C1199&amp;"-"&amp;G1199&amp;IF(M1199&lt;&gt;"",O1199,"")</f>
        <v>SISTEMA MANIFOLDTANK SIZE 180LFK-5-1-121-7</v>
      </c>
      <c r="C1199" s="226">
        <f t="shared" si="194"/>
        <v>1</v>
      </c>
      <c r="D1199" s="226" t="s">
        <v>126</v>
      </c>
      <c r="E1199" s="226" t="s">
        <v>81</v>
      </c>
      <c r="F1199" s="226" t="s">
        <v>98</v>
      </c>
      <c r="G1199" s="226">
        <f t="shared" si="193"/>
        <v>7</v>
      </c>
      <c r="H1199" s="226" t="s">
        <v>16</v>
      </c>
      <c r="I1199" s="227">
        <v>304205030</v>
      </c>
      <c r="J1199" s="226" t="s">
        <v>27</v>
      </c>
      <c r="K1199" s="226" t="s">
        <v>19</v>
      </c>
      <c r="L1199" s="226">
        <v>1</v>
      </c>
      <c r="M1199" s="228">
        <f t="shared" si="188"/>
        <v>304205030</v>
      </c>
      <c r="N1199" s="229">
        <v>1</v>
      </c>
      <c r="O1199" s="229"/>
    </row>
    <row r="1200" spans="1:15" x14ac:dyDescent="0.2">
      <c r="A1200" s="226">
        <v>1199</v>
      </c>
      <c r="B1200" s="226" t="str">
        <f t="shared" si="195"/>
        <v>SISTEMA MANIFOLDTANK SIZE 180LFK-5-1-121-8</v>
      </c>
      <c r="C1200" s="226">
        <f t="shared" si="194"/>
        <v>1</v>
      </c>
      <c r="D1200" s="226" t="s">
        <v>126</v>
      </c>
      <c r="E1200" s="226" t="s">
        <v>81</v>
      </c>
      <c r="F1200" s="226" t="s">
        <v>98</v>
      </c>
      <c r="G1200" s="226">
        <f t="shared" si="193"/>
        <v>8</v>
      </c>
      <c r="H1200" s="226" t="s">
        <v>16</v>
      </c>
      <c r="I1200" s="227" t="s">
        <v>28</v>
      </c>
      <c r="J1200" s="226" t="s">
        <v>29</v>
      </c>
      <c r="K1200" s="226" t="s">
        <v>19</v>
      </c>
      <c r="L1200" s="226">
        <f>L1199</f>
        <v>1</v>
      </c>
      <c r="M1200" s="228" t="str">
        <f t="shared" ref="M1200:M1242" si="196">I1200</f>
        <v>A1638150HY</v>
      </c>
      <c r="N1200" s="229">
        <v>1</v>
      </c>
      <c r="O1200" s="229"/>
    </row>
    <row r="1201" spans="1:15" x14ac:dyDescent="0.2">
      <c r="A1201" s="226">
        <v>1200</v>
      </c>
      <c r="B1201" s="226" t="str">
        <f t="shared" si="195"/>
        <v>SISTEMA MANIFOLDTANK SIZE 180LFK-5-1-121-9</v>
      </c>
      <c r="C1201" s="226">
        <f t="shared" si="194"/>
        <v>1</v>
      </c>
      <c r="D1201" s="226" t="s">
        <v>126</v>
      </c>
      <c r="E1201" s="226" t="s">
        <v>81</v>
      </c>
      <c r="F1201" s="226" t="s">
        <v>98</v>
      </c>
      <c r="G1201" s="226">
        <f t="shared" si="193"/>
        <v>9</v>
      </c>
      <c r="H1201" s="226" t="s">
        <v>16</v>
      </c>
      <c r="I1201" s="227" t="s">
        <v>62</v>
      </c>
      <c r="J1201" s="226" t="s">
        <v>63</v>
      </c>
      <c r="K1201" s="226" t="s">
        <v>19</v>
      </c>
      <c r="L1201" s="226">
        <f>L1194*2</f>
        <v>2</v>
      </c>
      <c r="M1201" s="228" t="str">
        <f t="shared" si="196"/>
        <v>570092-R2</v>
      </c>
      <c r="N1201" s="229">
        <v>1</v>
      </c>
      <c r="O1201" s="229"/>
    </row>
    <row r="1202" spans="1:15" x14ac:dyDescent="0.2">
      <c r="A1202" s="226">
        <v>1201</v>
      </c>
      <c r="B1202" s="226" t="str">
        <f t="shared" si="195"/>
        <v>SISTEMA MANIFOLDTANK SIZE 180LFK-5-1-121-10</v>
      </c>
      <c r="C1202" s="226">
        <f t="shared" si="194"/>
        <v>1</v>
      </c>
      <c r="D1202" s="226" t="s">
        <v>126</v>
      </c>
      <c r="E1202" s="226" t="s">
        <v>81</v>
      </c>
      <c r="F1202" s="226" t="s">
        <v>98</v>
      </c>
      <c r="G1202" s="226">
        <f t="shared" si="193"/>
        <v>10</v>
      </c>
      <c r="H1202" s="226" t="s">
        <v>16</v>
      </c>
      <c r="I1202" s="227" t="s">
        <v>32</v>
      </c>
      <c r="J1202" s="226" t="s">
        <v>33</v>
      </c>
      <c r="K1202" s="226" t="s">
        <v>19</v>
      </c>
      <c r="L1202" s="230">
        <f>'COT AGENTES'!$M$11</f>
        <v>1</v>
      </c>
      <c r="M1202" s="228" t="s">
        <v>85</v>
      </c>
      <c r="N1202" s="229">
        <v>1</v>
      </c>
      <c r="O1202" s="229"/>
    </row>
    <row r="1203" spans="1:15" x14ac:dyDescent="0.2">
      <c r="A1203" s="226">
        <v>1202</v>
      </c>
      <c r="B1203" s="226" t="str">
        <f t="shared" si="195"/>
        <v>SISTEMA MANIFOLDTANK SIZE 180LFK-5-1-121-11</v>
      </c>
      <c r="C1203" s="226">
        <f t="shared" si="194"/>
        <v>1</v>
      </c>
      <c r="D1203" s="226" t="s">
        <v>126</v>
      </c>
      <c r="E1203" s="226" t="s">
        <v>81</v>
      </c>
      <c r="F1203" s="226" t="s">
        <v>98</v>
      </c>
      <c r="G1203" s="226">
        <f t="shared" si="193"/>
        <v>11</v>
      </c>
      <c r="H1203" s="226" t="s">
        <v>16</v>
      </c>
      <c r="I1203" s="227" t="s">
        <v>103</v>
      </c>
      <c r="J1203" s="226" t="s">
        <v>104</v>
      </c>
      <c r="K1203" s="226" t="s">
        <v>19</v>
      </c>
      <c r="L1203" s="226">
        <v>1</v>
      </c>
      <c r="M1203" s="228" t="str">
        <f t="shared" si="196"/>
        <v>314207101-R2</v>
      </c>
      <c r="N1203" s="229">
        <v>1</v>
      </c>
      <c r="O1203" s="229"/>
    </row>
    <row r="1204" spans="1:15" x14ac:dyDescent="0.2">
      <c r="A1204" s="226">
        <v>1203</v>
      </c>
      <c r="B1204" s="226" t="str">
        <f t="shared" si="195"/>
        <v>SISTEMA MANIFOLDTANK SIZE 180LFK-5-1-121-12</v>
      </c>
      <c r="C1204" s="226">
        <f t="shared" si="194"/>
        <v>1</v>
      </c>
      <c r="D1204" s="226" t="s">
        <v>126</v>
      </c>
      <c r="E1204" s="226" t="s">
        <v>81</v>
      </c>
      <c r="F1204" s="226" t="s">
        <v>98</v>
      </c>
      <c r="G1204" s="226">
        <f t="shared" si="193"/>
        <v>12</v>
      </c>
      <c r="H1204" s="226" t="s">
        <v>16</v>
      </c>
      <c r="I1204" s="227" t="s">
        <v>105</v>
      </c>
      <c r="J1204" s="226" t="s">
        <v>106</v>
      </c>
      <c r="K1204" s="226" t="s">
        <v>19</v>
      </c>
      <c r="L1204" s="226">
        <v>1</v>
      </c>
      <c r="M1204" s="228" t="str">
        <f t="shared" si="196"/>
        <v>314207103-R2</v>
      </c>
      <c r="N1204" s="229">
        <v>1</v>
      </c>
      <c r="O1204" s="229"/>
    </row>
    <row r="1205" spans="1:15" x14ac:dyDescent="0.2">
      <c r="A1205" s="226">
        <v>1204</v>
      </c>
      <c r="B1205" s="226" t="str">
        <f t="shared" si="195"/>
        <v>SISTEMA MANIFOLDTANK SIZE 180LFK-5-1-121-13</v>
      </c>
      <c r="C1205" s="226">
        <f t="shared" si="194"/>
        <v>1</v>
      </c>
      <c r="D1205" s="226" t="s">
        <v>126</v>
      </c>
      <c r="E1205" s="226" t="s">
        <v>81</v>
      </c>
      <c r="F1205" s="226" t="s">
        <v>98</v>
      </c>
      <c r="G1205" s="226">
        <f t="shared" si="193"/>
        <v>13</v>
      </c>
      <c r="H1205" s="226" t="s">
        <v>16</v>
      </c>
      <c r="I1205" s="227" t="s">
        <v>67</v>
      </c>
      <c r="J1205" s="226" t="s">
        <v>68</v>
      </c>
      <c r="K1205" s="226" t="s">
        <v>19</v>
      </c>
      <c r="L1205" s="226">
        <f>L1194</f>
        <v>1</v>
      </c>
      <c r="M1205" s="228" t="str">
        <f t="shared" si="196"/>
        <v>570538-R2</v>
      </c>
      <c r="N1205" s="229">
        <v>1</v>
      </c>
      <c r="O1205" s="229"/>
    </row>
    <row r="1206" spans="1:15" x14ac:dyDescent="0.2">
      <c r="A1206" s="226">
        <v>1205</v>
      </c>
      <c r="B1206" s="226" t="str">
        <f t="shared" si="195"/>
        <v>SISTEMA MANIFOLDTANK SIZE 180LFK-5-1-121-14</v>
      </c>
      <c r="C1206" s="226">
        <f t="shared" si="194"/>
        <v>1</v>
      </c>
      <c r="D1206" s="226" t="s">
        <v>126</v>
      </c>
      <c r="E1206" s="226" t="s">
        <v>81</v>
      </c>
      <c r="F1206" s="226" t="s">
        <v>98</v>
      </c>
      <c r="G1206" s="226">
        <f t="shared" si="193"/>
        <v>14</v>
      </c>
      <c r="H1206" s="226" t="s">
        <v>16</v>
      </c>
      <c r="I1206" s="227">
        <v>570568</v>
      </c>
      <c r="J1206" s="226" t="s">
        <v>124</v>
      </c>
      <c r="K1206" s="226" t="s">
        <v>19</v>
      </c>
      <c r="L1206" s="226">
        <f>L1194</f>
        <v>1</v>
      </c>
      <c r="M1206" s="228">
        <f t="shared" si="196"/>
        <v>570568</v>
      </c>
      <c r="N1206" s="229">
        <v>1</v>
      </c>
      <c r="O1206" s="229"/>
    </row>
    <row r="1207" spans="1:15" x14ac:dyDescent="0.2">
      <c r="A1207" s="226">
        <v>1206</v>
      </c>
      <c r="B1207" s="226" t="str">
        <f t="shared" si="195"/>
        <v>SISTEMA MANIFOLDTANK SIZE 180LFK-5-1-121-15</v>
      </c>
      <c r="C1207" s="226">
        <f t="shared" si="194"/>
        <v>1</v>
      </c>
      <c r="D1207" s="226" t="s">
        <v>126</v>
      </c>
      <c r="E1207" s="226" t="s">
        <v>81</v>
      </c>
      <c r="F1207" s="226" t="s">
        <v>98</v>
      </c>
      <c r="G1207" s="226">
        <f t="shared" si="193"/>
        <v>15</v>
      </c>
      <c r="H1207" s="226" t="s">
        <v>16</v>
      </c>
      <c r="I1207" s="227">
        <v>570550</v>
      </c>
      <c r="J1207" s="226" t="s">
        <v>120</v>
      </c>
      <c r="K1207" s="226" t="s">
        <v>19</v>
      </c>
      <c r="L1207" s="226">
        <f>L1194-1</f>
        <v>0</v>
      </c>
      <c r="M1207" s="228">
        <f t="shared" si="196"/>
        <v>570550</v>
      </c>
      <c r="N1207" s="229">
        <v>1</v>
      </c>
      <c r="O1207" s="229"/>
    </row>
    <row r="1208" spans="1:15" x14ac:dyDescent="0.2">
      <c r="A1208" s="226">
        <v>1207</v>
      </c>
      <c r="B1208" s="226" t="str">
        <f t="shared" si="195"/>
        <v>SISTEMA MANIFOLDTANK SIZE 180LFK-5-1-121-16</v>
      </c>
      <c r="C1208" s="226">
        <f t="shared" si="194"/>
        <v>1</v>
      </c>
      <c r="D1208" s="226" t="s">
        <v>126</v>
      </c>
      <c r="E1208" s="226" t="s">
        <v>81</v>
      </c>
      <c r="F1208" s="226" t="s">
        <v>98</v>
      </c>
      <c r="G1208" s="226">
        <f t="shared" si="193"/>
        <v>16</v>
      </c>
      <c r="H1208" s="226" t="s">
        <v>16</v>
      </c>
      <c r="I1208" s="227">
        <v>32338</v>
      </c>
      <c r="J1208" s="226" t="s">
        <v>42</v>
      </c>
      <c r="K1208" s="226" t="s">
        <v>19</v>
      </c>
      <c r="L1208" s="226">
        <v>1</v>
      </c>
      <c r="M1208" s="228">
        <f t="shared" si="196"/>
        <v>32338</v>
      </c>
      <c r="N1208" s="229">
        <v>1</v>
      </c>
      <c r="O1208" s="229"/>
    </row>
    <row r="1209" spans="1:15" x14ac:dyDescent="0.2">
      <c r="A1209" s="226">
        <v>1208</v>
      </c>
      <c r="B1209" s="226" t="str">
        <f t="shared" si="195"/>
        <v>SISTEMA MANIFOLDTANK SIZE 180LFK-5-1-121-17</v>
      </c>
      <c r="C1209" s="226">
        <f t="shared" si="194"/>
        <v>1</v>
      </c>
      <c r="D1209" s="226" t="s">
        <v>126</v>
      </c>
      <c r="E1209" s="226" t="s">
        <v>81</v>
      </c>
      <c r="F1209" s="226" t="s">
        <v>98</v>
      </c>
      <c r="G1209" s="226">
        <f t="shared" si="193"/>
        <v>17</v>
      </c>
      <c r="H1209" s="226" t="s">
        <v>16</v>
      </c>
      <c r="I1209" s="227">
        <v>31810</v>
      </c>
      <c r="J1209" s="226" t="s">
        <v>121</v>
      </c>
      <c r="K1209" s="226" t="s">
        <v>19</v>
      </c>
      <c r="L1209" s="226">
        <v>1</v>
      </c>
      <c r="M1209" s="228">
        <f t="shared" si="196"/>
        <v>31810</v>
      </c>
      <c r="N1209" s="229">
        <v>1</v>
      </c>
      <c r="O1209" s="229"/>
    </row>
    <row r="1210" spans="1:15" x14ac:dyDescent="0.2">
      <c r="A1210" s="226">
        <v>1209</v>
      </c>
      <c r="B1210" s="226" t="str">
        <f t="shared" si="195"/>
        <v>SISTEMA MANIFOLDTANK SIZE 180LFK-5-1-121-18</v>
      </c>
      <c r="C1210" s="226">
        <f t="shared" si="194"/>
        <v>1</v>
      </c>
      <c r="D1210" s="226" t="s">
        <v>126</v>
      </c>
      <c r="E1210" s="226" t="s">
        <v>81</v>
      </c>
      <c r="F1210" s="226" t="s">
        <v>98</v>
      </c>
      <c r="G1210" s="226">
        <f t="shared" si="193"/>
        <v>18</v>
      </c>
      <c r="H1210" s="226" t="s">
        <v>16</v>
      </c>
      <c r="I1210" s="227">
        <v>32336</v>
      </c>
      <c r="J1210" s="226" t="s">
        <v>122</v>
      </c>
      <c r="K1210" s="226" t="s">
        <v>19</v>
      </c>
      <c r="L1210" s="226">
        <f>L1194-1</f>
        <v>0</v>
      </c>
      <c r="M1210" s="228">
        <f t="shared" si="196"/>
        <v>32336</v>
      </c>
      <c r="N1210" s="229">
        <v>1</v>
      </c>
      <c r="O1210" s="229"/>
    </row>
    <row r="1211" spans="1:15" x14ac:dyDescent="0.2">
      <c r="A1211" s="226">
        <v>1210</v>
      </c>
      <c r="B1211" s="226" t="str">
        <f t="shared" si="195"/>
        <v>SISTEMA MANIFOLDTANK SIZE 180LFK-5-1-121-19</v>
      </c>
      <c r="C1211" s="226">
        <f t="shared" si="194"/>
        <v>1</v>
      </c>
      <c r="D1211" s="226" t="s">
        <v>126</v>
      </c>
      <c r="E1211" s="226" t="s">
        <v>81</v>
      </c>
      <c r="F1211" s="226" t="s">
        <v>98</v>
      </c>
      <c r="G1211" s="226">
        <f t="shared" si="193"/>
        <v>19</v>
      </c>
      <c r="H1211" s="226" t="s">
        <v>16</v>
      </c>
      <c r="I1211" s="227">
        <v>31811</v>
      </c>
      <c r="J1211" s="226" t="s">
        <v>123</v>
      </c>
      <c r="K1211" s="226" t="s">
        <v>19</v>
      </c>
      <c r="L1211" s="226">
        <f>IF(L1194&gt;1,L1194-1,0)</f>
        <v>0</v>
      </c>
      <c r="M1211" s="228">
        <f t="shared" si="196"/>
        <v>31811</v>
      </c>
      <c r="N1211" s="229">
        <v>1</v>
      </c>
      <c r="O1211" s="229"/>
    </row>
    <row r="1212" spans="1:15" x14ac:dyDescent="0.2">
      <c r="A1212" s="226">
        <v>1211</v>
      </c>
      <c r="B1212" s="226" t="str">
        <f t="shared" si="195"/>
        <v>SISTEMA MANIFOLDTANK SIZE 180LFK-5-1-121-20</v>
      </c>
      <c r="C1212" s="226">
        <f t="shared" si="194"/>
        <v>1</v>
      </c>
      <c r="D1212" s="226" t="s">
        <v>126</v>
      </c>
      <c r="E1212" s="226" t="s">
        <v>81</v>
      </c>
      <c r="F1212" s="226" t="s">
        <v>98</v>
      </c>
      <c r="G1212" s="226">
        <f t="shared" si="193"/>
        <v>20</v>
      </c>
      <c r="M1212" s="228">
        <f t="shared" si="196"/>
        <v>0</v>
      </c>
      <c r="N1212" s="229">
        <v>1</v>
      </c>
      <c r="O1212" s="229"/>
    </row>
    <row r="1213" spans="1:15" x14ac:dyDescent="0.2">
      <c r="A1213" s="226">
        <v>1212</v>
      </c>
      <c r="B1213" s="226" t="str">
        <f t="shared" si="195"/>
        <v>SISTEMA MANIFOLDTANK SIZE 180LFK-5-1-121-21</v>
      </c>
      <c r="C1213" s="226">
        <f t="shared" si="194"/>
        <v>1</v>
      </c>
      <c r="D1213" s="226" t="s">
        <v>126</v>
      </c>
      <c r="E1213" s="226" t="s">
        <v>81</v>
      </c>
      <c r="F1213" s="226" t="s">
        <v>98</v>
      </c>
      <c r="G1213" s="226">
        <f t="shared" si="193"/>
        <v>21</v>
      </c>
      <c r="H1213" s="226" t="s">
        <v>16</v>
      </c>
      <c r="I1213" s="227">
        <v>437900</v>
      </c>
      <c r="J1213" s="226" t="s">
        <v>40</v>
      </c>
      <c r="K1213" s="226" t="s">
        <v>19</v>
      </c>
      <c r="L1213" s="226">
        <v>1</v>
      </c>
      <c r="M1213" s="228">
        <f t="shared" si="196"/>
        <v>437900</v>
      </c>
      <c r="N1213" s="229">
        <v>1</v>
      </c>
      <c r="O1213" s="229"/>
    </row>
    <row r="1214" spans="1:15" x14ac:dyDescent="0.2">
      <c r="A1214" s="226">
        <v>1213</v>
      </c>
      <c r="B1214" s="226" t="str">
        <f t="shared" si="195"/>
        <v>SISTEMA MANIFOLDTANK SIZE 180LFK-5-1-121-22</v>
      </c>
      <c r="C1214" s="226">
        <f t="shared" si="194"/>
        <v>1</v>
      </c>
      <c r="D1214" s="226" t="s">
        <v>126</v>
      </c>
      <c r="E1214" s="226" t="s">
        <v>81</v>
      </c>
      <c r="F1214" s="226" t="s">
        <v>98</v>
      </c>
      <c r="G1214" s="226">
        <f t="shared" si="193"/>
        <v>22</v>
      </c>
      <c r="H1214" s="226" t="s">
        <v>16</v>
      </c>
      <c r="I1214" s="227">
        <v>31811</v>
      </c>
      <c r="J1214" s="226" t="s">
        <v>123</v>
      </c>
      <c r="K1214" s="226" t="s">
        <v>19</v>
      </c>
      <c r="L1214" s="226">
        <v>1</v>
      </c>
      <c r="M1214" s="228">
        <f t="shared" si="196"/>
        <v>31811</v>
      </c>
      <c r="N1214" s="229">
        <v>1</v>
      </c>
      <c r="O1214" s="229"/>
    </row>
    <row r="1215" spans="1:15" x14ac:dyDescent="0.2">
      <c r="A1215" s="226">
        <v>1214</v>
      </c>
      <c r="B1215" s="226" t="str">
        <f t="shared" si="195"/>
        <v>SISTEMA MANIFOLDTANK SIZE 180LFK-5-1-121-23</v>
      </c>
      <c r="C1215" s="226">
        <f t="shared" si="194"/>
        <v>1</v>
      </c>
      <c r="D1215" s="226" t="s">
        <v>126</v>
      </c>
      <c r="E1215" s="226" t="s">
        <v>81</v>
      </c>
      <c r="F1215" s="226" t="s">
        <v>98</v>
      </c>
      <c r="G1215" s="226">
        <f t="shared" si="193"/>
        <v>23</v>
      </c>
      <c r="H1215" s="226" t="s">
        <v>16</v>
      </c>
      <c r="I1215" s="227">
        <v>415142</v>
      </c>
      <c r="J1215" s="226" t="s">
        <v>66</v>
      </c>
      <c r="K1215" s="226" t="s">
        <v>19</v>
      </c>
      <c r="L1215" s="226">
        <v>1</v>
      </c>
      <c r="M1215" s="228">
        <f t="shared" si="196"/>
        <v>415142</v>
      </c>
      <c r="N1215" s="229">
        <v>1</v>
      </c>
      <c r="O1215" s="229"/>
    </row>
    <row r="1216" spans="1:15" x14ac:dyDescent="0.2">
      <c r="A1216" s="226">
        <v>1215</v>
      </c>
      <c r="B1216" s="226" t="str">
        <f t="shared" si="195"/>
        <v>SISTEMA MANIFOLDTANK SIZE 180LFK-5-1-121-24</v>
      </c>
      <c r="C1216" s="226">
        <f t="shared" si="194"/>
        <v>1</v>
      </c>
      <c r="D1216" s="226" t="s">
        <v>126</v>
      </c>
      <c r="E1216" s="226" t="s">
        <v>81</v>
      </c>
      <c r="F1216" s="226" t="s">
        <v>98</v>
      </c>
      <c r="G1216" s="226">
        <f t="shared" si="193"/>
        <v>24</v>
      </c>
      <c r="H1216" s="226" t="s">
        <v>16</v>
      </c>
      <c r="I1216" s="227">
        <v>76498</v>
      </c>
      <c r="J1216" s="226" t="s">
        <v>46</v>
      </c>
      <c r="K1216" s="226" t="s">
        <v>19</v>
      </c>
      <c r="L1216" s="226">
        <v>1</v>
      </c>
      <c r="M1216" s="228">
        <f t="shared" si="196"/>
        <v>76498</v>
      </c>
      <c r="N1216" s="229">
        <v>1</v>
      </c>
      <c r="O1216" s="229"/>
    </row>
    <row r="1217" spans="1:15" x14ac:dyDescent="0.2">
      <c r="A1217" s="226">
        <v>1216</v>
      </c>
      <c r="B1217" s="226" t="str">
        <f t="shared" si="195"/>
        <v>SISTEMA MANIFOLDTANK SIZE 180LFK-5-1-121-25</v>
      </c>
      <c r="C1217" s="226">
        <f t="shared" si="194"/>
        <v>1</v>
      </c>
      <c r="D1217" s="226" t="s">
        <v>126</v>
      </c>
      <c r="E1217" s="226" t="s">
        <v>81</v>
      </c>
      <c r="F1217" s="226" t="s">
        <v>98</v>
      </c>
      <c r="G1217" s="226">
        <f t="shared" si="193"/>
        <v>25</v>
      </c>
      <c r="H1217" s="226" t="s">
        <v>16</v>
      </c>
      <c r="I1217" s="227">
        <v>570589</v>
      </c>
      <c r="J1217" s="226" t="s">
        <v>114</v>
      </c>
      <c r="K1217" s="226" t="s">
        <v>19</v>
      </c>
      <c r="L1217" s="226">
        <f>L1194</f>
        <v>1</v>
      </c>
      <c r="M1217" s="228">
        <f t="shared" si="196"/>
        <v>570589</v>
      </c>
      <c r="N1217" s="229">
        <v>1</v>
      </c>
      <c r="O1217" s="229"/>
    </row>
    <row r="1218" spans="1:15" x14ac:dyDescent="0.2">
      <c r="A1218" s="226">
        <v>1217</v>
      </c>
      <c r="B1218" s="226" t="str">
        <f t="shared" si="195"/>
        <v>-</v>
      </c>
      <c r="M1218" s="228">
        <f t="shared" si="196"/>
        <v>0</v>
      </c>
      <c r="N1218" s="229">
        <v>1</v>
      </c>
      <c r="O1218" s="229"/>
    </row>
    <row r="1219" spans="1:15" x14ac:dyDescent="0.2">
      <c r="A1219" s="226">
        <v>1218</v>
      </c>
      <c r="B1219" s="226" t="str">
        <f t="shared" si="195"/>
        <v>SISTEMA MANIFOLDTANK SIZE 343LFK-5-1-121-1</v>
      </c>
      <c r="C1219" s="226">
        <f>L1219</f>
        <v>1</v>
      </c>
      <c r="D1219" s="226" t="s">
        <v>126</v>
      </c>
      <c r="E1219" s="226" t="s">
        <v>86</v>
      </c>
      <c r="F1219" s="226" t="s">
        <v>98</v>
      </c>
      <c r="G1219" s="226">
        <v>1</v>
      </c>
      <c r="H1219" s="226" t="s">
        <v>16</v>
      </c>
      <c r="I1219" s="227" t="s">
        <v>17</v>
      </c>
      <c r="J1219" s="226" t="s">
        <v>87</v>
      </c>
      <c r="K1219" s="226" t="s">
        <v>19</v>
      </c>
      <c r="L1219" s="226">
        <f>'COT AGENTES'!$H$3</f>
        <v>1</v>
      </c>
      <c r="M1219" s="228" t="s">
        <v>88</v>
      </c>
      <c r="N1219" s="229">
        <v>1</v>
      </c>
      <c r="O1219" s="229"/>
    </row>
    <row r="1220" spans="1:15" x14ac:dyDescent="0.2">
      <c r="A1220" s="226">
        <v>1219</v>
      </c>
      <c r="B1220" s="226" t="str">
        <f t="shared" si="195"/>
        <v>SISTEMA MANIFOLDTANK SIZE 343LFK-5-1-121-2</v>
      </c>
      <c r="C1220" s="226">
        <f>C1219</f>
        <v>1</v>
      </c>
      <c r="D1220" s="226" t="s">
        <v>126</v>
      </c>
      <c r="E1220" s="226" t="s">
        <v>86</v>
      </c>
      <c r="F1220" s="226" t="s">
        <v>98</v>
      </c>
      <c r="G1220" s="226">
        <f t="shared" ref="G1220:G1242" si="197">+G1219+1</f>
        <v>2</v>
      </c>
      <c r="H1220" s="226" t="s">
        <v>16</v>
      </c>
      <c r="I1220" s="227">
        <v>445739</v>
      </c>
      <c r="J1220" s="226" t="s">
        <v>115</v>
      </c>
      <c r="K1220" s="226" t="s">
        <v>19</v>
      </c>
      <c r="L1220" s="226">
        <f>L1219</f>
        <v>1</v>
      </c>
      <c r="M1220" s="228">
        <f t="shared" si="196"/>
        <v>445739</v>
      </c>
      <c r="N1220" s="229">
        <v>1</v>
      </c>
      <c r="O1220" s="229"/>
    </row>
    <row r="1221" spans="1:15" x14ac:dyDescent="0.2">
      <c r="A1221" s="226">
        <v>1220</v>
      </c>
      <c r="B1221" s="226" t="str">
        <f t="shared" si="195"/>
        <v>SISTEMA MANIFOLDTANK SIZE 343LFK-5-1-121-3</v>
      </c>
      <c r="C1221" s="226">
        <f t="shared" ref="C1221:C1242" si="198">C1220</f>
        <v>1</v>
      </c>
      <c r="D1221" s="226" t="s">
        <v>126</v>
      </c>
      <c r="E1221" s="226" t="s">
        <v>86</v>
      </c>
      <c r="F1221" s="226" t="s">
        <v>98</v>
      </c>
      <c r="G1221" s="226">
        <f t="shared" si="197"/>
        <v>3</v>
      </c>
      <c r="H1221" s="226" t="s">
        <v>16</v>
      </c>
      <c r="I1221" s="227" t="s">
        <v>98</v>
      </c>
      <c r="J1221" s="226" t="s">
        <v>100</v>
      </c>
      <c r="K1221" s="226" t="s">
        <v>19</v>
      </c>
      <c r="L1221" s="230">
        <f>'COT AGENTES'!$H$5</f>
        <v>2</v>
      </c>
      <c r="M1221" s="228" t="str">
        <f t="shared" si="196"/>
        <v>FK-5-1-12</v>
      </c>
      <c r="N1221" s="229">
        <v>1</v>
      </c>
      <c r="O1221" s="229"/>
    </row>
    <row r="1222" spans="1:15" x14ac:dyDescent="0.2">
      <c r="A1222" s="226">
        <v>1221</v>
      </c>
      <c r="B1222" s="226" t="str">
        <f t="shared" si="195"/>
        <v>SISTEMA MANIFOLDTANK SIZE 343LFK-5-1-121-4</v>
      </c>
      <c r="C1222" s="226">
        <f t="shared" si="198"/>
        <v>1</v>
      </c>
      <c r="D1222" s="226" t="s">
        <v>126</v>
      </c>
      <c r="E1222" s="226" t="s">
        <v>86</v>
      </c>
      <c r="F1222" s="226" t="s">
        <v>98</v>
      </c>
      <c r="G1222" s="226">
        <f t="shared" si="197"/>
        <v>4</v>
      </c>
      <c r="H1222" s="226" t="s">
        <v>16</v>
      </c>
      <c r="I1222" s="227">
        <v>302207021</v>
      </c>
      <c r="J1222" s="226" t="s">
        <v>101</v>
      </c>
      <c r="K1222" s="226" t="s">
        <v>19</v>
      </c>
      <c r="L1222" s="226">
        <f>L1220</f>
        <v>1</v>
      </c>
      <c r="M1222" s="228">
        <f t="shared" si="196"/>
        <v>302207021</v>
      </c>
      <c r="N1222" s="229">
        <v>1</v>
      </c>
      <c r="O1222" s="229"/>
    </row>
    <row r="1223" spans="1:15" x14ac:dyDescent="0.2">
      <c r="A1223" s="226">
        <v>1222</v>
      </c>
      <c r="B1223" s="226" t="str">
        <f t="shared" si="195"/>
        <v>SISTEMA MANIFOLDTANK SIZE 343LFK-5-1-121-5</v>
      </c>
      <c r="C1223" s="226">
        <f t="shared" si="198"/>
        <v>1</v>
      </c>
      <c r="D1223" s="226" t="s">
        <v>126</v>
      </c>
      <c r="E1223" s="226" t="s">
        <v>86</v>
      </c>
      <c r="F1223" s="226" t="s">
        <v>98</v>
      </c>
      <c r="G1223" s="226">
        <f t="shared" si="197"/>
        <v>5</v>
      </c>
      <c r="H1223" s="226" t="s">
        <v>16</v>
      </c>
      <c r="I1223" s="227">
        <v>314207329</v>
      </c>
      <c r="J1223" s="226" t="s">
        <v>109</v>
      </c>
      <c r="K1223" s="226" t="s">
        <v>19</v>
      </c>
      <c r="L1223" s="226">
        <f>L1220</f>
        <v>1</v>
      </c>
      <c r="M1223" s="228">
        <f t="shared" si="196"/>
        <v>314207329</v>
      </c>
      <c r="N1223" s="229">
        <v>1</v>
      </c>
      <c r="O1223" s="229"/>
    </row>
    <row r="1224" spans="1:15" x14ac:dyDescent="0.2">
      <c r="A1224" s="226">
        <v>1223</v>
      </c>
      <c r="B1224" s="226" t="str">
        <f t="shared" si="195"/>
        <v>SISTEMA MANIFOLDTANK SIZE 343LFK-5-1-121-6</v>
      </c>
      <c r="C1224" s="226">
        <f t="shared" si="198"/>
        <v>1</v>
      </c>
      <c r="D1224" s="226" t="s">
        <v>126</v>
      </c>
      <c r="E1224" s="226" t="s">
        <v>86</v>
      </c>
      <c r="F1224" s="226" t="s">
        <v>98</v>
      </c>
      <c r="G1224" s="226">
        <f t="shared" si="197"/>
        <v>6</v>
      </c>
      <c r="H1224" s="226" t="s">
        <v>16</v>
      </c>
      <c r="I1224" s="227">
        <v>570585</v>
      </c>
      <c r="J1224" s="226" t="s">
        <v>26</v>
      </c>
      <c r="K1224" s="226" t="s">
        <v>19</v>
      </c>
      <c r="L1224" s="226">
        <f>L1220</f>
        <v>1</v>
      </c>
      <c r="M1224" s="228">
        <f t="shared" si="196"/>
        <v>570585</v>
      </c>
      <c r="N1224" s="229">
        <v>1</v>
      </c>
      <c r="O1224" s="229"/>
    </row>
    <row r="1225" spans="1:15" x14ac:dyDescent="0.2">
      <c r="A1225" s="226">
        <v>1224</v>
      </c>
      <c r="B1225" s="226" t="str">
        <f t="shared" si="195"/>
        <v>SISTEMA MANIFOLDTANK SIZE 343LFK-5-1-121-7</v>
      </c>
      <c r="C1225" s="226">
        <f t="shared" si="198"/>
        <v>1</v>
      </c>
      <c r="D1225" s="226" t="s">
        <v>126</v>
      </c>
      <c r="E1225" s="226" t="s">
        <v>86</v>
      </c>
      <c r="F1225" s="226" t="s">
        <v>98</v>
      </c>
      <c r="G1225" s="226">
        <f t="shared" si="197"/>
        <v>7</v>
      </c>
      <c r="H1225" s="226" t="s">
        <v>16</v>
      </c>
      <c r="I1225" s="227">
        <v>304205030</v>
      </c>
      <c r="J1225" s="226" t="s">
        <v>27</v>
      </c>
      <c r="K1225" s="226" t="s">
        <v>19</v>
      </c>
      <c r="L1225" s="226">
        <v>1</v>
      </c>
      <c r="M1225" s="228">
        <f t="shared" si="196"/>
        <v>304205030</v>
      </c>
      <c r="N1225" s="229">
        <v>1</v>
      </c>
      <c r="O1225" s="229"/>
    </row>
    <row r="1226" spans="1:15" x14ac:dyDescent="0.2">
      <c r="A1226" s="226">
        <v>1225</v>
      </c>
      <c r="B1226" s="226" t="str">
        <f t="shared" si="195"/>
        <v>SISTEMA MANIFOLDTANK SIZE 343LFK-5-1-121-8</v>
      </c>
      <c r="C1226" s="226">
        <f t="shared" si="198"/>
        <v>1</v>
      </c>
      <c r="D1226" s="226" t="s">
        <v>126</v>
      </c>
      <c r="E1226" s="226" t="s">
        <v>86</v>
      </c>
      <c r="F1226" s="226" t="s">
        <v>98</v>
      </c>
      <c r="G1226" s="226">
        <f t="shared" si="197"/>
        <v>8</v>
      </c>
      <c r="H1226" s="226" t="s">
        <v>16</v>
      </c>
      <c r="I1226" s="227" t="s">
        <v>28</v>
      </c>
      <c r="J1226" s="226" t="s">
        <v>29</v>
      </c>
      <c r="K1226" s="226" t="s">
        <v>19</v>
      </c>
      <c r="L1226" s="226">
        <f>L1225</f>
        <v>1</v>
      </c>
      <c r="M1226" s="228" t="str">
        <f t="shared" si="196"/>
        <v>A1638150HY</v>
      </c>
      <c r="N1226" s="229">
        <v>1</v>
      </c>
      <c r="O1226" s="229"/>
    </row>
    <row r="1227" spans="1:15" x14ac:dyDescent="0.2">
      <c r="A1227" s="226">
        <v>1226</v>
      </c>
      <c r="B1227" s="226" t="str">
        <f t="shared" si="195"/>
        <v>SISTEMA MANIFOLDTANK SIZE 343LFK-5-1-121-9</v>
      </c>
      <c r="C1227" s="226">
        <f t="shared" si="198"/>
        <v>1</v>
      </c>
      <c r="D1227" s="226" t="s">
        <v>126</v>
      </c>
      <c r="E1227" s="226" t="s">
        <v>86</v>
      </c>
      <c r="F1227" s="226" t="s">
        <v>98</v>
      </c>
      <c r="G1227" s="226">
        <f t="shared" si="197"/>
        <v>9</v>
      </c>
      <c r="H1227" s="226" t="s">
        <v>16</v>
      </c>
      <c r="I1227" s="227" t="s">
        <v>90</v>
      </c>
      <c r="J1227" s="226" t="s">
        <v>91</v>
      </c>
      <c r="K1227" s="226" t="s">
        <v>19</v>
      </c>
      <c r="L1227" s="226">
        <f>L1220*2</f>
        <v>2</v>
      </c>
      <c r="M1227" s="228" t="str">
        <f t="shared" si="196"/>
        <v>570336-R2</v>
      </c>
      <c r="N1227" s="229">
        <v>1</v>
      </c>
      <c r="O1227" s="229"/>
    </row>
    <row r="1228" spans="1:15" x14ac:dyDescent="0.2">
      <c r="A1228" s="226">
        <v>1227</v>
      </c>
      <c r="B1228" s="226" t="str">
        <f t="shared" si="195"/>
        <v>SISTEMA MANIFOLDTANK SIZE 343LFK-5-1-121-10</v>
      </c>
      <c r="C1228" s="226">
        <f t="shared" si="198"/>
        <v>1</v>
      </c>
      <c r="D1228" s="226" t="s">
        <v>126</v>
      </c>
      <c r="E1228" s="226" t="s">
        <v>86</v>
      </c>
      <c r="F1228" s="226" t="s">
        <v>98</v>
      </c>
      <c r="G1228" s="226">
        <f t="shared" si="197"/>
        <v>10</v>
      </c>
      <c r="H1228" s="226" t="s">
        <v>16</v>
      </c>
      <c r="I1228" s="227" t="s">
        <v>32</v>
      </c>
      <c r="J1228" s="226" t="s">
        <v>33</v>
      </c>
      <c r="K1228" s="226" t="s">
        <v>19</v>
      </c>
      <c r="L1228" s="230">
        <f>'COT AGENTES'!$M$11</f>
        <v>1</v>
      </c>
      <c r="M1228" s="228" t="s">
        <v>92</v>
      </c>
      <c r="N1228" s="229">
        <v>1</v>
      </c>
      <c r="O1228" s="229"/>
    </row>
    <row r="1229" spans="1:15" x14ac:dyDescent="0.2">
      <c r="A1229" s="226">
        <v>1228</v>
      </c>
      <c r="B1229" s="226" t="str">
        <f t="shared" si="195"/>
        <v>SISTEMA MANIFOLDTANK SIZE 343LFK-5-1-121-11</v>
      </c>
      <c r="C1229" s="226">
        <f t="shared" si="198"/>
        <v>1</v>
      </c>
      <c r="D1229" s="226" t="s">
        <v>126</v>
      </c>
      <c r="E1229" s="226" t="s">
        <v>86</v>
      </c>
      <c r="F1229" s="226" t="s">
        <v>98</v>
      </c>
      <c r="G1229" s="226">
        <f t="shared" si="197"/>
        <v>11</v>
      </c>
      <c r="H1229" s="226" t="s">
        <v>16</v>
      </c>
      <c r="I1229" s="227" t="s">
        <v>103</v>
      </c>
      <c r="J1229" s="226" t="s">
        <v>104</v>
      </c>
      <c r="K1229" s="226" t="s">
        <v>19</v>
      </c>
      <c r="L1229" s="226">
        <v>1</v>
      </c>
      <c r="M1229" s="228" t="str">
        <f t="shared" si="196"/>
        <v>314207101-R2</v>
      </c>
      <c r="N1229" s="229">
        <v>1</v>
      </c>
      <c r="O1229" s="229"/>
    </row>
    <row r="1230" spans="1:15" x14ac:dyDescent="0.2">
      <c r="A1230" s="226">
        <v>1229</v>
      </c>
      <c r="B1230" s="226" t="str">
        <f t="shared" si="195"/>
        <v>SISTEMA MANIFOLDTANK SIZE 343LFK-5-1-121-12</v>
      </c>
      <c r="C1230" s="226">
        <f t="shared" si="198"/>
        <v>1</v>
      </c>
      <c r="D1230" s="226" t="s">
        <v>126</v>
      </c>
      <c r="E1230" s="226" t="s">
        <v>86</v>
      </c>
      <c r="F1230" s="226" t="s">
        <v>98</v>
      </c>
      <c r="G1230" s="226">
        <f t="shared" si="197"/>
        <v>12</v>
      </c>
      <c r="H1230" s="226" t="s">
        <v>16</v>
      </c>
      <c r="I1230" s="227" t="s">
        <v>105</v>
      </c>
      <c r="J1230" s="226" t="s">
        <v>106</v>
      </c>
      <c r="K1230" s="226" t="s">
        <v>19</v>
      </c>
      <c r="L1230" s="226">
        <v>1</v>
      </c>
      <c r="M1230" s="228" t="str">
        <f t="shared" si="196"/>
        <v>314207103-R2</v>
      </c>
      <c r="N1230" s="229">
        <v>1</v>
      </c>
      <c r="O1230" s="229"/>
    </row>
    <row r="1231" spans="1:15" x14ac:dyDescent="0.2">
      <c r="A1231" s="226">
        <v>1230</v>
      </c>
      <c r="B1231" s="226" t="str">
        <f t="shared" si="195"/>
        <v>SISTEMA MANIFOLDTANK SIZE 343LFK-5-1-121-13</v>
      </c>
      <c r="C1231" s="226">
        <f t="shared" si="198"/>
        <v>1</v>
      </c>
      <c r="D1231" s="226" t="s">
        <v>126</v>
      </c>
      <c r="E1231" s="226" t="s">
        <v>86</v>
      </c>
      <c r="F1231" s="226" t="s">
        <v>98</v>
      </c>
      <c r="G1231" s="226">
        <f t="shared" si="197"/>
        <v>13</v>
      </c>
      <c r="H1231" s="226" t="s">
        <v>16</v>
      </c>
      <c r="I1231" s="228" t="s">
        <v>125</v>
      </c>
      <c r="J1231" s="226" t="s">
        <v>97</v>
      </c>
      <c r="K1231" s="226" t="s">
        <v>19</v>
      </c>
      <c r="L1231" s="226">
        <f>L1220</f>
        <v>1</v>
      </c>
      <c r="M1231" s="228" t="str">
        <f t="shared" si="196"/>
        <v>69841-R2</v>
      </c>
      <c r="N1231" s="229">
        <v>1</v>
      </c>
      <c r="O1231" s="229"/>
    </row>
    <row r="1232" spans="1:15" x14ac:dyDescent="0.2">
      <c r="A1232" s="226">
        <v>1231</v>
      </c>
      <c r="B1232" s="226" t="str">
        <f t="shared" si="195"/>
        <v>SISTEMA MANIFOLDTANK SIZE 343LFK-5-1-121-14</v>
      </c>
      <c r="C1232" s="226">
        <f t="shared" si="198"/>
        <v>1</v>
      </c>
      <c r="D1232" s="226" t="s">
        <v>126</v>
      </c>
      <c r="E1232" s="226" t="s">
        <v>86</v>
      </c>
      <c r="F1232" s="226" t="s">
        <v>98</v>
      </c>
      <c r="G1232" s="226">
        <f t="shared" si="197"/>
        <v>14</v>
      </c>
      <c r="H1232" s="226" t="s">
        <v>16</v>
      </c>
      <c r="I1232" s="227">
        <v>570550</v>
      </c>
      <c r="J1232" s="226" t="s">
        <v>120</v>
      </c>
      <c r="K1232" s="226" t="s">
        <v>19</v>
      </c>
      <c r="L1232" s="226">
        <f>L1220-1</f>
        <v>0</v>
      </c>
      <c r="M1232" s="228">
        <f t="shared" si="196"/>
        <v>570550</v>
      </c>
      <c r="N1232" s="229">
        <v>1</v>
      </c>
      <c r="O1232" s="229"/>
    </row>
    <row r="1233" spans="1:15" x14ac:dyDescent="0.2">
      <c r="A1233" s="226">
        <v>1232</v>
      </c>
      <c r="B1233" s="226" t="str">
        <f t="shared" si="195"/>
        <v>SISTEMA MANIFOLDTANK SIZE 343LFK-5-1-121-15</v>
      </c>
      <c r="C1233" s="226">
        <f t="shared" si="198"/>
        <v>1</v>
      </c>
      <c r="D1233" s="226" t="s">
        <v>126</v>
      </c>
      <c r="E1233" s="226" t="s">
        <v>86</v>
      </c>
      <c r="F1233" s="226" t="s">
        <v>98</v>
      </c>
      <c r="G1233" s="226">
        <f t="shared" si="197"/>
        <v>15</v>
      </c>
      <c r="H1233" s="226" t="s">
        <v>16</v>
      </c>
      <c r="I1233" s="227">
        <v>32338</v>
      </c>
      <c r="J1233" s="226" t="s">
        <v>42</v>
      </c>
      <c r="K1233" s="226" t="s">
        <v>19</v>
      </c>
      <c r="L1233" s="226">
        <v>1</v>
      </c>
      <c r="M1233" s="228">
        <f t="shared" si="196"/>
        <v>32338</v>
      </c>
      <c r="N1233" s="229">
        <v>1</v>
      </c>
      <c r="O1233" s="229"/>
    </row>
    <row r="1234" spans="1:15" x14ac:dyDescent="0.2">
      <c r="A1234" s="226">
        <v>1233</v>
      </c>
      <c r="B1234" s="226" t="str">
        <f t="shared" si="195"/>
        <v>SISTEMA MANIFOLDTANK SIZE 343LFK-5-1-121-16</v>
      </c>
      <c r="C1234" s="226">
        <f t="shared" si="198"/>
        <v>1</v>
      </c>
      <c r="D1234" s="226" t="s">
        <v>126</v>
      </c>
      <c r="E1234" s="226" t="s">
        <v>86</v>
      </c>
      <c r="F1234" s="226" t="s">
        <v>98</v>
      </c>
      <c r="G1234" s="226">
        <f t="shared" si="197"/>
        <v>16</v>
      </c>
      <c r="H1234" s="226" t="s">
        <v>16</v>
      </c>
      <c r="I1234" s="227">
        <v>31810</v>
      </c>
      <c r="J1234" s="226" t="s">
        <v>121</v>
      </c>
      <c r="K1234" s="226" t="s">
        <v>19</v>
      </c>
      <c r="L1234" s="226">
        <v>1</v>
      </c>
      <c r="M1234" s="228">
        <f t="shared" si="196"/>
        <v>31810</v>
      </c>
      <c r="N1234" s="229">
        <v>1</v>
      </c>
      <c r="O1234" s="229"/>
    </row>
    <row r="1235" spans="1:15" x14ac:dyDescent="0.2">
      <c r="A1235" s="226">
        <v>1234</v>
      </c>
      <c r="B1235" s="226" t="str">
        <f t="shared" si="195"/>
        <v>SISTEMA MANIFOLDTANK SIZE 343LFK-5-1-121-17</v>
      </c>
      <c r="C1235" s="226">
        <f t="shared" si="198"/>
        <v>1</v>
      </c>
      <c r="D1235" s="226" t="s">
        <v>126</v>
      </c>
      <c r="E1235" s="226" t="s">
        <v>86</v>
      </c>
      <c r="F1235" s="226" t="s">
        <v>98</v>
      </c>
      <c r="G1235" s="226">
        <f t="shared" si="197"/>
        <v>17</v>
      </c>
      <c r="H1235" s="226" t="s">
        <v>16</v>
      </c>
      <c r="I1235" s="227">
        <v>32336</v>
      </c>
      <c r="J1235" s="226" t="s">
        <v>122</v>
      </c>
      <c r="K1235" s="226" t="s">
        <v>19</v>
      </c>
      <c r="L1235" s="226">
        <f>L1220-1</f>
        <v>0</v>
      </c>
      <c r="M1235" s="228">
        <f t="shared" si="196"/>
        <v>32336</v>
      </c>
      <c r="N1235" s="229">
        <v>1</v>
      </c>
      <c r="O1235" s="229"/>
    </row>
    <row r="1236" spans="1:15" x14ac:dyDescent="0.2">
      <c r="A1236" s="226">
        <v>1235</v>
      </c>
      <c r="B1236" s="226" t="str">
        <f t="shared" si="195"/>
        <v>SISTEMA MANIFOLDTANK SIZE 343LFK-5-1-121-18</v>
      </c>
      <c r="C1236" s="226">
        <f t="shared" si="198"/>
        <v>1</v>
      </c>
      <c r="D1236" s="226" t="s">
        <v>126</v>
      </c>
      <c r="E1236" s="226" t="s">
        <v>86</v>
      </c>
      <c r="F1236" s="226" t="s">
        <v>98</v>
      </c>
      <c r="G1236" s="226">
        <f t="shared" si="197"/>
        <v>18</v>
      </c>
      <c r="H1236" s="226" t="s">
        <v>16</v>
      </c>
      <c r="I1236" s="227">
        <v>31811</v>
      </c>
      <c r="J1236" s="226" t="s">
        <v>123</v>
      </c>
      <c r="K1236" s="226" t="s">
        <v>19</v>
      </c>
      <c r="L1236" s="226">
        <f>IF(L1220&gt;1,L1220-1,0)</f>
        <v>0</v>
      </c>
      <c r="M1236" s="228">
        <f t="shared" si="196"/>
        <v>31811</v>
      </c>
      <c r="N1236" s="229">
        <v>1</v>
      </c>
      <c r="O1236" s="229"/>
    </row>
    <row r="1237" spans="1:15" x14ac:dyDescent="0.2">
      <c r="A1237" s="226">
        <v>1236</v>
      </c>
      <c r="B1237" s="226" t="str">
        <f t="shared" si="195"/>
        <v>SISTEMA MANIFOLDTANK SIZE 343LFK-5-1-121-19</v>
      </c>
      <c r="C1237" s="226">
        <f t="shared" si="198"/>
        <v>1</v>
      </c>
      <c r="D1237" s="226" t="s">
        <v>126</v>
      </c>
      <c r="E1237" s="226" t="s">
        <v>86</v>
      </c>
      <c r="F1237" s="226" t="s">
        <v>98</v>
      </c>
      <c r="G1237" s="226">
        <f t="shared" si="197"/>
        <v>19</v>
      </c>
      <c r="M1237" s="228">
        <f t="shared" si="196"/>
        <v>0</v>
      </c>
      <c r="N1237" s="229">
        <v>1</v>
      </c>
      <c r="O1237" s="229"/>
    </row>
    <row r="1238" spans="1:15" x14ac:dyDescent="0.2">
      <c r="A1238" s="226">
        <v>1237</v>
      </c>
      <c r="B1238" s="226" t="str">
        <f t="shared" si="195"/>
        <v>SISTEMA MANIFOLDTANK SIZE 343LFK-5-1-121-20</v>
      </c>
      <c r="C1238" s="226">
        <f t="shared" si="198"/>
        <v>1</v>
      </c>
      <c r="D1238" s="226" t="s">
        <v>126</v>
      </c>
      <c r="E1238" s="226" t="s">
        <v>86</v>
      </c>
      <c r="F1238" s="226" t="s">
        <v>98</v>
      </c>
      <c r="G1238" s="226">
        <f t="shared" si="197"/>
        <v>20</v>
      </c>
      <c r="H1238" s="226" t="s">
        <v>16</v>
      </c>
      <c r="I1238" s="227">
        <v>437900</v>
      </c>
      <c r="J1238" s="226" t="s">
        <v>40</v>
      </c>
      <c r="K1238" s="226" t="s">
        <v>19</v>
      </c>
      <c r="L1238" s="226">
        <v>1</v>
      </c>
      <c r="M1238" s="228">
        <f t="shared" si="196"/>
        <v>437900</v>
      </c>
      <c r="N1238" s="229">
        <v>1</v>
      </c>
      <c r="O1238" s="229"/>
    </row>
    <row r="1239" spans="1:15" x14ac:dyDescent="0.2">
      <c r="A1239" s="226">
        <v>1238</v>
      </c>
      <c r="B1239" s="226" t="str">
        <f t="shared" si="195"/>
        <v>SISTEMA MANIFOLDTANK SIZE 343LFK-5-1-121-21</v>
      </c>
      <c r="C1239" s="226">
        <f t="shared" si="198"/>
        <v>1</v>
      </c>
      <c r="D1239" s="226" t="s">
        <v>126</v>
      </c>
      <c r="E1239" s="226" t="s">
        <v>86</v>
      </c>
      <c r="F1239" s="226" t="s">
        <v>98</v>
      </c>
      <c r="G1239" s="226">
        <f t="shared" si="197"/>
        <v>21</v>
      </c>
      <c r="H1239" s="226" t="s">
        <v>16</v>
      </c>
      <c r="I1239" s="227">
        <v>31811</v>
      </c>
      <c r="J1239" s="226" t="s">
        <v>123</v>
      </c>
      <c r="K1239" s="226" t="s">
        <v>19</v>
      </c>
      <c r="L1239" s="226">
        <v>1</v>
      </c>
      <c r="M1239" s="228">
        <f t="shared" si="196"/>
        <v>31811</v>
      </c>
      <c r="N1239" s="229">
        <v>1</v>
      </c>
      <c r="O1239" s="229"/>
    </row>
    <row r="1240" spans="1:15" x14ac:dyDescent="0.2">
      <c r="A1240" s="226">
        <v>1239</v>
      </c>
      <c r="B1240" s="226" t="str">
        <f t="shared" si="195"/>
        <v>SISTEMA MANIFOLDTANK SIZE 343LFK-5-1-121-22</v>
      </c>
      <c r="C1240" s="226">
        <f t="shared" si="198"/>
        <v>1</v>
      </c>
      <c r="D1240" s="226" t="s">
        <v>126</v>
      </c>
      <c r="E1240" s="226" t="s">
        <v>86</v>
      </c>
      <c r="F1240" s="226" t="s">
        <v>98</v>
      </c>
      <c r="G1240" s="226">
        <f t="shared" si="197"/>
        <v>22</v>
      </c>
      <c r="H1240" s="226" t="s">
        <v>16</v>
      </c>
      <c r="I1240" s="228">
        <v>430815</v>
      </c>
      <c r="J1240" s="226" t="s">
        <v>94</v>
      </c>
      <c r="K1240" s="226" t="s">
        <v>19</v>
      </c>
      <c r="L1240" s="226">
        <v>1</v>
      </c>
      <c r="M1240" s="228">
        <f t="shared" si="196"/>
        <v>430815</v>
      </c>
      <c r="N1240" s="229">
        <v>1</v>
      </c>
      <c r="O1240" s="229"/>
    </row>
    <row r="1241" spans="1:15" x14ac:dyDescent="0.2">
      <c r="A1241" s="226">
        <v>1240</v>
      </c>
      <c r="B1241" s="226" t="str">
        <f t="shared" si="195"/>
        <v>SISTEMA MANIFOLDTANK SIZE 343LFK-5-1-121-23</v>
      </c>
      <c r="C1241" s="226">
        <f t="shared" si="198"/>
        <v>1</v>
      </c>
      <c r="D1241" s="226" t="s">
        <v>126</v>
      </c>
      <c r="E1241" s="226" t="s">
        <v>86</v>
      </c>
      <c r="F1241" s="226" t="s">
        <v>98</v>
      </c>
      <c r="G1241" s="226">
        <f t="shared" si="197"/>
        <v>23</v>
      </c>
      <c r="H1241" s="226" t="s">
        <v>16</v>
      </c>
      <c r="I1241" s="227">
        <v>76498</v>
      </c>
      <c r="J1241" s="226" t="s">
        <v>46</v>
      </c>
      <c r="K1241" s="226" t="s">
        <v>19</v>
      </c>
      <c r="L1241" s="226">
        <v>1</v>
      </c>
      <c r="M1241" s="228">
        <f t="shared" si="196"/>
        <v>76498</v>
      </c>
      <c r="N1241" s="229">
        <v>1</v>
      </c>
      <c r="O1241" s="229"/>
    </row>
    <row r="1242" spans="1:15" x14ac:dyDescent="0.2">
      <c r="A1242" s="226">
        <v>1241</v>
      </c>
      <c r="B1242" s="226" t="str">
        <f t="shared" si="195"/>
        <v>SISTEMA MANIFOLDTANK SIZE 343LFK-5-1-121-24</v>
      </c>
      <c r="C1242" s="226">
        <f t="shared" si="198"/>
        <v>1</v>
      </c>
      <c r="D1242" s="226" t="s">
        <v>126</v>
      </c>
      <c r="E1242" s="226" t="s">
        <v>86</v>
      </c>
      <c r="F1242" s="226" t="s">
        <v>98</v>
      </c>
      <c r="G1242" s="226">
        <f t="shared" si="197"/>
        <v>24</v>
      </c>
      <c r="H1242" s="226" t="s">
        <v>16</v>
      </c>
      <c r="I1242" s="228">
        <v>570278</v>
      </c>
      <c r="J1242" s="226" t="s">
        <v>80</v>
      </c>
      <c r="K1242" s="226" t="s">
        <v>19</v>
      </c>
      <c r="L1242" s="226">
        <f>L1220</f>
        <v>1</v>
      </c>
      <c r="M1242" s="228">
        <f t="shared" si="196"/>
        <v>570278</v>
      </c>
      <c r="N1242" s="229">
        <v>1</v>
      </c>
      <c r="O1242" s="2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E5FDA-0163-46F4-8726-DC9AF9D96206}">
  <dimension ref="A1:AO27"/>
  <sheetViews>
    <sheetView topLeftCell="I1" workbookViewId="0">
      <selection activeCell="I12" sqref="I12"/>
    </sheetView>
  </sheetViews>
  <sheetFormatPr baseColWidth="10" defaultColWidth="10.7109375" defaultRowHeight="15" x14ac:dyDescent="0.25"/>
  <cols>
    <col min="1" max="1" width="4.140625" bestFit="1" customWidth="1"/>
    <col min="2" max="2" width="4.28515625" bestFit="1" customWidth="1"/>
    <col min="3" max="3" width="5.28515625" bestFit="1" customWidth="1"/>
    <col min="4" max="14" width="6.140625" bestFit="1" customWidth="1"/>
    <col min="15" max="15" width="2.28515625" customWidth="1"/>
    <col min="16" max="16" width="4.42578125" bestFit="1" customWidth="1"/>
    <col min="17" max="17" width="3" bestFit="1" customWidth="1"/>
    <col min="18" max="19" width="5.5703125" customWidth="1"/>
    <col min="20" max="20" width="4.28515625" bestFit="1" customWidth="1"/>
    <col min="21" max="39" width="5.7109375" customWidth="1"/>
    <col min="40" max="41" width="5.7109375" bestFit="1" customWidth="1"/>
  </cols>
  <sheetData>
    <row r="1" spans="1:41" x14ac:dyDescent="0.25">
      <c r="B1" s="83" t="s">
        <v>218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T1" s="6"/>
      <c r="U1" s="84" t="s">
        <v>219</v>
      </c>
      <c r="V1" s="84"/>
      <c r="W1" s="84"/>
      <c r="X1" s="84"/>
      <c r="Y1" s="84"/>
      <c r="Z1" s="84"/>
      <c r="AA1" s="84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41" x14ac:dyDescent="0.25">
      <c r="A2" t="s">
        <v>220</v>
      </c>
      <c r="B2" s="2" t="s">
        <v>221</v>
      </c>
      <c r="D2" s="2">
        <v>6.7</v>
      </c>
      <c r="E2" s="2">
        <v>7</v>
      </c>
      <c r="F2" s="2">
        <v>7.17</v>
      </c>
      <c r="G2" s="2">
        <v>7.2</v>
      </c>
      <c r="H2" s="2">
        <v>8</v>
      </c>
      <c r="I2" s="2">
        <v>8.1</v>
      </c>
      <c r="J2" s="2">
        <v>8.9700000000000006</v>
      </c>
      <c r="K2" s="2">
        <v>9</v>
      </c>
      <c r="L2" s="2">
        <v>10</v>
      </c>
      <c r="M2" s="2">
        <v>11</v>
      </c>
      <c r="N2" s="2">
        <v>12</v>
      </c>
      <c r="P2" s="2">
        <v>6.7</v>
      </c>
      <c r="Q2" s="2">
        <v>4</v>
      </c>
      <c r="S2" t="s">
        <v>220</v>
      </c>
      <c r="T2" s="2" t="s">
        <v>221</v>
      </c>
      <c r="U2" s="6" t="s">
        <v>222</v>
      </c>
      <c r="V2" s="2">
        <v>4.2</v>
      </c>
      <c r="W2" s="85">
        <v>4.5</v>
      </c>
      <c r="X2" s="86">
        <v>4.5199999999999996</v>
      </c>
      <c r="Y2" s="1">
        <v>4.5999999999999996</v>
      </c>
      <c r="Z2" s="1">
        <v>4.7</v>
      </c>
      <c r="AA2" s="2">
        <v>5</v>
      </c>
      <c r="AB2" s="2">
        <v>5.5</v>
      </c>
      <c r="AC2" s="87">
        <v>5.85</v>
      </c>
      <c r="AD2" s="2">
        <v>6</v>
      </c>
      <c r="AE2" s="2">
        <v>6.5</v>
      </c>
      <c r="AF2" s="2">
        <v>7</v>
      </c>
      <c r="AG2" s="85">
        <v>7.5</v>
      </c>
      <c r="AH2" s="2">
        <v>8</v>
      </c>
      <c r="AI2" s="85">
        <v>8.5</v>
      </c>
      <c r="AJ2" s="2">
        <v>9</v>
      </c>
      <c r="AK2" s="2">
        <v>9.5</v>
      </c>
      <c r="AL2" s="2">
        <v>10</v>
      </c>
      <c r="AM2" s="2">
        <v>13.3</v>
      </c>
      <c r="AN2" s="29">
        <v>4.2</v>
      </c>
      <c r="AO2" s="6">
        <v>4</v>
      </c>
    </row>
    <row r="3" spans="1:41" x14ac:dyDescent="0.25">
      <c r="A3" s="18">
        <f>IF(AND(CALC_AGENT!$C$35&lt;B4,CALC_AGENT!$C$35&gt;=B3),1,0)</f>
        <v>0</v>
      </c>
      <c r="B3" s="7">
        <v>10</v>
      </c>
      <c r="C3" s="88">
        <v>1.931</v>
      </c>
      <c r="D3" s="88">
        <v>3.7199999999999997E-2</v>
      </c>
      <c r="E3" s="88">
        <v>3.9E-2</v>
      </c>
      <c r="F3" s="88">
        <v>0.04</v>
      </c>
      <c r="G3" s="88">
        <v>4.02E-2</v>
      </c>
      <c r="H3" s="88">
        <v>0.45</v>
      </c>
      <c r="I3" s="88">
        <v>4.5600000000000002E-2</v>
      </c>
      <c r="J3" s="88">
        <v>5.0999999999999997E-2</v>
      </c>
      <c r="K3" s="88">
        <v>5.1200000000000002E-2</v>
      </c>
      <c r="L3" s="88">
        <v>5.7500000000000002E-2</v>
      </c>
      <c r="M3" s="88">
        <v>6.4000000000000001E-2</v>
      </c>
      <c r="N3" s="88">
        <v>7.0599999999999996E-2</v>
      </c>
      <c r="P3" s="2">
        <v>7</v>
      </c>
      <c r="Q3">
        <f>+Q2+1</f>
        <v>5</v>
      </c>
      <c r="S3" s="18">
        <f>IF(AND(CALC_AGENT!$C$35&lt;T4,CALC_AGENT!$C$35&gt;=T3),1,0)</f>
        <v>0</v>
      </c>
      <c r="T3" s="6">
        <v>-20</v>
      </c>
      <c r="U3" s="6">
        <v>0.93679999999999997</v>
      </c>
      <c r="V3" s="6">
        <v>4.6800000000000001E-2</v>
      </c>
      <c r="W3" s="6">
        <v>5.0299999999999997E-2</v>
      </c>
      <c r="X3" s="89">
        <v>5.0535999999999998E-2</v>
      </c>
      <c r="Y3" s="89">
        <f>((AA3-W3)/5)+W3</f>
        <v>5.1479999999999998E-2</v>
      </c>
      <c r="Z3" s="89">
        <f>((AA3-Y3)/4)+Y3</f>
        <v>5.2659999999999998E-2</v>
      </c>
      <c r="AA3" s="5">
        <v>5.62E-2</v>
      </c>
      <c r="AB3" s="5">
        <v>6.2100000000000002E-2</v>
      </c>
      <c r="AC3" s="5">
        <v>6.6299999999999998E-2</v>
      </c>
      <c r="AD3" s="5">
        <v>6.8099999999999994E-2</v>
      </c>
      <c r="AE3" s="5">
        <v>7.4200000000000002E-2</v>
      </c>
      <c r="AF3" s="5">
        <v>8.0299999999999996E-2</v>
      </c>
      <c r="AG3" s="5">
        <v>8.6599999999999996E-2</v>
      </c>
      <c r="AH3" s="5">
        <v>9.2799999999999994E-2</v>
      </c>
      <c r="AI3" s="5">
        <v>9.9199999999999997E-2</v>
      </c>
      <c r="AJ3" s="5">
        <v>0.1056</v>
      </c>
      <c r="AK3" s="5">
        <v>0.11210000000000001</v>
      </c>
      <c r="AL3" s="5">
        <v>0.1186</v>
      </c>
      <c r="AM3" s="5">
        <v>0.1638</v>
      </c>
      <c r="AN3" s="29">
        <v>4.5</v>
      </c>
      <c r="AO3" s="6">
        <f>+AO2+1</f>
        <v>5</v>
      </c>
    </row>
    <row r="4" spans="1:41" x14ac:dyDescent="0.25">
      <c r="A4" s="18">
        <f>IF(AND(CALC_AGENT!$C$35&lt;B5,CALC_AGENT!$C$35&gt;=B4),1,0)</f>
        <v>0</v>
      </c>
      <c r="B4" s="7">
        <v>20</v>
      </c>
      <c r="C4" s="88">
        <v>1.9770000000000001</v>
      </c>
      <c r="D4" s="88">
        <v>3.6299999999999999E-2</v>
      </c>
      <c r="E4" s="88">
        <v>3.8100000000000002E-2</v>
      </c>
      <c r="F4" s="88">
        <v>3.9100000000000003E-2</v>
      </c>
      <c r="G4" s="88">
        <v>3.9199999999999999E-2</v>
      </c>
      <c r="H4" s="88">
        <v>4.3999999999999997E-2</v>
      </c>
      <c r="I4" s="88">
        <v>4.4600000000000001E-2</v>
      </c>
      <c r="J4" s="88">
        <v>4.9799999999999997E-2</v>
      </c>
      <c r="K4" s="88">
        <v>0.05</v>
      </c>
      <c r="L4" s="88">
        <v>5.62E-2</v>
      </c>
      <c r="M4" s="88">
        <v>6.25E-2</v>
      </c>
      <c r="N4" s="88">
        <v>6.9000000000000006E-2</v>
      </c>
      <c r="P4" s="2">
        <v>7.17</v>
      </c>
      <c r="Q4">
        <f t="shared" ref="Q4:Q12" si="0">+Q3+1</f>
        <v>6</v>
      </c>
      <c r="S4" s="18">
        <f>IF(AND(CALC_AGENT!$C$35&lt;T5,CALC_AGENT!$C$35&gt;=T4),1,0)</f>
        <v>0</v>
      </c>
      <c r="T4" s="6">
        <v>-10</v>
      </c>
      <c r="U4" s="6">
        <v>0.96120000000000005</v>
      </c>
      <c r="V4" s="6">
        <v>4.5600000000000002E-2</v>
      </c>
      <c r="W4" s="6">
        <v>4.9000000000000002E-2</v>
      </c>
      <c r="X4" s="89">
        <v>4.9236000000000002E-2</v>
      </c>
      <c r="Y4" s="89">
        <f t="shared" ref="Y4:Y27" si="1">((AA4-W4)/5)+W4</f>
        <v>5.0160000000000003E-2</v>
      </c>
      <c r="Z4" s="89">
        <f t="shared" ref="Z4:Z27" si="2">((AA4-Y4)/4)+Y4</f>
        <v>5.1320000000000005E-2</v>
      </c>
      <c r="AA4" s="5">
        <v>5.4800000000000001E-2</v>
      </c>
      <c r="AB4" s="5">
        <v>6.0600000000000001E-2</v>
      </c>
      <c r="AC4" s="5">
        <v>6.4600000000000005E-2</v>
      </c>
      <c r="AD4" s="5">
        <v>6.6400000000000001E-2</v>
      </c>
      <c r="AE4" s="5">
        <v>7.2300000000000003E-2</v>
      </c>
      <c r="AF4" s="5">
        <v>7.8299999999999995E-2</v>
      </c>
      <c r="AG4" s="5">
        <v>8.4400000000000003E-2</v>
      </c>
      <c r="AH4" s="5">
        <v>9.0499999999999997E-2</v>
      </c>
      <c r="AI4" s="5">
        <v>9.6600000000000005E-2</v>
      </c>
      <c r="AJ4" s="5">
        <v>0.10290000000000001</v>
      </c>
      <c r="AK4" s="5">
        <v>0.10920000000000001</v>
      </c>
      <c r="AL4" s="5">
        <v>0.11559999999999999</v>
      </c>
      <c r="AM4" s="5">
        <v>0.15959999999999999</v>
      </c>
      <c r="AN4" s="29">
        <v>4.5199999999999996</v>
      </c>
      <c r="AO4" s="90">
        <v>6</v>
      </c>
    </row>
    <row r="5" spans="1:41" x14ac:dyDescent="0.25">
      <c r="A5" s="18">
        <f>IF(AND(CALC_AGENT!$C$35&lt;B6,CALC_AGENT!$C$35&gt;=B5),1,0)</f>
        <v>0</v>
      </c>
      <c r="B5" s="7">
        <v>30</v>
      </c>
      <c r="C5" s="88">
        <v>2.23</v>
      </c>
      <c r="D5" s="88">
        <v>3.5499999999999997E-2</v>
      </c>
      <c r="E5" s="88">
        <v>3.7199999999999997E-2</v>
      </c>
      <c r="F5" s="88">
        <v>3.8199999999999998E-2</v>
      </c>
      <c r="G5" s="88">
        <v>3.8399999999999997E-2</v>
      </c>
      <c r="H5" s="88">
        <v>4.2999999999999997E-2</v>
      </c>
      <c r="I5" s="88">
        <v>4.36E-2</v>
      </c>
      <c r="J5" s="88">
        <v>4.87E-2</v>
      </c>
      <c r="K5" s="88">
        <v>4.8899999999999999E-2</v>
      </c>
      <c r="L5" s="88">
        <v>5.4899999999999997E-2</v>
      </c>
      <c r="M5" s="88">
        <v>6.1100000000000002E-2</v>
      </c>
      <c r="N5" s="88">
        <v>6.7400000000000002E-2</v>
      </c>
      <c r="P5" s="2">
        <v>7.2</v>
      </c>
      <c r="Q5">
        <f t="shared" si="0"/>
        <v>7</v>
      </c>
      <c r="S5" s="18">
        <f>IF(AND(CALC_AGENT!$C$35&lt;T6,CALC_AGENT!$C$35&gt;=T5),1,0)</f>
        <v>0</v>
      </c>
      <c r="T5" s="6">
        <v>0</v>
      </c>
      <c r="U5" s="6">
        <v>0.98560000000000003</v>
      </c>
      <c r="V5" s="6">
        <v>4.4499999999999998E-2</v>
      </c>
      <c r="W5" s="6">
        <v>4.7800000000000002E-2</v>
      </c>
      <c r="X5" s="89">
        <v>4.8036000000000002E-2</v>
      </c>
      <c r="Y5" s="89">
        <f t="shared" si="1"/>
        <v>4.8920000000000005E-2</v>
      </c>
      <c r="Z5" s="89">
        <f t="shared" si="2"/>
        <v>5.0040000000000001E-2</v>
      </c>
      <c r="AA5" s="5">
        <v>5.3400000000000003E-2</v>
      </c>
      <c r="AB5" s="5">
        <v>5.91E-2</v>
      </c>
      <c r="AC5" s="5">
        <v>6.3E-2</v>
      </c>
      <c r="AD5" s="5">
        <v>6.4799999999999996E-2</v>
      </c>
      <c r="AE5" s="5">
        <v>7.0499999999999993E-2</v>
      </c>
      <c r="AF5" s="5">
        <v>7.6399999999999996E-2</v>
      </c>
      <c r="AG5" s="5">
        <v>8.2299999999999998E-2</v>
      </c>
      <c r="AH5" s="5">
        <v>8.8200000000000001E-2</v>
      </c>
      <c r="AI5" s="5">
        <v>9.4299999999999995E-2</v>
      </c>
      <c r="AJ5" s="5">
        <v>0.1003</v>
      </c>
      <c r="AK5" s="5">
        <v>0.1065</v>
      </c>
      <c r="AL5" s="5">
        <v>0.11269999999999999</v>
      </c>
      <c r="AM5" s="5">
        <v>0.15570000000000001</v>
      </c>
      <c r="AN5" s="29">
        <v>4.5999999999999996</v>
      </c>
      <c r="AO5" s="6">
        <v>7</v>
      </c>
    </row>
    <row r="6" spans="1:41" x14ac:dyDescent="0.25">
      <c r="A6" s="18">
        <f>IF(AND(CALC_AGENT!$C$35&lt;B7,CALC_AGENT!$C$35&gt;=B6),1,0)</f>
        <v>0</v>
      </c>
      <c r="B6" s="7">
        <v>40</v>
      </c>
      <c r="C6" s="88">
        <v>2.069</v>
      </c>
      <c r="D6" s="88">
        <v>3.4700000000000002E-2</v>
      </c>
      <c r="E6" s="88">
        <v>3.6400000000000002E-2</v>
      </c>
      <c r="F6" s="88">
        <v>3.73E-2</v>
      </c>
      <c r="G6" s="88">
        <v>3.7499999999999999E-2</v>
      </c>
      <c r="H6" s="88">
        <v>4.2000000000000003E-2</v>
      </c>
      <c r="I6" s="88">
        <v>4.2599999999999999E-2</v>
      </c>
      <c r="J6" s="88">
        <v>4.7600000000000003E-2</v>
      </c>
      <c r="K6" s="88">
        <v>4.7800000000000002E-2</v>
      </c>
      <c r="L6" s="88">
        <v>5.3699999999999998E-2</v>
      </c>
      <c r="M6" s="88">
        <v>5.9700000000000003E-2</v>
      </c>
      <c r="N6" s="88">
        <v>6.59E-2</v>
      </c>
      <c r="P6" s="2">
        <v>8</v>
      </c>
      <c r="Q6">
        <f t="shared" si="0"/>
        <v>8</v>
      </c>
      <c r="S6" s="18">
        <f>IF(AND(CALC_AGENT!$C$35&lt;T7,CALC_AGENT!$C$35&gt;=T6),1,0)</f>
        <v>0</v>
      </c>
      <c r="T6" s="6">
        <v>10</v>
      </c>
      <c r="U6" s="6">
        <v>1.01</v>
      </c>
      <c r="V6" s="6">
        <v>4.3400000000000001E-2</v>
      </c>
      <c r="W6" s="6">
        <v>4.6699999999999998E-2</v>
      </c>
      <c r="X6" s="89">
        <v>4.6935999999999999E-2</v>
      </c>
      <c r="Y6" s="89">
        <f t="shared" si="1"/>
        <v>4.7779999999999996E-2</v>
      </c>
      <c r="Z6" s="89">
        <f t="shared" si="2"/>
        <v>4.8860000000000001E-2</v>
      </c>
      <c r="AA6" s="5">
        <v>5.21E-2</v>
      </c>
      <c r="AB6" s="5">
        <v>5.7599999999999998E-2</v>
      </c>
      <c r="AC6" s="5">
        <v>6.1499999999999999E-2</v>
      </c>
      <c r="AD6" s="5">
        <v>6.3200000000000006E-2</v>
      </c>
      <c r="AE6" s="5">
        <v>6.88E-2</v>
      </c>
      <c r="AF6" s="5">
        <v>7.4499999999999997E-2</v>
      </c>
      <c r="AG6" s="5">
        <v>8.0299999999999996E-2</v>
      </c>
      <c r="AH6" s="5">
        <v>8.6099999999999996E-2</v>
      </c>
      <c r="AI6" s="5">
        <v>9.1999999999999998E-2</v>
      </c>
      <c r="AJ6" s="5">
        <v>9.7900000000000001E-2</v>
      </c>
      <c r="AK6" s="5">
        <v>0.10390000000000001</v>
      </c>
      <c r="AL6" s="5">
        <v>0.11</v>
      </c>
      <c r="AM6" s="5">
        <v>0.15190000000000001</v>
      </c>
      <c r="AN6" s="29">
        <v>4.7</v>
      </c>
      <c r="AO6" s="6">
        <v>8</v>
      </c>
    </row>
    <row r="7" spans="1:41" x14ac:dyDescent="0.25">
      <c r="A7" s="18">
        <f>IF(AND(CALC_AGENT!$C$35&lt;B8,CALC_AGENT!$C$35&gt;=B7),1,0)</f>
        <v>0</v>
      </c>
      <c r="B7" s="7">
        <v>50</v>
      </c>
      <c r="C7" s="88">
        <v>2.1150000000000002</v>
      </c>
      <c r="D7" s="88">
        <v>3.4000000000000002E-2</v>
      </c>
      <c r="E7" s="88">
        <v>3.56E-2</v>
      </c>
      <c r="F7" s="88">
        <v>3.6499999999999998E-2</v>
      </c>
      <c r="G7" s="88">
        <v>3.6700000000000003E-2</v>
      </c>
      <c r="H7" s="88">
        <v>4.1099999999999998E-2</v>
      </c>
      <c r="I7" s="88">
        <v>4.1700000000000001E-2</v>
      </c>
      <c r="J7" s="88">
        <v>4.6600000000000003E-2</v>
      </c>
      <c r="K7" s="88">
        <v>4.6800000000000001E-2</v>
      </c>
      <c r="L7" s="88">
        <v>5.2499999999999998E-2</v>
      </c>
      <c r="M7" s="88">
        <v>5.8400000000000001E-2</v>
      </c>
      <c r="N7" s="88">
        <v>6.4500000000000002E-2</v>
      </c>
      <c r="P7" s="2">
        <v>8.1</v>
      </c>
      <c r="Q7">
        <f t="shared" si="0"/>
        <v>9</v>
      </c>
      <c r="S7" s="18">
        <f>IF(AND(CALC_AGENT!$C$35&lt;T8,CALC_AGENT!$C$35&gt;=T7),1,0)</f>
        <v>0</v>
      </c>
      <c r="T7" s="6">
        <v>20</v>
      </c>
      <c r="U7" s="6">
        <v>1.0344</v>
      </c>
      <c r="V7" s="6">
        <v>4.24E-2</v>
      </c>
      <c r="W7" s="6">
        <v>4.5600000000000002E-2</v>
      </c>
      <c r="X7" s="89">
        <v>4.5836000000000002E-2</v>
      </c>
      <c r="Y7" s="89">
        <f t="shared" si="1"/>
        <v>4.666E-2</v>
      </c>
      <c r="Z7" s="89">
        <f t="shared" si="2"/>
        <v>4.7719999999999999E-2</v>
      </c>
      <c r="AA7" s="5">
        <v>5.0900000000000001E-2</v>
      </c>
      <c r="AB7" s="5">
        <v>5.6300000000000003E-2</v>
      </c>
      <c r="AC7" s="5">
        <v>6.0100000000000001E-2</v>
      </c>
      <c r="AD7" s="5">
        <v>6.1699999999999998E-2</v>
      </c>
      <c r="AE7" s="5">
        <v>6.7199999999999996E-2</v>
      </c>
      <c r="AF7" s="5">
        <v>7.2800000000000004E-2</v>
      </c>
      <c r="AG7" s="5">
        <v>7.8399999999999997E-2</v>
      </c>
      <c r="AH7" s="5">
        <v>8.4099999999999994E-2</v>
      </c>
      <c r="AI7" s="5">
        <v>8.9800000000000005E-2</v>
      </c>
      <c r="AJ7" s="5">
        <v>9.5600000000000004E-2</v>
      </c>
      <c r="AK7" s="5">
        <v>0.10150000000000001</v>
      </c>
      <c r="AL7" s="5">
        <v>0.1074</v>
      </c>
      <c r="AM7" s="5">
        <v>0.14829999999999999</v>
      </c>
      <c r="AN7" s="29">
        <v>5</v>
      </c>
      <c r="AO7" s="90">
        <v>9</v>
      </c>
    </row>
    <row r="8" spans="1:41" x14ac:dyDescent="0.25">
      <c r="A8" s="18">
        <f>IF(AND(CALC_AGENT!$C$35&lt;B9,CALC_AGENT!$C$35&gt;=B8),1,0)</f>
        <v>1</v>
      </c>
      <c r="B8" s="7">
        <v>60</v>
      </c>
      <c r="C8" s="88">
        <v>2.161</v>
      </c>
      <c r="D8" s="88">
        <v>3.32E-2</v>
      </c>
      <c r="E8" s="88">
        <v>3.4799999999999998E-2</v>
      </c>
      <c r="F8" s="88">
        <v>3.5700000000000003E-2</v>
      </c>
      <c r="G8" s="88">
        <v>3.5900000000000001E-2</v>
      </c>
      <c r="H8" s="88">
        <v>4.02E-2</v>
      </c>
      <c r="I8" s="88">
        <v>4.0800000000000003E-2</v>
      </c>
      <c r="J8" s="88">
        <v>4.5600000000000002E-2</v>
      </c>
      <c r="K8" s="88">
        <v>4.58E-2</v>
      </c>
      <c r="L8" s="88">
        <v>5.1400000000000001E-2</v>
      </c>
      <c r="M8" s="88">
        <v>5.7200000000000001E-2</v>
      </c>
      <c r="N8" s="88">
        <v>6.3100000000000003E-2</v>
      </c>
      <c r="P8" s="2">
        <v>8.9700000000000006</v>
      </c>
      <c r="Q8">
        <f t="shared" si="0"/>
        <v>10</v>
      </c>
      <c r="S8" s="18">
        <f>IF(AND(CALC_AGENT!$C$35&lt;T9,CALC_AGENT!$C$35&gt;=T8),1,0)</f>
        <v>0</v>
      </c>
      <c r="T8" s="6">
        <v>30</v>
      </c>
      <c r="U8" s="6">
        <v>1.0588</v>
      </c>
      <c r="V8" s="6">
        <v>4.1399999999999999E-2</v>
      </c>
      <c r="W8" s="6">
        <v>4.4499999999999998E-2</v>
      </c>
      <c r="X8" s="89">
        <v>4.4735999999999998E-2</v>
      </c>
      <c r="Y8" s="89">
        <f t="shared" si="1"/>
        <v>4.5539999999999997E-2</v>
      </c>
      <c r="Z8" s="89">
        <f t="shared" si="2"/>
        <v>4.6579999999999996E-2</v>
      </c>
      <c r="AA8" s="5">
        <v>4.9700000000000001E-2</v>
      </c>
      <c r="AB8" s="5">
        <v>5.5E-2</v>
      </c>
      <c r="AC8" s="5">
        <v>5.8700000000000002E-2</v>
      </c>
      <c r="AD8" s="5">
        <v>6.0299999999999999E-2</v>
      </c>
      <c r="AE8" s="5">
        <v>6.5699999999999995E-2</v>
      </c>
      <c r="AF8" s="5">
        <v>7.1099999999999997E-2</v>
      </c>
      <c r="AG8" s="5">
        <v>7.6600000000000001E-2</v>
      </c>
      <c r="AH8" s="5">
        <v>8.2100000000000006E-2</v>
      </c>
      <c r="AI8" s="5">
        <v>8.77E-2</v>
      </c>
      <c r="AJ8" s="5">
        <v>9.3399999999999997E-2</v>
      </c>
      <c r="AK8" s="5">
        <v>9.9099999999999994E-2</v>
      </c>
      <c r="AL8" s="5">
        <v>0.10489999999999999</v>
      </c>
      <c r="AM8" s="5">
        <v>0.1449</v>
      </c>
      <c r="AN8" s="29">
        <v>5.5</v>
      </c>
      <c r="AO8" s="6">
        <v>10</v>
      </c>
    </row>
    <row r="9" spans="1:41" x14ac:dyDescent="0.25">
      <c r="A9" s="18">
        <f>IF(AND(CALC_AGENT!$C$35&lt;B10,CALC_AGENT!$C$35&gt;=B9),1,0)</f>
        <v>0</v>
      </c>
      <c r="B9" s="7">
        <v>70</v>
      </c>
      <c r="C9" s="88">
        <v>2.2069999999999999</v>
      </c>
      <c r="D9" s="88">
        <v>3.2500000000000001E-2</v>
      </c>
      <c r="E9" s="88">
        <v>3.4099999999999998E-2</v>
      </c>
      <c r="F9" s="88">
        <v>3.5000000000000003E-2</v>
      </c>
      <c r="G9" s="88">
        <v>3.5200000000000002E-2</v>
      </c>
      <c r="H9" s="88">
        <v>3.9399999999999998E-2</v>
      </c>
      <c r="I9" s="88">
        <v>3.9899999999999998E-2</v>
      </c>
      <c r="J9" s="88">
        <v>4.4600000000000001E-2</v>
      </c>
      <c r="K9" s="88">
        <v>4.48E-2</v>
      </c>
      <c r="L9" s="88">
        <v>5.0299999999999997E-2</v>
      </c>
      <c r="M9" s="88">
        <v>5.6000000000000001E-2</v>
      </c>
      <c r="N9" s="88">
        <v>6.1800000000000001E-2</v>
      </c>
      <c r="P9" s="2">
        <v>9</v>
      </c>
      <c r="Q9">
        <f t="shared" si="0"/>
        <v>11</v>
      </c>
      <c r="S9" s="18">
        <f>IF(AND(CALC_AGENT!$C$35&lt;T10,CALC_AGENT!$C$35&gt;=T9),1,0)</f>
        <v>0</v>
      </c>
      <c r="T9" s="6">
        <v>40</v>
      </c>
      <c r="U9" s="6">
        <v>1.0831999999999999</v>
      </c>
      <c r="V9" s="6">
        <v>4.0500000000000001E-2</v>
      </c>
      <c r="W9" s="6">
        <v>4.3499999999999997E-2</v>
      </c>
      <c r="X9" s="89">
        <v>4.3735999999999997E-2</v>
      </c>
      <c r="Y9" s="89">
        <f t="shared" si="1"/>
        <v>4.4519999999999997E-2</v>
      </c>
      <c r="Z9" s="89">
        <f t="shared" si="2"/>
        <v>4.5539999999999997E-2</v>
      </c>
      <c r="AA9" s="5">
        <v>4.8599999999999997E-2</v>
      </c>
      <c r="AB9" s="5">
        <v>5.3699999999999998E-2</v>
      </c>
      <c r="AC9" s="5">
        <v>5.74E-2</v>
      </c>
      <c r="AD9" s="5">
        <v>5.8900000000000001E-2</v>
      </c>
      <c r="AE9" s="5">
        <v>6.4199999999999993E-2</v>
      </c>
      <c r="AF9" s="5">
        <v>6.9500000000000006E-2</v>
      </c>
      <c r="AG9" s="5">
        <v>7.4899999999999994E-2</v>
      </c>
      <c r="AH9" s="5">
        <v>8.0299999999999996E-2</v>
      </c>
      <c r="AI9" s="5">
        <v>8.5800000000000001E-2</v>
      </c>
      <c r="AJ9" s="5">
        <v>9.1300000000000006E-2</v>
      </c>
      <c r="AK9" s="5">
        <v>9.69E-2</v>
      </c>
      <c r="AL9" s="5">
        <v>0.1026</v>
      </c>
      <c r="AM9" s="5">
        <v>0.14169999999999999</v>
      </c>
      <c r="AN9" s="29">
        <v>5.85</v>
      </c>
      <c r="AO9" s="6">
        <v>11</v>
      </c>
    </row>
    <row r="10" spans="1:41" x14ac:dyDescent="0.25">
      <c r="A10" s="18">
        <f>IF(AND(CALC_AGENT!$C$35&lt;B11,CALC_AGENT!$C$35&gt;=B10),1,0)</f>
        <v>0</v>
      </c>
      <c r="B10" s="7">
        <v>80</v>
      </c>
      <c r="C10" s="88">
        <v>2.2530000000000001</v>
      </c>
      <c r="D10" s="88">
        <v>3.1899999999999998E-2</v>
      </c>
      <c r="E10" s="88">
        <v>3.3399999999999999E-2</v>
      </c>
      <c r="F10" s="88">
        <v>3.4299999999999997E-2</v>
      </c>
      <c r="G10" s="88">
        <v>3.44E-2</v>
      </c>
      <c r="H10" s="88">
        <v>3.8600000000000002E-2</v>
      </c>
      <c r="I10" s="88">
        <v>3.9100000000000003E-2</v>
      </c>
      <c r="J10" s="88">
        <v>4.3700000000000003E-2</v>
      </c>
      <c r="K10" s="88">
        <v>4.3900000000000002E-2</v>
      </c>
      <c r="L10" s="88">
        <v>4.9299999999999997E-2</v>
      </c>
      <c r="M10" s="88">
        <v>5.4899999999999997E-2</v>
      </c>
      <c r="N10" s="88">
        <v>6.0499999999999998E-2</v>
      </c>
      <c r="P10" s="2">
        <v>10</v>
      </c>
      <c r="Q10">
        <f t="shared" si="0"/>
        <v>12</v>
      </c>
      <c r="S10" s="18">
        <f>IF(AND(CALC_AGENT!$C$35&lt;T11,CALC_AGENT!$C$35&gt;=T10),1,0)</f>
        <v>0</v>
      </c>
      <c r="T10" s="6">
        <v>50</v>
      </c>
      <c r="U10" s="6">
        <v>1.0177</v>
      </c>
      <c r="V10" s="6">
        <v>3.9600000000000003E-2</v>
      </c>
      <c r="W10" s="6">
        <v>4.2500000000000003E-2</v>
      </c>
      <c r="X10" s="89">
        <v>4.2736000000000003E-2</v>
      </c>
      <c r="Y10" s="89">
        <f t="shared" si="1"/>
        <v>4.3500000000000004E-2</v>
      </c>
      <c r="Z10" s="89">
        <f t="shared" si="2"/>
        <v>4.4500000000000005E-2</v>
      </c>
      <c r="AA10" s="5">
        <v>4.7500000000000001E-2</v>
      </c>
      <c r="AB10" s="5">
        <v>5.2499999999999998E-2</v>
      </c>
      <c r="AC10" s="5">
        <v>5.6099999999999997E-2</v>
      </c>
      <c r="AD10" s="5">
        <v>5.7599999999999998E-2</v>
      </c>
      <c r="AE10" s="5">
        <v>6.2799999999999995E-2</v>
      </c>
      <c r="AF10" s="5">
        <v>6.8000000000000005E-2</v>
      </c>
      <c r="AG10" s="5">
        <v>7.3200000000000001E-2</v>
      </c>
      <c r="AH10" s="5">
        <v>7.85E-2</v>
      </c>
      <c r="AI10" s="5">
        <v>8.3900000000000002E-2</v>
      </c>
      <c r="AJ10" s="5">
        <v>8.9300000000000004E-2</v>
      </c>
      <c r="AK10" s="5">
        <v>9.4799999999999995E-2</v>
      </c>
      <c r="AL10" s="5">
        <v>0.1003</v>
      </c>
      <c r="AM10" s="5">
        <v>0.13850000000000001</v>
      </c>
      <c r="AN10" s="29">
        <v>6</v>
      </c>
      <c r="AO10" s="90">
        <v>12</v>
      </c>
    </row>
    <row r="11" spans="1:41" x14ac:dyDescent="0.25">
      <c r="A11" s="18">
        <f>IF(AND(CALC_AGENT!$C$35&lt;B12,CALC_AGENT!$C$35&gt;=B11),1,0)</f>
        <v>0</v>
      </c>
      <c r="B11" s="7">
        <v>90</v>
      </c>
      <c r="C11" s="88">
        <v>2.2989999999999999</v>
      </c>
      <c r="D11" s="88">
        <v>3.1199999999999999E-2</v>
      </c>
      <c r="E11" s="88">
        <v>3.27E-2</v>
      </c>
      <c r="F11" s="88">
        <v>3.3599999999999998E-2</v>
      </c>
      <c r="G11" s="88">
        <v>3.3700000000000001E-2</v>
      </c>
      <c r="H11" s="88">
        <v>3.78E-2</v>
      </c>
      <c r="I11" s="88">
        <v>3.8300000000000001E-2</v>
      </c>
      <c r="J11" s="88">
        <v>4.2900000000000001E-2</v>
      </c>
      <c r="K11" s="88">
        <v>4.2999999999999997E-2</v>
      </c>
      <c r="L11" s="88">
        <v>4.8300000000000003E-2</v>
      </c>
      <c r="M11" s="88">
        <v>5.3800000000000001E-2</v>
      </c>
      <c r="N11" s="88">
        <v>5.9299999999999999E-2</v>
      </c>
      <c r="P11" s="2">
        <v>11</v>
      </c>
      <c r="Q11">
        <f t="shared" si="0"/>
        <v>13</v>
      </c>
      <c r="S11" s="18">
        <f>IF(AND(CALC_AGENT!$C$35&lt;T12,CALC_AGENT!$C$35&gt;=T11),1,0)</f>
        <v>1</v>
      </c>
      <c r="T11" s="6">
        <v>60</v>
      </c>
      <c r="U11" s="6">
        <v>1.1321000000000001</v>
      </c>
      <c r="V11" s="6">
        <v>3.8699999999999998E-2</v>
      </c>
      <c r="W11" s="6">
        <v>4.1599999999999998E-2</v>
      </c>
      <c r="X11" s="89">
        <v>4.1835999999999998E-2</v>
      </c>
      <c r="Y11" s="89">
        <f t="shared" si="1"/>
        <v>4.258E-2</v>
      </c>
      <c r="Z11" s="89">
        <f t="shared" si="2"/>
        <v>4.3560000000000001E-2</v>
      </c>
      <c r="AA11" s="5">
        <v>4.65E-2</v>
      </c>
      <c r="AB11" s="5">
        <v>5.1400000000000001E-2</v>
      </c>
      <c r="AC11" s="5">
        <v>5.4899999999999997E-2</v>
      </c>
      <c r="AD11" s="5">
        <v>5.6399999999999999E-2</v>
      </c>
      <c r="AE11" s="5">
        <v>6.1400000000000003E-2</v>
      </c>
      <c r="AF11" s="5">
        <v>6.6500000000000004E-2</v>
      </c>
      <c r="AG11" s="5">
        <v>7.1599999999999997E-2</v>
      </c>
      <c r="AH11" s="5">
        <v>7.6799999999999993E-2</v>
      </c>
      <c r="AI11" s="5">
        <v>8.2100000000000006E-2</v>
      </c>
      <c r="AJ11" s="5">
        <v>8.7400000000000005E-2</v>
      </c>
      <c r="AK11" s="5">
        <v>9.2700000000000005E-2</v>
      </c>
      <c r="AL11" s="5">
        <v>9.8100000000000007E-2</v>
      </c>
      <c r="AM11" s="5">
        <v>0.1356</v>
      </c>
      <c r="AN11" s="29">
        <v>6.5</v>
      </c>
      <c r="AO11" s="6">
        <v>13</v>
      </c>
    </row>
    <row r="12" spans="1:41" x14ac:dyDescent="0.25">
      <c r="A12" s="18">
        <f>IF(AND(CALC_AGENT!$C$35&lt;B13,CALC_AGENT!$C$35&gt;=B12),1,0)</f>
        <v>0</v>
      </c>
      <c r="B12" s="7">
        <v>100</v>
      </c>
      <c r="C12" s="88">
        <v>2.3450000000000002</v>
      </c>
      <c r="D12" s="88">
        <v>3.0599999999999999E-2</v>
      </c>
      <c r="E12" s="88">
        <v>3.2099999999999997E-2</v>
      </c>
      <c r="F12" s="88">
        <v>3.2899999999999999E-2</v>
      </c>
      <c r="G12" s="88">
        <v>3.3099999999999997E-2</v>
      </c>
      <c r="H12" s="88">
        <v>3.7100000000000001E-2</v>
      </c>
      <c r="I12" s="88">
        <v>3.7600000000000001E-2</v>
      </c>
      <c r="J12" s="88">
        <v>4.2000000000000003E-2</v>
      </c>
      <c r="K12" s="88">
        <v>0.42199999999999999</v>
      </c>
      <c r="L12" s="88">
        <v>4.7399999999999998E-2</v>
      </c>
      <c r="M12" s="88">
        <v>5.2699999999999997E-2</v>
      </c>
      <c r="N12" s="88">
        <v>5.8200000000000002E-2</v>
      </c>
      <c r="P12" s="2">
        <v>12</v>
      </c>
      <c r="Q12">
        <f t="shared" si="0"/>
        <v>14</v>
      </c>
      <c r="S12" s="18">
        <f>IF(AND(CALC_AGENT!$C$35&lt;T13,CALC_AGENT!$C$35&gt;=T12),1,0)</f>
        <v>0</v>
      </c>
      <c r="T12" s="6">
        <v>70</v>
      </c>
      <c r="U12" s="6">
        <v>1.1565000000000001</v>
      </c>
      <c r="V12" s="6">
        <v>3.7900000000000003E-2</v>
      </c>
      <c r="W12" s="6">
        <v>4.07E-2</v>
      </c>
      <c r="X12" s="89">
        <v>4.0936E-2</v>
      </c>
      <c r="Y12" s="89">
        <f t="shared" si="1"/>
        <v>4.1660000000000003E-2</v>
      </c>
      <c r="Z12" s="89">
        <f t="shared" si="2"/>
        <v>4.2620000000000005E-2</v>
      </c>
      <c r="AA12" s="5">
        <v>4.5499999999999999E-2</v>
      </c>
      <c r="AB12" s="5">
        <v>5.0299999999999997E-2</v>
      </c>
      <c r="AC12" s="5">
        <v>5.3699999999999998E-2</v>
      </c>
      <c r="AD12" s="5">
        <v>5.5199999999999999E-2</v>
      </c>
      <c r="AE12" s="5">
        <v>6.0100000000000001E-2</v>
      </c>
      <c r="AF12" s="5">
        <v>6.5100000000000005E-2</v>
      </c>
      <c r="AG12" s="5">
        <v>7.0099999999999996E-2</v>
      </c>
      <c r="AH12" s="5">
        <v>7.5200000000000003E-2</v>
      </c>
      <c r="AI12" s="5">
        <v>8.0299999999999996E-2</v>
      </c>
      <c r="AJ12" s="5">
        <v>8.5500000000000007E-2</v>
      </c>
      <c r="AK12" s="5">
        <v>9.0800000000000006E-2</v>
      </c>
      <c r="AL12" s="5">
        <v>9.6100000000000005E-2</v>
      </c>
      <c r="AM12" s="5">
        <v>0.13270000000000001</v>
      </c>
      <c r="AN12" s="29">
        <v>7</v>
      </c>
      <c r="AO12" s="6">
        <v>14</v>
      </c>
    </row>
    <row r="13" spans="1:41" x14ac:dyDescent="0.25">
      <c r="A13" s="18">
        <f>IF(AND(CALC_AGENT!$C$35&lt;B14,CALC_AGENT!$C$35&gt;=B13),1,0)</f>
        <v>0</v>
      </c>
      <c r="B13" s="7">
        <v>110</v>
      </c>
      <c r="C13" s="88">
        <v>2.391</v>
      </c>
      <c r="D13" s="88">
        <v>0.03</v>
      </c>
      <c r="E13" s="88">
        <v>3.15E-2</v>
      </c>
      <c r="F13" s="88">
        <v>3.2300000000000002E-2</v>
      </c>
      <c r="G13" s="88">
        <v>3.2399999999999998E-2</v>
      </c>
      <c r="H13" s="88">
        <v>3.6400000000000002E-2</v>
      </c>
      <c r="I13" s="88">
        <v>3.6900000000000002E-2</v>
      </c>
      <c r="J13" s="88">
        <v>4.1200000000000001E-2</v>
      </c>
      <c r="K13" s="88">
        <v>4.1399999999999999E-2</v>
      </c>
      <c r="L13" s="88">
        <v>4.65E-2</v>
      </c>
      <c r="M13" s="88">
        <v>5.1700000000000003E-2</v>
      </c>
      <c r="N13" s="88">
        <v>5.7000000000000002E-2</v>
      </c>
      <c r="S13" s="18">
        <f>IF(AND(CALC_AGENT!$C$35&lt;T14,CALC_AGENT!$C$35&gt;=T13),1,0)</f>
        <v>0</v>
      </c>
      <c r="T13" s="6">
        <v>80</v>
      </c>
      <c r="U13" s="6">
        <v>1.1809000000000001</v>
      </c>
      <c r="V13" s="6">
        <v>3.7100000000000001E-2</v>
      </c>
      <c r="W13" s="6">
        <v>3.9899999999999998E-2</v>
      </c>
      <c r="X13" s="89">
        <v>4.0135999999999998E-2</v>
      </c>
      <c r="Y13" s="89">
        <f t="shared" si="1"/>
        <v>0.12112000000000001</v>
      </c>
      <c r="Z13" s="89">
        <f t="shared" si="2"/>
        <v>0.20234000000000002</v>
      </c>
      <c r="AA13" s="5">
        <v>0.44600000000000001</v>
      </c>
      <c r="AB13" s="5">
        <v>4.9299999999999997E-2</v>
      </c>
      <c r="AC13" s="5">
        <v>5.2600000000000001E-2</v>
      </c>
      <c r="AD13" s="5">
        <v>5.4100000000000002E-2</v>
      </c>
      <c r="AE13" s="5">
        <v>5.8900000000000001E-2</v>
      </c>
      <c r="AF13" s="5">
        <v>6.3700000000000007E-2</v>
      </c>
      <c r="AG13" s="5">
        <v>6.8699999999999997E-2</v>
      </c>
      <c r="AH13" s="5">
        <v>7.3599999999999999E-2</v>
      </c>
      <c r="AI13" s="5">
        <v>7.8700000000000006E-2</v>
      </c>
      <c r="AJ13" s="5">
        <v>8.3799999999999999E-2</v>
      </c>
      <c r="AK13" s="5">
        <v>8.8900000000000007E-2</v>
      </c>
      <c r="AL13" s="5">
        <v>9.4100000000000003E-2</v>
      </c>
      <c r="AM13" s="5">
        <v>0.13</v>
      </c>
      <c r="AN13" s="29">
        <v>7.5</v>
      </c>
      <c r="AO13" s="90">
        <v>15</v>
      </c>
    </row>
    <row r="14" spans="1:41" x14ac:dyDescent="0.25">
      <c r="A14" s="18">
        <f>IF(AND(CALC_AGENT!$C$35&lt;B15,CALC_AGENT!$C$35&gt;=B14),1,0)</f>
        <v>0</v>
      </c>
      <c r="B14" s="7">
        <v>120</v>
      </c>
      <c r="C14" s="88">
        <v>2.4369999999999998</v>
      </c>
      <c r="D14" s="88">
        <v>2.9499999999999998E-2</v>
      </c>
      <c r="E14" s="88">
        <v>3.09E-2</v>
      </c>
      <c r="F14" s="88">
        <v>3.1699999999999999E-2</v>
      </c>
      <c r="G14" s="88">
        <v>3.1800000000000002E-2</v>
      </c>
      <c r="H14" s="88">
        <v>3.5700000000000003E-2</v>
      </c>
      <c r="I14" s="88">
        <v>3.6200000000000003E-2</v>
      </c>
      <c r="J14" s="88">
        <v>4.0399999999999998E-2</v>
      </c>
      <c r="K14" s="88">
        <v>4.0599999999999997E-2</v>
      </c>
      <c r="L14" s="88">
        <v>4.5600000000000002E-2</v>
      </c>
      <c r="M14" s="88">
        <v>5.0700000000000002E-2</v>
      </c>
      <c r="N14" s="88">
        <v>5.6000000000000001E-2</v>
      </c>
      <c r="S14" s="18">
        <f>IF(AND(CALC_AGENT!$C$35&lt;T15,CALC_AGENT!$C$35&gt;=T14),1,0)</f>
        <v>0</v>
      </c>
      <c r="T14" s="6">
        <v>90</v>
      </c>
      <c r="U14" s="6">
        <v>1.2053</v>
      </c>
      <c r="V14" s="6">
        <v>3.6400000000000002E-2</v>
      </c>
      <c r="W14" s="6">
        <v>3.9100000000000003E-2</v>
      </c>
      <c r="X14" s="89">
        <v>3.9336000000000003E-2</v>
      </c>
      <c r="Y14" s="89">
        <f t="shared" si="1"/>
        <v>4.002E-2</v>
      </c>
      <c r="Z14" s="89">
        <f t="shared" si="2"/>
        <v>4.0940000000000004E-2</v>
      </c>
      <c r="AA14" s="5">
        <v>4.3700000000000003E-2</v>
      </c>
      <c r="AB14" s="5">
        <v>4.8300000000000003E-2</v>
      </c>
      <c r="AC14" s="5">
        <v>5.16E-2</v>
      </c>
      <c r="AD14" s="5">
        <v>5.2999999999999999E-2</v>
      </c>
      <c r="AE14" s="5">
        <v>5.7700000000000001E-2</v>
      </c>
      <c r="AF14" s="5">
        <v>6.2399999999999997E-2</v>
      </c>
      <c r="AG14" s="5">
        <v>6.7299999999999999E-2</v>
      </c>
      <c r="AH14" s="5">
        <v>7.2099999999999997E-2</v>
      </c>
      <c r="AI14" s="5">
        <v>7.7100000000000002E-2</v>
      </c>
      <c r="AJ14" s="5">
        <v>8.2100000000000006E-2</v>
      </c>
      <c r="AK14" s="5">
        <v>8.7099999999999997E-2</v>
      </c>
      <c r="AL14" s="5">
        <v>9.2200000000000004E-2</v>
      </c>
      <c r="AM14" s="5">
        <v>0.1273</v>
      </c>
      <c r="AN14" s="29">
        <v>8</v>
      </c>
      <c r="AO14" s="6">
        <v>16</v>
      </c>
    </row>
    <row r="15" spans="1:41" x14ac:dyDescent="0.25">
      <c r="A15" s="18">
        <f>IF(AND(CALC_AGENT!$C$35&lt;B16,CALC_AGENT!$C$35&gt;=B15),1,0)</f>
        <v>0</v>
      </c>
      <c r="B15" s="7">
        <v>130</v>
      </c>
      <c r="C15" s="88">
        <v>2.4830000000000001</v>
      </c>
      <c r="D15" s="88">
        <v>2.8899999999999999E-2</v>
      </c>
      <c r="E15" s="88">
        <v>3.0300000000000001E-2</v>
      </c>
      <c r="F15" s="88">
        <v>3.1099999999999999E-2</v>
      </c>
      <c r="G15" s="88">
        <v>3.1199999999999999E-2</v>
      </c>
      <c r="H15" s="88">
        <v>3.5000000000000003E-2</v>
      </c>
      <c r="I15" s="88">
        <v>3.5499999999999997E-2</v>
      </c>
      <c r="J15" s="88">
        <v>3.9699999999999999E-2</v>
      </c>
      <c r="K15" s="88">
        <v>3.9800000000000002E-2</v>
      </c>
      <c r="L15" s="88">
        <v>4.4699999999999997E-2</v>
      </c>
      <c r="M15" s="88">
        <v>4.9799999999999997E-2</v>
      </c>
      <c r="N15" s="88">
        <v>5.4899999999999997E-2</v>
      </c>
      <c r="S15" s="18">
        <f>IF(AND(CALC_AGENT!$C$35&lt;T16,CALC_AGENT!$C$35&gt;=T15),1,0)</f>
        <v>0</v>
      </c>
      <c r="T15" s="6">
        <v>100</v>
      </c>
      <c r="U15" s="6">
        <v>1.2297</v>
      </c>
      <c r="V15" s="6">
        <v>3.5700000000000003E-2</v>
      </c>
      <c r="W15" s="6">
        <v>3.8300000000000001E-2</v>
      </c>
      <c r="X15" s="89">
        <v>3.8536000000000001E-2</v>
      </c>
      <c r="Y15" s="89">
        <f t="shared" si="1"/>
        <v>3.9199999999999999E-2</v>
      </c>
      <c r="Z15" s="89">
        <f t="shared" si="2"/>
        <v>4.0099999999999997E-2</v>
      </c>
      <c r="AA15" s="5">
        <v>4.2799999999999998E-2</v>
      </c>
      <c r="AB15" s="5">
        <v>4.7300000000000002E-2</v>
      </c>
      <c r="AC15" s="5">
        <v>5.0500000000000003E-2</v>
      </c>
      <c r="AD15" s="5">
        <v>5.1900000000000002E-2</v>
      </c>
      <c r="AE15" s="5">
        <v>5.6500000000000002E-2</v>
      </c>
      <c r="AF15" s="5">
        <v>6.1199999999999997E-2</v>
      </c>
      <c r="AG15" s="5">
        <v>6.59E-2</v>
      </c>
      <c r="AH15" s="5">
        <v>7.0699999999999999E-2</v>
      </c>
      <c r="AI15" s="5">
        <v>7.5499999999999998E-2</v>
      </c>
      <c r="AJ15" s="5">
        <v>8.0399999999999999E-2</v>
      </c>
      <c r="AK15" s="5">
        <v>8.5400000000000004E-2</v>
      </c>
      <c r="AL15" s="5">
        <v>9.0399999999999994E-2</v>
      </c>
      <c r="AM15" s="5">
        <v>0.12479999999999999</v>
      </c>
      <c r="AN15" s="29">
        <v>8.5</v>
      </c>
      <c r="AO15" s="6">
        <v>17</v>
      </c>
    </row>
    <row r="16" spans="1:41" x14ac:dyDescent="0.25">
      <c r="A16" s="18">
        <f>IF(AND(CALC_AGENT!$C$35&lt;B17,CALC_AGENT!$C$35&gt;=B16),1,0)</f>
        <v>0</v>
      </c>
      <c r="B16" s="7">
        <v>140</v>
      </c>
      <c r="C16" s="88">
        <v>2.5289999999999999</v>
      </c>
      <c r="D16" s="88">
        <v>2.8400000000000002E-2</v>
      </c>
      <c r="E16" s="88">
        <v>2.98E-2</v>
      </c>
      <c r="F16" s="88">
        <v>3.0499999999999999E-2</v>
      </c>
      <c r="G16" s="88">
        <v>3.0700000000000002E-2</v>
      </c>
      <c r="H16" s="88">
        <v>3.44E-2</v>
      </c>
      <c r="I16" s="88">
        <v>3.49E-2</v>
      </c>
      <c r="J16" s="88">
        <v>3.9E-2</v>
      </c>
      <c r="K16" s="88">
        <v>3.9100000000000003E-2</v>
      </c>
      <c r="L16" s="88">
        <v>4.3900000000000002E-2</v>
      </c>
      <c r="M16" s="88">
        <v>4.8899999999999999E-2</v>
      </c>
      <c r="N16" s="88">
        <v>5.3900000000000003E-2</v>
      </c>
      <c r="S16" s="18">
        <f>IF(AND(CALC_AGENT!$C$35&lt;T17,CALC_AGENT!$C$35&gt;=T16),1,0)</f>
        <v>0</v>
      </c>
      <c r="T16" s="6">
        <v>110</v>
      </c>
      <c r="U16" s="6">
        <v>1.2541</v>
      </c>
      <c r="V16" s="6">
        <v>3.5000000000000003E-2</v>
      </c>
      <c r="W16" s="6">
        <v>3.7600000000000001E-2</v>
      </c>
      <c r="X16" s="89">
        <v>3.7836000000000002E-2</v>
      </c>
      <c r="Y16" s="89">
        <f t="shared" si="1"/>
        <v>3.848E-2</v>
      </c>
      <c r="Z16" s="89">
        <f t="shared" si="2"/>
        <v>3.9359999999999999E-2</v>
      </c>
      <c r="AA16" s="5">
        <v>4.2000000000000003E-2</v>
      </c>
      <c r="AB16" s="5">
        <v>4.6399999999999997E-2</v>
      </c>
      <c r="AC16" s="5">
        <v>4.9500000000000002E-2</v>
      </c>
      <c r="AD16" s="5">
        <v>5.0900000000000001E-2</v>
      </c>
      <c r="AE16" s="5">
        <v>5.5399999999999998E-2</v>
      </c>
      <c r="AF16" s="5">
        <v>0.06</v>
      </c>
      <c r="AG16" s="5">
        <v>6.4699999999999994E-2</v>
      </c>
      <c r="AH16" s="5">
        <v>6.93E-2</v>
      </c>
      <c r="AI16" s="5">
        <v>7.4099999999999999E-2</v>
      </c>
      <c r="AJ16" s="5">
        <v>7.8899999999999998E-2</v>
      </c>
      <c r="AK16" s="5">
        <v>8.3699999999999997E-2</v>
      </c>
      <c r="AL16" s="5">
        <v>8.8599999999999998E-2</v>
      </c>
      <c r="AM16" s="5">
        <v>0.12239999999999999</v>
      </c>
      <c r="AN16" s="29">
        <v>9</v>
      </c>
      <c r="AO16" s="90">
        <v>18</v>
      </c>
    </row>
    <row r="17" spans="19:41" x14ac:dyDescent="0.25">
      <c r="S17" s="18">
        <f>IF(AND(CALC_AGENT!$C$35&lt;T18,CALC_AGENT!$C$35&gt;=T17),1,0)</f>
        <v>0</v>
      </c>
      <c r="T17" s="6">
        <v>120</v>
      </c>
      <c r="U17" s="6">
        <v>1.2785</v>
      </c>
      <c r="V17" s="6">
        <v>3.4299999999999997E-2</v>
      </c>
      <c r="W17" s="6">
        <v>3.6900000000000002E-2</v>
      </c>
      <c r="X17" s="89">
        <v>3.7136000000000002E-2</v>
      </c>
      <c r="Y17" s="89">
        <f t="shared" si="1"/>
        <v>3.7760000000000002E-2</v>
      </c>
      <c r="Z17" s="89">
        <f t="shared" si="2"/>
        <v>3.8620000000000002E-2</v>
      </c>
      <c r="AA17" s="5">
        <v>4.1200000000000001E-2</v>
      </c>
      <c r="AB17" s="5">
        <v>4.5499999999999999E-2</v>
      </c>
      <c r="AC17" s="5">
        <v>4.8599999999999997E-2</v>
      </c>
      <c r="AD17" s="5">
        <v>4.99E-2</v>
      </c>
      <c r="AE17" s="5">
        <v>5.4399999999999997E-2</v>
      </c>
      <c r="AF17" s="5">
        <v>5.8900000000000001E-2</v>
      </c>
      <c r="AG17" s="5">
        <v>6.3399999999999998E-2</v>
      </c>
      <c r="AH17" s="5">
        <v>6.8000000000000005E-2</v>
      </c>
      <c r="AI17" s="5">
        <v>7.2700000000000001E-2</v>
      </c>
      <c r="AJ17" s="5">
        <v>7.7399999999999997E-2</v>
      </c>
      <c r="AK17" s="5">
        <v>8.2100000000000006E-2</v>
      </c>
      <c r="AL17" s="5">
        <v>8.6900000000000005E-2</v>
      </c>
      <c r="AM17" s="5">
        <v>0.12</v>
      </c>
      <c r="AN17" s="29">
        <v>9.5</v>
      </c>
      <c r="AO17" s="6">
        <v>19</v>
      </c>
    </row>
    <row r="18" spans="19:41" x14ac:dyDescent="0.25">
      <c r="S18" s="18">
        <f>IF(AND(CALC_AGENT!$C$35&lt;T19,CALC_AGENT!$C$35&gt;=T18),1,0)</f>
        <v>0</v>
      </c>
      <c r="T18" s="6">
        <v>130</v>
      </c>
      <c r="U18" s="6">
        <v>1.3028999999999999</v>
      </c>
      <c r="V18" s="6">
        <v>3.3599999999999998E-2</v>
      </c>
      <c r="W18" s="6">
        <v>0.36199999999999999</v>
      </c>
      <c r="X18" s="89">
        <v>0.362236</v>
      </c>
      <c r="Y18" s="89">
        <f t="shared" si="1"/>
        <v>0.29768</v>
      </c>
      <c r="Z18" s="89">
        <f t="shared" si="2"/>
        <v>0.23336000000000001</v>
      </c>
      <c r="AA18" s="5">
        <v>4.0399999999999998E-2</v>
      </c>
      <c r="AB18" s="5">
        <v>4.4699999999999997E-2</v>
      </c>
      <c r="AC18" s="5">
        <v>4.7699999999999999E-2</v>
      </c>
      <c r="AD18" s="5">
        <v>4.9000000000000002E-2</v>
      </c>
      <c r="AE18" s="5">
        <v>5.3400000000000003E-2</v>
      </c>
      <c r="AF18" s="5">
        <v>5.7799999999999997E-2</v>
      </c>
      <c r="AG18" s="5">
        <v>6.2199999999999998E-2</v>
      </c>
      <c r="AH18" s="5">
        <v>6.6699999999999995E-2</v>
      </c>
      <c r="AI18" s="5">
        <v>7.1300000000000002E-2</v>
      </c>
      <c r="AJ18" s="5">
        <v>7.5899999999999995E-2</v>
      </c>
      <c r="AK18" s="5">
        <v>8.0600000000000005E-2</v>
      </c>
      <c r="AL18" s="5">
        <v>8.5300000000000001E-2</v>
      </c>
      <c r="AM18" s="5">
        <v>0.1178</v>
      </c>
      <c r="AN18" s="29">
        <v>10</v>
      </c>
      <c r="AO18" s="6">
        <v>20</v>
      </c>
    </row>
    <row r="19" spans="19:41" x14ac:dyDescent="0.25">
      <c r="S19" s="18">
        <f>IF(AND(CALC_AGENT!$C$35&lt;T20,CALC_AGENT!$C$35&gt;=T19),1,0)</f>
        <v>0</v>
      </c>
      <c r="T19" s="6">
        <v>140</v>
      </c>
      <c r="U19" s="6">
        <v>1.3272999999999999</v>
      </c>
      <c r="V19" s="6">
        <v>3.3000000000000002E-2</v>
      </c>
      <c r="W19" s="6">
        <v>3.5499999999999997E-2</v>
      </c>
      <c r="X19" s="89">
        <v>3.5735999999999997E-2</v>
      </c>
      <c r="Y19" s="89">
        <f t="shared" si="1"/>
        <v>3.6339999999999997E-2</v>
      </c>
      <c r="Z19" s="89">
        <f t="shared" si="2"/>
        <v>3.7179999999999998E-2</v>
      </c>
      <c r="AA19" s="5">
        <v>3.9699999999999999E-2</v>
      </c>
      <c r="AB19" s="5">
        <v>4.3799999999999999E-2</v>
      </c>
      <c r="AC19" s="5">
        <v>4.6800000000000001E-2</v>
      </c>
      <c r="AD19" s="5">
        <v>4.8099999999999997E-2</v>
      </c>
      <c r="AE19" s="5">
        <v>5.2400000000000002E-2</v>
      </c>
      <c r="AF19" s="5">
        <v>5.67E-2</v>
      </c>
      <c r="AG19" s="5">
        <v>6.1100000000000002E-2</v>
      </c>
      <c r="AH19" s="5">
        <v>6.5500000000000003E-2</v>
      </c>
      <c r="AI19" s="5">
        <v>7.0000000000000001E-3</v>
      </c>
      <c r="AJ19" s="5">
        <v>7.4499999999999997E-2</v>
      </c>
      <c r="AK19" s="5">
        <v>7.9100000000000004E-2</v>
      </c>
      <c r="AL19" s="5">
        <v>8.3699999999999997E-2</v>
      </c>
      <c r="AM19" s="5">
        <v>0.11559999999999999</v>
      </c>
      <c r="AN19" s="29">
        <v>13.3</v>
      </c>
      <c r="AO19" s="6">
        <v>21</v>
      </c>
    </row>
    <row r="20" spans="19:41" x14ac:dyDescent="0.25">
      <c r="S20" s="18">
        <f>IF(AND(CALC_AGENT!$C$35&lt;T21,CALC_AGENT!$C$35&gt;=T20),1,0)</f>
        <v>0</v>
      </c>
      <c r="T20" s="6">
        <v>150</v>
      </c>
      <c r="U20" s="6">
        <v>1.3517999999999999</v>
      </c>
      <c r="V20" s="6">
        <v>3.2399999999999998E-2</v>
      </c>
      <c r="W20" s="6">
        <v>3.49E-2</v>
      </c>
      <c r="X20" s="89">
        <v>3.5136000000000001E-2</v>
      </c>
      <c r="Y20" s="89">
        <f t="shared" si="1"/>
        <v>3.5700000000000003E-2</v>
      </c>
      <c r="Z20" s="89">
        <f t="shared" si="2"/>
        <v>3.6500000000000005E-2</v>
      </c>
      <c r="AA20" s="5">
        <v>3.8899999999999997E-2</v>
      </c>
      <c r="AB20" s="5">
        <v>4.3099999999999999E-2</v>
      </c>
      <c r="AC20" s="5">
        <v>4.5999999999999999E-2</v>
      </c>
      <c r="AD20" s="5">
        <v>4.7199999999999999E-2</v>
      </c>
      <c r="AE20" s="5">
        <v>5.1400000000000001E-2</v>
      </c>
      <c r="AF20" s="5">
        <v>5.57E-2</v>
      </c>
      <c r="AG20" s="5">
        <v>0.06</v>
      </c>
      <c r="AH20" s="5">
        <v>6.4299999999999996E-2</v>
      </c>
      <c r="AI20" s="5">
        <v>6.8699999999999997E-2</v>
      </c>
      <c r="AJ20" s="5">
        <v>7.3200000000000001E-2</v>
      </c>
      <c r="AK20" s="5">
        <v>7.7700000000000005E-2</v>
      </c>
      <c r="AL20" s="5">
        <v>8.2199999999999995E-2</v>
      </c>
      <c r="AM20" s="5">
        <v>0.1135</v>
      </c>
    </row>
    <row r="21" spans="19:41" x14ac:dyDescent="0.25">
      <c r="S21" s="18">
        <f>IF(AND(CALC_AGENT!$C$35&lt;T22,CALC_AGENT!$C$35&gt;=T21),1,0)</f>
        <v>0</v>
      </c>
      <c r="T21" s="6">
        <v>160</v>
      </c>
      <c r="U21" s="6">
        <v>1.3762000000000001</v>
      </c>
      <c r="V21" s="6">
        <v>3.1899999999999998E-2</v>
      </c>
      <c r="W21" s="6">
        <v>3.4200000000000001E-2</v>
      </c>
      <c r="X21" s="89">
        <v>3.4436000000000001E-2</v>
      </c>
      <c r="Y21" s="89">
        <f t="shared" si="1"/>
        <v>3.5000000000000003E-2</v>
      </c>
      <c r="Z21" s="89">
        <f t="shared" si="2"/>
        <v>3.5799999999999998E-2</v>
      </c>
      <c r="AA21" s="5">
        <v>3.8199999999999998E-2</v>
      </c>
      <c r="AB21" s="5">
        <v>4.2299999999999997E-2</v>
      </c>
      <c r="AC21" s="5">
        <v>4.5199999999999997E-2</v>
      </c>
      <c r="AD21" s="5">
        <v>4.6399999999999997E-2</v>
      </c>
      <c r="AE21" s="5">
        <v>5.0500000000000003E-2</v>
      </c>
      <c r="AF21" s="5">
        <v>5.4699999999999999E-2</v>
      </c>
      <c r="AG21" s="5">
        <v>5.8900000000000001E-2</v>
      </c>
      <c r="AH21" s="5">
        <v>6.3200000000000006E-2</v>
      </c>
      <c r="AI21" s="5">
        <v>6.7500000000000004E-2</v>
      </c>
      <c r="AJ21" s="5">
        <v>7.1900000000000006E-2</v>
      </c>
      <c r="AK21" s="5">
        <v>7.6300000000000007E-2</v>
      </c>
      <c r="AL21" s="5">
        <v>8.0699999999999994E-2</v>
      </c>
      <c r="AM21" s="5">
        <v>0.1115</v>
      </c>
    </row>
    <row r="22" spans="19:41" x14ac:dyDescent="0.25">
      <c r="S22" s="18">
        <f>IF(AND(CALC_AGENT!$C$35&lt;T23,CALC_AGENT!$C$35&gt;=T22),1,0)</f>
        <v>0</v>
      </c>
      <c r="T22" s="6">
        <v>170</v>
      </c>
      <c r="U22" s="6">
        <v>1.4006000000000001</v>
      </c>
      <c r="V22" s="6">
        <v>3.1300000000000001E-2</v>
      </c>
      <c r="W22" s="6">
        <v>3.3599999999999998E-2</v>
      </c>
      <c r="X22" s="89">
        <v>3.3835999999999998E-2</v>
      </c>
      <c r="Y22" s="89">
        <f t="shared" si="1"/>
        <v>3.44E-2</v>
      </c>
      <c r="Z22" s="89">
        <f t="shared" si="2"/>
        <v>3.5200000000000002E-2</v>
      </c>
      <c r="AA22" s="5">
        <v>3.7600000000000001E-2</v>
      </c>
      <c r="AB22" s="5">
        <v>4.1599999999999998E-2</v>
      </c>
      <c r="AC22" s="5">
        <v>4.4400000000000002E-2</v>
      </c>
      <c r="AD22" s="5">
        <v>4.5600000000000002E-2</v>
      </c>
      <c r="AE22" s="5">
        <v>4.9599999999999998E-2</v>
      </c>
      <c r="AF22" s="5">
        <v>5.3699999999999998E-2</v>
      </c>
      <c r="AG22" s="5">
        <v>5.79E-2</v>
      </c>
      <c r="AH22" s="5">
        <v>6.2100000000000002E-2</v>
      </c>
      <c r="AI22" s="5">
        <v>6.6299999999999998E-2</v>
      </c>
      <c r="AJ22" s="5">
        <v>7.0599999999999996E-2</v>
      </c>
      <c r="AK22" s="5">
        <v>7.4899999999999994E-2</v>
      </c>
      <c r="AL22" s="5">
        <v>7.9299999999999995E-2</v>
      </c>
      <c r="AM22" s="5">
        <v>0.1096</v>
      </c>
    </row>
    <row r="23" spans="19:41" x14ac:dyDescent="0.25">
      <c r="S23" s="18">
        <f>IF(AND(CALC_AGENT!$C$35&lt;T24,CALC_AGENT!$C$35&gt;=T23),1,0)</f>
        <v>0</v>
      </c>
      <c r="T23" s="6">
        <v>180</v>
      </c>
      <c r="U23" s="6">
        <v>1.425</v>
      </c>
      <c r="V23" s="6">
        <v>3.0800000000000001E-2</v>
      </c>
      <c r="W23" s="6">
        <v>3.3099999999999997E-2</v>
      </c>
      <c r="X23" s="89">
        <v>3.3335999999999998E-2</v>
      </c>
      <c r="Y23" s="89">
        <f t="shared" si="1"/>
        <v>3.3860000000000001E-2</v>
      </c>
      <c r="Z23" s="89">
        <f t="shared" si="2"/>
        <v>3.4619999999999998E-2</v>
      </c>
      <c r="AA23" s="5">
        <v>3.6900000000000002E-2</v>
      </c>
      <c r="AB23" s="5">
        <v>4.0800000000000003E-2</v>
      </c>
      <c r="AC23" s="5">
        <v>4.36E-2</v>
      </c>
      <c r="AD23" s="5">
        <v>4.48E-2</v>
      </c>
      <c r="AE23" s="5">
        <v>4.8800000000000003E-2</v>
      </c>
      <c r="AF23" s="5">
        <v>5.28E-2</v>
      </c>
      <c r="AG23" s="5">
        <v>5.6899999999999999E-2</v>
      </c>
      <c r="AH23" s="5">
        <v>6.0999999999999999E-2</v>
      </c>
      <c r="AI23" s="5">
        <v>6.5199999999999994E-2</v>
      </c>
      <c r="AJ23" s="5">
        <v>6.9400000000000003E-2</v>
      </c>
      <c r="AK23" s="5">
        <v>7.3700000000000002E-2</v>
      </c>
      <c r="AL23" s="5">
        <v>7.8E-2</v>
      </c>
      <c r="AM23" s="5">
        <v>0.1077</v>
      </c>
    </row>
    <row r="24" spans="19:41" x14ac:dyDescent="0.25">
      <c r="S24" s="18">
        <f>IF(AND(CALC_AGENT!$C$35&lt;T25,CALC_AGENT!$C$35&gt;=T24),1,0)</f>
        <v>0</v>
      </c>
      <c r="T24" s="6">
        <v>190</v>
      </c>
      <c r="U24" s="6">
        <v>1.4494</v>
      </c>
      <c r="V24" s="6">
        <v>3.0200000000000001E-2</v>
      </c>
      <c r="W24" s="6">
        <v>3.2500000000000001E-2</v>
      </c>
      <c r="X24" s="89">
        <v>3.2736000000000001E-2</v>
      </c>
      <c r="Y24" s="89">
        <f t="shared" si="1"/>
        <v>3.3259999999999998E-2</v>
      </c>
      <c r="Z24" s="89">
        <f t="shared" si="2"/>
        <v>3.4019999999999995E-2</v>
      </c>
      <c r="AA24" s="5">
        <v>3.6299999999999999E-2</v>
      </c>
      <c r="AB24" s="5">
        <v>4.02E-2</v>
      </c>
      <c r="AC24" s="5">
        <v>4.2900000000000001E-2</v>
      </c>
      <c r="AD24" s="5">
        <v>4.3999999999999997E-2</v>
      </c>
      <c r="AE24" s="5">
        <v>4.8000000000000001E-2</v>
      </c>
      <c r="AF24" s="5">
        <v>5.1900000000000002E-2</v>
      </c>
      <c r="AG24" s="5">
        <v>5.5899999999999998E-2</v>
      </c>
      <c r="AH24" s="5">
        <v>0.06</v>
      </c>
      <c r="AI24" s="5">
        <v>6.4100000000000004E-2</v>
      </c>
      <c r="AJ24" s="5">
        <v>6.8199999999999997E-2</v>
      </c>
      <c r="AK24" s="5">
        <v>7.2400000000000006E-2</v>
      </c>
      <c r="AL24" s="5">
        <v>7.6700000000000004E-2</v>
      </c>
      <c r="AM24" s="5">
        <v>0.10589999999999999</v>
      </c>
    </row>
    <row r="25" spans="19:41" x14ac:dyDescent="0.25">
      <c r="S25" s="18">
        <f>IF(AND(CALC_AGENT!$C$35&lt;T26,CALC_AGENT!$C$35&gt;=T25),1,0)</f>
        <v>0</v>
      </c>
      <c r="T25" s="6">
        <v>200</v>
      </c>
      <c r="U25" s="6">
        <v>1.4738</v>
      </c>
      <c r="V25" s="6">
        <v>2.9700000000000001E-2</v>
      </c>
      <c r="W25" s="6">
        <v>3.2000000000000001E-2</v>
      </c>
      <c r="X25" s="89">
        <v>3.2236000000000001E-2</v>
      </c>
      <c r="Y25" s="89">
        <f t="shared" si="1"/>
        <v>3.2739999999999998E-2</v>
      </c>
      <c r="Z25" s="89">
        <f t="shared" si="2"/>
        <v>3.3479999999999996E-2</v>
      </c>
      <c r="AA25" s="5">
        <v>3.5700000000000003E-2</v>
      </c>
      <c r="AB25" s="5">
        <v>3.95E-2</v>
      </c>
      <c r="AC25" s="5">
        <v>4.2200000000000001E-2</v>
      </c>
      <c r="AD25" s="5">
        <v>4.3299999999999998E-2</v>
      </c>
      <c r="AE25" s="5">
        <v>4.7199999999999999E-2</v>
      </c>
      <c r="AF25" s="5">
        <v>5.11E-2</v>
      </c>
      <c r="AG25" s="5">
        <v>5.5E-2</v>
      </c>
      <c r="AH25" s="5">
        <v>5.8999999999999997E-2</v>
      </c>
      <c r="AI25" s="5">
        <v>6.3E-2</v>
      </c>
      <c r="AJ25" s="5">
        <v>6.7100000000000007E-2</v>
      </c>
      <c r="AK25" s="5">
        <v>7.1199999999999999E-2</v>
      </c>
      <c r="AL25" s="5">
        <v>7.5399999999999995E-2</v>
      </c>
      <c r="AM25" s="5">
        <v>0.1041</v>
      </c>
    </row>
    <row r="26" spans="19:41" x14ac:dyDescent="0.25">
      <c r="S26" s="18">
        <f>IF(AND(CALC_AGENT!$C$35&lt;T27,CALC_AGENT!$C$35&gt;=T26),1,0)</f>
        <v>0</v>
      </c>
      <c r="T26" s="6">
        <v>210</v>
      </c>
      <c r="U26" s="6">
        <v>1.4982</v>
      </c>
      <c r="V26" s="6">
        <v>2.93E-2</v>
      </c>
      <c r="W26" s="6">
        <v>3.15E-2</v>
      </c>
      <c r="X26" s="89">
        <v>3.1736E-2</v>
      </c>
      <c r="Y26" s="89">
        <f t="shared" si="1"/>
        <v>3.2219999999999999E-2</v>
      </c>
      <c r="Z26" s="89">
        <f t="shared" si="2"/>
        <v>3.2939999999999997E-2</v>
      </c>
      <c r="AA26" s="5">
        <v>3.5099999999999999E-2</v>
      </c>
      <c r="AB26" s="5">
        <v>3.8800000000000001E-2</v>
      </c>
      <c r="AC26" s="5">
        <v>4.1500000000000002E-2</v>
      </c>
      <c r="AD26" s="5">
        <v>4.2599999999999999E-2</v>
      </c>
      <c r="AE26" s="5">
        <v>4.6399999999999997E-2</v>
      </c>
      <c r="AF26" s="5">
        <v>5.0200000000000002E-2</v>
      </c>
      <c r="AG26" s="5">
        <v>5.4100000000000002E-2</v>
      </c>
      <c r="AH26" s="5">
        <v>5.8000000000000003E-2</v>
      </c>
      <c r="AI26" s="5">
        <v>6.2E-2</v>
      </c>
      <c r="AJ26" s="5">
        <v>6.6000000000000003E-2</v>
      </c>
      <c r="AK26" s="5">
        <v>7.0099999999999996E-2</v>
      </c>
      <c r="AL26" s="5">
        <v>7.4200000000000002E-2</v>
      </c>
      <c r="AM26" s="5">
        <v>0.1024</v>
      </c>
    </row>
    <row r="27" spans="19:41" x14ac:dyDescent="0.25">
      <c r="S27" s="18">
        <f>IF(AND(CALC_AGENT!$C$35&lt;T28,CALC_AGENT!$C$35&gt;=T27),1,0)</f>
        <v>0</v>
      </c>
      <c r="T27" s="6">
        <v>220</v>
      </c>
      <c r="U27" s="6">
        <v>1.5226</v>
      </c>
      <c r="V27" s="6">
        <v>2.8799999999999999E-2</v>
      </c>
      <c r="W27" s="6">
        <v>3.09E-2</v>
      </c>
      <c r="X27" s="89">
        <v>3.1136E-2</v>
      </c>
      <c r="Y27" s="89">
        <f t="shared" si="1"/>
        <v>3.1640000000000001E-2</v>
      </c>
      <c r="Z27" s="89">
        <f t="shared" si="2"/>
        <v>3.2379999999999999E-2</v>
      </c>
      <c r="AA27" s="5">
        <v>3.4599999999999999E-2</v>
      </c>
      <c r="AB27" s="5">
        <v>3.8199999999999998E-2</v>
      </c>
      <c r="AC27" s="5">
        <v>4.0800000000000003E-2</v>
      </c>
      <c r="AD27" s="5">
        <v>4.19E-2</v>
      </c>
      <c r="AE27" s="5">
        <v>4.5699999999999998E-2</v>
      </c>
      <c r="AF27" s="5">
        <v>4.9399999999999999E-2</v>
      </c>
      <c r="AG27" s="5">
        <v>5.33E-2</v>
      </c>
      <c r="AH27" s="5">
        <v>5.7099999999999998E-2</v>
      </c>
      <c r="AI27" s="5">
        <v>6.0999999999999999E-2</v>
      </c>
      <c r="AJ27" s="5">
        <v>6.5000000000000002E-2</v>
      </c>
      <c r="AK27" s="5">
        <v>6.8900000000000003E-2</v>
      </c>
      <c r="AL27" s="5">
        <v>7.2999999999999995E-2</v>
      </c>
      <c r="AM27" s="5">
        <v>0.1008</v>
      </c>
    </row>
  </sheetData>
  <mergeCells count="2">
    <mergeCell ref="B1:N1"/>
    <mergeCell ref="U1:AA1"/>
  </mergeCells>
  <conditionalFormatting sqref="A3:A16">
    <cfRule type="cellIs" dxfId="60" priority="2" operator="equal">
      <formula>1</formula>
    </cfRule>
  </conditionalFormatting>
  <conditionalFormatting sqref="S3:S27">
    <cfRule type="cellIs" dxfId="59" priority="1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58FB5-B063-44CD-9D15-1922992D9AC3}">
  <sheetPr codeName="Hoja2">
    <pageSetUpPr fitToPage="1"/>
  </sheetPr>
  <dimension ref="A1:BA303"/>
  <sheetViews>
    <sheetView showGridLines="0" zoomScale="115" zoomScaleNormal="115" workbookViewId="0">
      <pane ySplit="7" topLeftCell="A8" activePane="bottomLeft" state="frozen"/>
      <selection activeCell="I12" sqref="I12"/>
      <selection pane="bottomLeft" activeCell="K23" sqref="K23"/>
    </sheetView>
  </sheetViews>
  <sheetFormatPr baseColWidth="10" defaultColWidth="11.42578125" defaultRowHeight="11.25" x14ac:dyDescent="0.2"/>
  <cols>
    <col min="1" max="1" width="11.42578125" style="6" customWidth="1"/>
    <col min="2" max="2" width="32.140625" style="6" customWidth="1"/>
    <col min="3" max="3" width="18.7109375" style="6" customWidth="1"/>
    <col min="4" max="4" width="2.28515625" style="6" customWidth="1"/>
    <col min="5" max="5" width="4" style="2" customWidth="1"/>
    <col min="6" max="6" width="4" style="8" customWidth="1"/>
    <col min="7" max="7" width="11" style="8" customWidth="1"/>
    <col min="8" max="8" width="11" style="6" customWidth="1"/>
    <col min="9" max="9" width="41.42578125" style="6" customWidth="1"/>
    <col min="10" max="11" width="4.7109375" style="8" customWidth="1"/>
    <col min="12" max="12" width="9.28515625" style="6" customWidth="1"/>
    <col min="13" max="14" width="10.7109375" style="6" customWidth="1"/>
    <col min="15" max="15" width="9.42578125" style="6" customWidth="1"/>
    <col min="16" max="16" width="2.140625" style="6" customWidth="1"/>
    <col min="17" max="17" width="1.42578125" style="106" customWidth="1"/>
    <col min="18" max="18" width="1.42578125" style="6" customWidth="1"/>
    <col min="19" max="19" width="4.42578125" style="8" customWidth="1"/>
    <col min="20" max="20" width="41.7109375" style="88" customWidth="1"/>
    <col min="21" max="25" width="8.42578125" style="88" customWidth="1"/>
    <col min="26" max="27" width="8.42578125" style="6" customWidth="1"/>
    <col min="28" max="28" width="3.85546875" style="88" customWidth="1"/>
    <col min="29" max="29" width="11.28515625" style="88" customWidth="1"/>
    <col min="30" max="32" width="10.28515625" style="88" customWidth="1"/>
    <col min="33" max="33" width="21.7109375" style="88" customWidth="1"/>
    <col min="34" max="39" width="8.5703125" style="88" customWidth="1"/>
    <col min="40" max="40" width="21" style="88" customWidth="1"/>
    <col min="41" max="41" width="15.7109375" style="88" customWidth="1"/>
    <col min="42" max="42" width="15.5703125" style="88" customWidth="1"/>
    <col min="43" max="43" width="4.7109375" style="88" customWidth="1"/>
    <col min="44" max="44" width="55.7109375" style="88" customWidth="1"/>
    <col min="45" max="45" width="5.140625" style="88" customWidth="1"/>
    <col min="46" max="46" width="4.5703125" style="88" customWidth="1"/>
    <col min="47" max="47" width="6.42578125" style="88" customWidth="1"/>
    <col min="48" max="48" width="10.85546875" style="88" customWidth="1"/>
    <col min="49" max="49" width="8.7109375" style="88" customWidth="1"/>
    <col min="50" max="53" width="11.42578125" style="88"/>
    <col min="54" max="16384" width="11.42578125" style="6"/>
  </cols>
  <sheetData>
    <row r="1" spans="1:53" ht="11.1" customHeight="1" x14ac:dyDescent="0.2">
      <c r="A1" s="11">
        <v>1</v>
      </c>
      <c r="B1" s="11" t="s">
        <v>15</v>
      </c>
      <c r="G1" s="91" t="s">
        <v>223</v>
      </c>
      <c r="H1" s="92" t="s">
        <v>224</v>
      </c>
      <c r="J1" s="93">
        <f>IF(H4="FM-200",M13,M12)</f>
        <v>4.5199999999999996</v>
      </c>
      <c r="L1" s="94">
        <v>46023</v>
      </c>
      <c r="M1" s="95">
        <v>1</v>
      </c>
      <c r="N1" s="95">
        <v>1</v>
      </c>
      <c r="O1" s="96"/>
      <c r="Q1" s="97"/>
      <c r="R1" s="98"/>
      <c r="X1" s="99" t="s">
        <v>225</v>
      </c>
      <c r="Y1" s="99">
        <v>360</v>
      </c>
      <c r="Z1" s="99" t="s">
        <v>226</v>
      </c>
      <c r="AA1" s="99" t="s">
        <v>227</v>
      </c>
      <c r="AJ1" s="100"/>
      <c r="AK1" s="101"/>
      <c r="AL1" s="101"/>
      <c r="AM1" s="101"/>
      <c r="AN1" s="102"/>
    </row>
    <row r="2" spans="1:53" ht="11.1" customHeight="1" x14ac:dyDescent="0.2">
      <c r="A2" s="11">
        <v>2</v>
      </c>
      <c r="B2" s="11" t="s">
        <v>98</v>
      </c>
      <c r="G2" s="91" t="s">
        <v>228</v>
      </c>
      <c r="H2" s="103" t="s">
        <v>229</v>
      </c>
      <c r="L2" s="104"/>
      <c r="M2" s="104" t="s">
        <v>230</v>
      </c>
      <c r="N2" s="104">
        <v>1</v>
      </c>
      <c r="O2" s="105" t="s">
        <v>231</v>
      </c>
      <c r="X2" s="99"/>
      <c r="Y2" s="99">
        <v>180</v>
      </c>
      <c r="Z2" s="99" t="s">
        <v>232</v>
      </c>
      <c r="AA2" s="99" t="s">
        <v>227</v>
      </c>
      <c r="AJ2" s="107"/>
      <c r="AK2" s="101"/>
      <c r="AL2" s="101"/>
      <c r="AM2" s="101"/>
      <c r="AN2" s="108"/>
    </row>
    <row r="3" spans="1:53" ht="11.1" customHeight="1" x14ac:dyDescent="0.2">
      <c r="A3" s="11">
        <v>3</v>
      </c>
      <c r="B3" s="6" t="s">
        <v>13</v>
      </c>
      <c r="G3" s="91" t="s">
        <v>233</v>
      </c>
      <c r="H3" s="109">
        <v>1</v>
      </c>
      <c r="L3" s="110" t="s">
        <v>135</v>
      </c>
      <c r="M3" s="111">
        <v>1</v>
      </c>
      <c r="N3" s="112">
        <f>M3*CALC_AGENT!$E$4</f>
        <v>3.2808299999999999</v>
      </c>
      <c r="O3" s="113" t="s">
        <v>234</v>
      </c>
      <c r="X3" s="99" t="s">
        <v>235</v>
      </c>
      <c r="Y3" s="99">
        <v>360</v>
      </c>
      <c r="Z3" s="99" t="s">
        <v>236</v>
      </c>
      <c r="AA3" s="99" t="s">
        <v>227</v>
      </c>
      <c r="AJ3" s="101"/>
      <c r="AK3" s="101"/>
      <c r="AL3" s="101"/>
      <c r="AM3" s="114"/>
      <c r="AN3" s="101"/>
    </row>
    <row r="4" spans="1:53" ht="11.1" customHeight="1" x14ac:dyDescent="0.2">
      <c r="A4" s="11">
        <v>4</v>
      </c>
      <c r="B4" s="6" t="s">
        <v>229</v>
      </c>
      <c r="F4" s="115" t="str">
        <f>IF($H$4="FM-200","4,87","4,3")</f>
        <v>4,3</v>
      </c>
      <c r="G4" s="91" t="s">
        <v>4</v>
      </c>
      <c r="H4" s="103" t="s">
        <v>98</v>
      </c>
      <c r="I4" s="116"/>
      <c r="L4" s="110" t="s">
        <v>136</v>
      </c>
      <c r="M4" s="111">
        <v>1</v>
      </c>
      <c r="N4" s="112">
        <f>M4*CALC_AGENT!$E$4</f>
        <v>3.2808299999999999</v>
      </c>
      <c r="O4" s="117">
        <v>18</v>
      </c>
      <c r="S4" s="118"/>
      <c r="X4" s="99"/>
      <c r="Y4" s="99">
        <v>180</v>
      </c>
      <c r="Z4" s="99" t="s">
        <v>237</v>
      </c>
      <c r="AA4" s="99" t="s">
        <v>227</v>
      </c>
      <c r="AJ4" s="101"/>
      <c r="AK4" s="101"/>
      <c r="AL4" s="101"/>
      <c r="AM4" s="114"/>
      <c r="AN4" s="101"/>
    </row>
    <row r="5" spans="1:53" ht="11.1" customHeight="1" x14ac:dyDescent="0.2">
      <c r="A5" s="6">
        <v>5</v>
      </c>
      <c r="B5" s="6" t="s">
        <v>116</v>
      </c>
      <c r="G5" s="91" t="s">
        <v>238</v>
      </c>
      <c r="H5" s="119">
        <f>ROUND(IF(H4="FM-200",CALC_AGENT!C82,IF(H4="FK-5-1-12",CALC_AGENT!M82)),0)</f>
        <v>2</v>
      </c>
      <c r="I5" s="98" t="str">
        <f>IF(IF(H4="FM-200",[1]TABLA!C16,IF('COT AGENTES'!H4="FK-5-1-12",[1]TABLA!H16))&gt;0,"SUPERA LIMITE DE AGENTE","OK")</f>
        <v>OK</v>
      </c>
      <c r="L5" s="110" t="s">
        <v>137</v>
      </c>
      <c r="M5" s="111">
        <v>1</v>
      </c>
      <c r="N5" s="112">
        <f>M5*CALC_AGENT!$E$4</f>
        <v>3.2808299999999999</v>
      </c>
      <c r="O5" s="113" t="s">
        <v>239</v>
      </c>
      <c r="S5" s="118"/>
      <c r="Z5" s="88"/>
      <c r="AA5" s="88"/>
    </row>
    <row r="6" spans="1:53" ht="11.1" customHeight="1" x14ac:dyDescent="0.2">
      <c r="A6" s="6">
        <v>6</v>
      </c>
      <c r="B6" s="6" t="s">
        <v>117</v>
      </c>
      <c r="G6" s="91" t="s">
        <v>240</v>
      </c>
      <c r="H6" s="120">
        <f>IFERROR(VLOOKUP($B94,'BDD_SISTEMAS- MANIFOLD'!$B:$M,'COT AGENTES'!H$18,0),"")</f>
        <v>445732</v>
      </c>
      <c r="L6" s="110" t="s">
        <v>138</v>
      </c>
      <c r="M6" s="111"/>
      <c r="N6" s="112">
        <f>M6*CALC_AGENT!$E$4</f>
        <v>0</v>
      </c>
      <c r="O6" s="117">
        <v>27</v>
      </c>
      <c r="S6" s="121"/>
      <c r="T6" s="121"/>
      <c r="U6" s="121"/>
      <c r="X6" s="122" t="s">
        <v>241</v>
      </c>
      <c r="Y6" s="123">
        <f>VLOOKUP($H$6,[1]Datos!S11:T18,2,0)*$H$3</f>
        <v>1</v>
      </c>
      <c r="Z6" s="124"/>
      <c r="AA6" s="88"/>
      <c r="AG6" s="124"/>
      <c r="AH6" s="124"/>
      <c r="AQ6" s="124"/>
    </row>
    <row r="7" spans="1:53" ht="18.75" customHeight="1" x14ac:dyDescent="0.2">
      <c r="A7" s="6">
        <v>7</v>
      </c>
      <c r="B7" s="6" t="s">
        <v>242</v>
      </c>
      <c r="G7" s="91" t="s">
        <v>243</v>
      </c>
      <c r="H7" s="125" t="s">
        <v>244</v>
      </c>
      <c r="I7" s="126"/>
      <c r="L7" s="110" t="s">
        <v>139</v>
      </c>
      <c r="M7" s="111"/>
      <c r="N7" s="112">
        <f>M7*CALC_AGENT!$E$4</f>
        <v>0</v>
      </c>
      <c r="O7" s="11"/>
      <c r="S7" s="118"/>
      <c r="T7" s="127"/>
      <c r="U7" s="128"/>
      <c r="X7" s="122" t="s">
        <v>245</v>
      </c>
      <c r="Y7" s="129">
        <f>$Y$6*$Z$7</f>
        <v>0</v>
      </c>
      <c r="Z7" s="129">
        <f>IF($M$6=0,0,1)</f>
        <v>0</v>
      </c>
      <c r="AA7" s="130"/>
      <c r="AG7" s="124"/>
      <c r="AH7" s="124"/>
      <c r="AO7" s="128"/>
      <c r="AQ7" s="124"/>
    </row>
    <row r="8" spans="1:53" ht="10.5" customHeight="1" x14ac:dyDescent="0.2">
      <c r="A8" s="88">
        <v>8</v>
      </c>
      <c r="B8" s="131" t="s">
        <v>246</v>
      </c>
      <c r="G8" s="3"/>
      <c r="H8" s="10"/>
      <c r="L8" s="110" t="s">
        <v>140</v>
      </c>
      <c r="M8" s="132">
        <f>SUM(M5+M6+M7)</f>
        <v>1</v>
      </c>
      <c r="N8" s="112">
        <f>M8*CALC_AGENT!$E$4</f>
        <v>3.2808299999999999</v>
      </c>
      <c r="O8" s="11"/>
      <c r="S8" s="118"/>
      <c r="X8" s="122" t="s">
        <v>247</v>
      </c>
      <c r="Y8" s="129">
        <f>$Y$6*$Z$8</f>
        <v>0</v>
      </c>
      <c r="Z8" s="129">
        <f>IF($M$7=0,0,1)</f>
        <v>0</v>
      </c>
      <c r="AA8" s="88"/>
      <c r="AR8" s="133"/>
    </row>
    <row r="9" spans="1:53" ht="11.1" customHeight="1" x14ac:dyDescent="0.2">
      <c r="A9" s="88">
        <v>9</v>
      </c>
      <c r="B9" s="6" t="s">
        <v>126</v>
      </c>
      <c r="G9" s="134"/>
      <c r="H9" s="17" t="s">
        <v>130</v>
      </c>
      <c r="I9" s="135" t="str">
        <f>[1]INGRESO_DATOS_SALA!I4</f>
        <v/>
      </c>
      <c r="L9" s="110" t="s">
        <v>141</v>
      </c>
      <c r="M9" s="112">
        <f>M4*M3</f>
        <v>1</v>
      </c>
      <c r="N9" s="112">
        <f>M9*CALC_AGENT!$E$4</f>
        <v>3.2808299999999999</v>
      </c>
      <c r="O9" s="136"/>
      <c r="S9" s="118"/>
      <c r="X9" s="122" t="s">
        <v>248</v>
      </c>
      <c r="Y9" s="123">
        <f>IF($M$5&lt;$F$4,0,$Y$6)</f>
        <v>0</v>
      </c>
      <c r="Z9" s="124"/>
      <c r="AA9" s="88"/>
      <c r="AC9" s="137"/>
      <c r="AD9" s="137"/>
      <c r="AE9" s="138"/>
      <c r="AF9" s="138"/>
      <c r="AG9" s="138"/>
      <c r="AH9" s="138"/>
      <c r="AI9" s="138"/>
      <c r="AJ9" s="138"/>
      <c r="AK9" s="138"/>
      <c r="AL9" s="133"/>
      <c r="AM9" s="133"/>
      <c r="AN9" s="133"/>
      <c r="AO9" s="133"/>
      <c r="AP9" s="138"/>
      <c r="AQ9" s="138"/>
      <c r="AR9" s="133"/>
    </row>
    <row r="10" spans="1:53" ht="11.1" customHeight="1" x14ac:dyDescent="0.2">
      <c r="A10" s="88">
        <v>10</v>
      </c>
      <c r="H10" s="139">
        <v>1</v>
      </c>
      <c r="L10" s="110" t="s">
        <v>142</v>
      </c>
      <c r="M10" s="112">
        <f>ROUND(M9*M8,3)</f>
        <v>1</v>
      </c>
      <c r="N10" s="112">
        <f>M10*CALC_AGENT!$E$4</f>
        <v>3.2808299999999999</v>
      </c>
      <c r="O10" s="140"/>
      <c r="X10" s="122" t="s">
        <v>249</v>
      </c>
      <c r="Y10" s="123">
        <f>SUM($Y$6:$Y$9)</f>
        <v>1</v>
      </c>
      <c r="Z10" s="124"/>
      <c r="AA10" s="88"/>
      <c r="AB10" s="141"/>
      <c r="AC10" s="142"/>
      <c r="AD10" s="124"/>
      <c r="AE10" s="118"/>
      <c r="AF10" s="138"/>
      <c r="AG10" s="138"/>
      <c r="AH10" s="138"/>
      <c r="AI10" s="138"/>
      <c r="AJ10" s="143"/>
      <c r="AK10" s="143"/>
      <c r="AL10" s="138"/>
      <c r="AM10" s="138"/>
      <c r="AN10" s="138"/>
      <c r="AO10" s="133"/>
      <c r="AP10" s="138"/>
      <c r="AQ10" s="138"/>
      <c r="AR10" s="138"/>
    </row>
    <row r="11" spans="1:53" ht="11.1" customHeight="1" x14ac:dyDescent="0.2">
      <c r="G11" s="3"/>
      <c r="H11" s="17" t="s">
        <v>128</v>
      </c>
      <c r="L11" s="110" t="s">
        <v>250</v>
      </c>
      <c r="M11" s="144">
        <f>Y10</f>
        <v>1</v>
      </c>
      <c r="N11" s="145"/>
      <c r="O11" s="146"/>
      <c r="X11" s="104" t="s">
        <v>251</v>
      </c>
      <c r="Y11" s="104" t="s">
        <v>252</v>
      </c>
      <c r="Z11" s="88"/>
      <c r="AA11" s="88"/>
      <c r="AB11" s="141"/>
      <c r="AC11" s="142"/>
      <c r="AD11" s="124"/>
      <c r="AE11" s="118"/>
      <c r="AF11" s="118"/>
      <c r="AG11" s="118"/>
      <c r="AH11" s="118"/>
      <c r="AI11" s="118"/>
      <c r="AJ11" s="147"/>
      <c r="AK11" s="147"/>
      <c r="AL11" s="118"/>
      <c r="AM11" s="147"/>
      <c r="AN11" s="148"/>
      <c r="AO11" s="148"/>
      <c r="AP11" s="118"/>
      <c r="AQ11" s="149"/>
      <c r="AR11" s="118"/>
    </row>
    <row r="12" spans="1:53" ht="11.1" customHeight="1" x14ac:dyDescent="0.2">
      <c r="B12" s="122" t="s">
        <v>224</v>
      </c>
      <c r="C12" s="150" t="str">
        <f>IF($H$4="FM-200",[1]TABLA!B15,IF($H$4="FK-5-1-12",[1]TABLA!G15))</f>
        <v>TANK SIZE 8L</v>
      </c>
      <c r="G12" s="3"/>
      <c r="H12" s="151">
        <f>H10*CALC_AGENT!$E$4</f>
        <v>3.2808299999999999</v>
      </c>
      <c r="L12" s="110" t="s">
        <v>253</v>
      </c>
      <c r="M12" s="152">
        <v>4.5199999999999996</v>
      </c>
      <c r="N12" s="153"/>
      <c r="O12" s="11"/>
      <c r="X12" s="154">
        <v>1</v>
      </c>
      <c r="Y12" s="154">
        <f>X12*2.20462262</f>
        <v>2.2046226199999999</v>
      </c>
      <c r="Z12" s="88"/>
      <c r="AB12" s="141"/>
      <c r="AC12" s="142"/>
      <c r="AD12" s="124"/>
      <c r="AE12" s="118"/>
      <c r="AF12" s="118"/>
      <c r="AG12" s="118"/>
      <c r="AH12" s="118"/>
      <c r="AI12" s="118"/>
      <c r="AJ12" s="147"/>
      <c r="AK12" s="147"/>
      <c r="AL12" s="118"/>
      <c r="AM12" s="147"/>
      <c r="AN12" s="148"/>
      <c r="AO12" s="148"/>
      <c r="AP12" s="118"/>
      <c r="AQ12" s="149"/>
      <c r="AR12" s="118"/>
    </row>
    <row r="13" spans="1:53" ht="11.1" customHeight="1" x14ac:dyDescent="0.2">
      <c r="B13" s="155" t="s">
        <v>14</v>
      </c>
      <c r="C13" s="155" t="s">
        <v>14</v>
      </c>
      <c r="G13" s="156"/>
      <c r="H13" s="17" t="s">
        <v>254</v>
      </c>
      <c r="L13" s="110" t="s">
        <v>255</v>
      </c>
      <c r="M13" s="152">
        <v>8.1</v>
      </c>
      <c r="N13" s="153"/>
      <c r="S13" s="118"/>
      <c r="Z13" s="124"/>
      <c r="AA13" s="157"/>
      <c r="AB13" s="141"/>
      <c r="AC13" s="142"/>
      <c r="AD13" s="124"/>
      <c r="AE13" s="118"/>
      <c r="AF13" s="118"/>
      <c r="AG13" s="118"/>
      <c r="AH13" s="118"/>
      <c r="AI13" s="118"/>
      <c r="AJ13" s="147"/>
      <c r="AK13" s="147"/>
      <c r="AL13" s="118"/>
      <c r="AM13" s="147"/>
      <c r="AN13" s="148"/>
      <c r="AO13" s="148"/>
      <c r="AP13" s="118"/>
      <c r="AQ13" s="149"/>
      <c r="AR13" s="118"/>
    </row>
    <row r="14" spans="1:53" ht="11.1" customHeight="1" x14ac:dyDescent="0.2">
      <c r="B14" s="155" t="s">
        <v>47</v>
      </c>
      <c r="C14" s="155" t="s">
        <v>47</v>
      </c>
      <c r="E14" s="158"/>
      <c r="F14" s="159"/>
      <c r="H14" s="160" t="s">
        <v>256</v>
      </c>
      <c r="L14" s="98">
        <f>+K18+1</f>
        <v>12</v>
      </c>
      <c r="M14" s="161"/>
      <c r="N14" s="98"/>
      <c r="O14" s="162"/>
      <c r="S14" s="118"/>
      <c r="X14" s="121"/>
      <c r="Y14" s="121"/>
      <c r="Z14" s="121"/>
      <c r="AA14" s="121"/>
      <c r="AB14" s="141"/>
      <c r="AC14" s="142"/>
      <c r="AD14" s="124"/>
      <c r="AE14" s="118"/>
      <c r="AF14" s="118"/>
      <c r="AG14" s="118"/>
      <c r="AH14" s="118"/>
      <c r="AI14" s="118"/>
      <c r="AJ14" s="147"/>
      <c r="AK14" s="147"/>
      <c r="AL14" s="118"/>
      <c r="AM14" s="147"/>
      <c r="AN14" s="148"/>
      <c r="AO14" s="148"/>
      <c r="AP14" s="118"/>
      <c r="AQ14" s="149"/>
      <c r="AR14" s="118"/>
    </row>
    <row r="15" spans="1:53" s="162" customFormat="1" ht="11.1" customHeight="1" x14ac:dyDescent="0.2">
      <c r="B15" s="155" t="s">
        <v>52</v>
      </c>
      <c r="C15" s="155" t="s">
        <v>52</v>
      </c>
      <c r="E15" s="158"/>
      <c r="F15" s="159"/>
      <c r="I15" s="161"/>
      <c r="J15" s="8"/>
      <c r="K15" s="163"/>
      <c r="L15" s="110" t="s">
        <v>257</v>
      </c>
      <c r="M15" s="164">
        <f>IF(H4="FM-200",VLOOKUP(H6,[1]TABLA!$A$20:$D$27,4,0),IF(H4="FK-5-1-12",VLOOKUP(H6,[1]TABLA!$F$20:$I$27,4,0)))</f>
        <v>21</v>
      </c>
      <c r="O15" s="98"/>
      <c r="Q15" s="165"/>
      <c r="S15" s="166"/>
      <c r="T15" s="167"/>
      <c r="U15" s="167"/>
      <c r="V15" s="167"/>
      <c r="W15" s="168"/>
      <c r="X15" s="147"/>
      <c r="Y15" s="147"/>
      <c r="Z15" s="147"/>
      <c r="AA15" s="124"/>
      <c r="AB15" s="141"/>
      <c r="AC15" s="169"/>
      <c r="AD15" s="169"/>
      <c r="AE15" s="118"/>
      <c r="AF15" s="170"/>
      <c r="AG15" s="118"/>
      <c r="AH15" s="118"/>
      <c r="AI15" s="118"/>
      <c r="AJ15" s="147"/>
      <c r="AK15" s="147"/>
      <c r="AL15" s="118"/>
      <c r="AM15" s="147"/>
      <c r="AN15" s="148"/>
      <c r="AO15" s="148"/>
      <c r="AP15" s="118"/>
      <c r="AQ15" s="149"/>
      <c r="AR15" s="118"/>
      <c r="AS15" s="167"/>
      <c r="AT15" s="167"/>
      <c r="AU15" s="167"/>
      <c r="AV15" s="167"/>
      <c r="AW15" s="167"/>
      <c r="AX15" s="167"/>
      <c r="AY15" s="167"/>
      <c r="AZ15" s="167"/>
      <c r="BA15" s="167"/>
    </row>
    <row r="16" spans="1:53" s="162" customFormat="1" ht="11.1" customHeight="1" x14ac:dyDescent="0.2">
      <c r="B16" s="155" t="s">
        <v>58</v>
      </c>
      <c r="C16" s="155" t="s">
        <v>58</v>
      </c>
      <c r="E16" s="158"/>
      <c r="F16" s="159"/>
      <c r="G16" s="8"/>
      <c r="H16" s="2"/>
      <c r="I16" s="6"/>
      <c r="J16" s="8"/>
      <c r="K16" s="171"/>
      <c r="L16" s="110" t="s">
        <v>258</v>
      </c>
      <c r="M16" s="172">
        <f>(H5/H3)/M15</f>
        <v>9.5238095238095233E-2</v>
      </c>
      <c r="O16" s="98"/>
      <c r="Q16" s="165"/>
      <c r="S16" s="118"/>
      <c r="T16" s="167"/>
      <c r="U16" s="167"/>
      <c r="V16" s="167"/>
      <c r="W16" s="168"/>
      <c r="X16" s="147"/>
      <c r="Y16" s="147"/>
      <c r="Z16" s="147"/>
      <c r="AA16" s="124"/>
      <c r="AB16" s="141"/>
      <c r="AC16" s="169"/>
      <c r="AD16" s="169"/>
      <c r="AE16" s="118"/>
      <c r="AF16" s="118"/>
      <c r="AG16" s="118"/>
      <c r="AH16" s="118"/>
      <c r="AI16" s="118"/>
      <c r="AJ16" s="147"/>
      <c r="AK16" s="147"/>
      <c r="AL16" s="118"/>
      <c r="AM16" s="147"/>
      <c r="AN16" s="148"/>
      <c r="AO16" s="148"/>
      <c r="AP16" s="118"/>
      <c r="AQ16" s="149"/>
      <c r="AR16" s="118"/>
      <c r="AS16" s="167"/>
      <c r="AT16" s="167"/>
      <c r="AU16" s="167"/>
      <c r="AV16" s="167"/>
      <c r="AW16" s="167"/>
      <c r="AX16" s="167"/>
      <c r="AY16" s="167"/>
      <c r="AZ16" s="167"/>
      <c r="BA16" s="167"/>
    </row>
    <row r="17" spans="2:53" s="162" customFormat="1" ht="10.5" customHeight="1" x14ac:dyDescent="0.2">
      <c r="B17" s="155" t="s">
        <v>69</v>
      </c>
      <c r="C17" s="155" t="s">
        <v>69</v>
      </c>
      <c r="E17" s="158"/>
      <c r="F17" s="159"/>
      <c r="G17" s="8"/>
      <c r="H17" s="2"/>
      <c r="I17" s="6"/>
      <c r="J17" s="8"/>
      <c r="K17" s="8"/>
      <c r="O17" s="98"/>
      <c r="Q17" s="165"/>
      <c r="S17" s="166"/>
      <c r="T17" s="167"/>
      <c r="U17" s="167"/>
      <c r="V17" s="167"/>
      <c r="W17" s="167"/>
      <c r="X17" s="88"/>
      <c r="Y17" s="88"/>
      <c r="Z17" s="88"/>
      <c r="AA17" s="167"/>
      <c r="AB17" s="167"/>
      <c r="AC17" s="167"/>
      <c r="AD17" s="167"/>
      <c r="AE17" s="118"/>
      <c r="AF17" s="170"/>
      <c r="AG17" s="118"/>
      <c r="AH17" s="118"/>
      <c r="AI17" s="118"/>
      <c r="AJ17" s="147"/>
      <c r="AK17" s="147"/>
      <c r="AL17" s="118"/>
      <c r="AM17" s="147"/>
      <c r="AN17" s="148"/>
      <c r="AO17" s="148"/>
      <c r="AP17" s="118"/>
      <c r="AQ17" s="149"/>
      <c r="AR17" s="118"/>
      <c r="AS17" s="167"/>
      <c r="AT17" s="167"/>
      <c r="AU17" s="167"/>
      <c r="AV17" s="167"/>
      <c r="AW17" s="167"/>
      <c r="AX17" s="167"/>
      <c r="AY17" s="167"/>
      <c r="AZ17" s="167"/>
      <c r="BA17" s="167"/>
    </row>
    <row r="18" spans="2:53" s="162" customFormat="1" x14ac:dyDescent="0.2">
      <c r="B18" s="155" t="s">
        <v>75</v>
      </c>
      <c r="C18" s="155" t="s">
        <v>75</v>
      </c>
      <c r="E18" s="158"/>
      <c r="F18" s="159"/>
      <c r="G18" s="173">
        <v>7</v>
      </c>
      <c r="H18" s="161">
        <f>+G18+1</f>
        <v>8</v>
      </c>
      <c r="I18" s="161">
        <f>+H18+1</f>
        <v>9</v>
      </c>
      <c r="J18" s="173">
        <f>+I18+1</f>
        <v>10</v>
      </c>
      <c r="K18" s="173">
        <f>+J18+1</f>
        <v>11</v>
      </c>
      <c r="L18" s="161"/>
      <c r="M18" s="161"/>
      <c r="O18" s="6"/>
      <c r="P18" s="6"/>
      <c r="Q18" s="106"/>
      <c r="R18" s="6"/>
      <c r="S18" s="167"/>
      <c r="T18" s="167"/>
      <c r="U18" s="167"/>
      <c r="V18" s="167"/>
      <c r="W18" s="88"/>
      <c r="X18" s="88"/>
      <c r="Y18" s="88"/>
      <c r="Z18" s="174"/>
      <c r="AA18" s="88"/>
      <c r="AB18" s="88"/>
      <c r="AC18" s="167"/>
      <c r="AD18" s="167"/>
      <c r="AE18" s="118"/>
      <c r="AF18" s="118"/>
      <c r="AG18" s="118"/>
      <c r="AH18" s="118"/>
      <c r="AI18" s="118"/>
      <c r="AJ18" s="147"/>
      <c r="AK18" s="147"/>
      <c r="AL18" s="118"/>
      <c r="AM18" s="147"/>
      <c r="AN18" s="148"/>
      <c r="AO18" s="148"/>
      <c r="AP18" s="118"/>
      <c r="AQ18" s="149"/>
      <c r="AR18" s="118"/>
      <c r="AS18" s="167"/>
      <c r="AT18" s="167"/>
      <c r="AU18" s="167"/>
      <c r="AV18" s="167"/>
      <c r="AW18" s="167"/>
      <c r="AX18" s="167"/>
      <c r="AY18" s="167"/>
      <c r="AZ18" s="167"/>
      <c r="BA18" s="167"/>
    </row>
    <row r="19" spans="2:53" s="162" customFormat="1" x14ac:dyDescent="0.2">
      <c r="B19" s="155" t="s">
        <v>81</v>
      </c>
      <c r="C19" s="155" t="s">
        <v>81</v>
      </c>
      <c r="E19" s="158"/>
      <c r="F19" s="175"/>
      <c r="G19" s="176"/>
      <c r="H19" s="177" t="str">
        <f>" SISTEMA / "&amp;$H$14&amp;"   Dimensiones: "&amp;$M$3&amp;" x "&amp;$M$4&amp;" x "&amp;$M$5&amp;" m.   "&amp;"Piso Falso: "&amp;$M$6&amp;" m.   "&amp;"Cielo Falso: "&amp;$M$7&amp;" m.   "&amp;"Volumen: "&amp;$M$10&amp;" m3."</f>
        <v xml:space="preserve"> SISTEMA / AAA   Dimensiones: 1 x 1 x 1 m.   Piso Falso:  m.   Cielo Falso:  m.   Volumen: 1 m3.</v>
      </c>
      <c r="I19" s="178"/>
      <c r="J19" s="179"/>
      <c r="K19" s="179"/>
      <c r="L19" s="178"/>
      <c r="M19" s="180">
        <v>1</v>
      </c>
      <c r="N19" s="181" t="s">
        <v>259</v>
      </c>
      <c r="O19" s="98"/>
      <c r="Q19" s="165"/>
      <c r="S19" s="167"/>
      <c r="T19" s="167"/>
      <c r="U19" s="167"/>
      <c r="V19" s="141"/>
      <c r="W19" s="167"/>
      <c r="X19" s="88"/>
      <c r="Y19" s="88"/>
      <c r="Z19" s="174"/>
      <c r="AA19" s="88"/>
      <c r="AB19" s="88"/>
      <c r="AC19" s="88"/>
      <c r="AD19" s="167"/>
      <c r="AE19" s="167"/>
      <c r="AF19" s="167"/>
      <c r="AG19" s="167"/>
      <c r="AH19" s="167"/>
      <c r="AI19" s="167"/>
      <c r="AJ19" s="182"/>
      <c r="AK19" s="88"/>
      <c r="AL19" s="88"/>
      <c r="AM19" s="167"/>
      <c r="AN19" s="167"/>
      <c r="AO19" s="167"/>
      <c r="AP19" s="167"/>
      <c r="AQ19" s="167"/>
      <c r="AR19" s="167"/>
      <c r="AS19" s="167"/>
      <c r="AT19" s="167"/>
      <c r="AU19" s="167"/>
      <c r="AV19" s="167"/>
      <c r="AW19" s="167"/>
      <c r="AX19" s="167"/>
      <c r="AY19" s="167"/>
      <c r="AZ19" s="167"/>
      <c r="BA19" s="167"/>
    </row>
    <row r="20" spans="2:53" s="162" customFormat="1" ht="12" customHeight="1" x14ac:dyDescent="0.2">
      <c r="B20" s="155" t="s">
        <v>86</v>
      </c>
      <c r="C20" s="155" t="s">
        <v>86</v>
      </c>
      <c r="E20" s="158"/>
      <c r="F20" s="175"/>
      <c r="G20" s="183"/>
      <c r="H20" s="184" t="str">
        <f>"Agente Limpio: "&amp;$H$4&amp;"     Concentración:  "&amp;$J$1&amp;"%     Temperatura: "&amp;"Min: "&amp;$O$4&amp;"°C "&amp;"Max: "&amp;$O$6&amp;"°C     Altura Geográfica: "&amp;$H$10&amp;" msnm."</f>
        <v>Agente Limpio: FK-5-1-12     Concentración:  4,52%     Temperatura: Min: 18°C Max: 27°C     Altura Geográfica: 1 msnm.</v>
      </c>
      <c r="I20" s="185"/>
      <c r="J20" s="186"/>
      <c r="K20" s="186"/>
      <c r="L20" s="187" t="s">
        <v>260</v>
      </c>
      <c r="M20" s="188">
        <f>$M$16</f>
        <v>9.5238095238095233E-2</v>
      </c>
      <c r="N20" s="189">
        <f>SUM(N22:N46)</f>
        <v>109.88</v>
      </c>
      <c r="O20" s="98"/>
      <c r="Q20" s="165"/>
      <c r="S20" s="118"/>
      <c r="T20" s="88"/>
      <c r="U20" s="190"/>
      <c r="V20" s="167"/>
      <c r="W20" s="167"/>
      <c r="X20" s="190"/>
      <c r="Y20" s="190"/>
      <c r="Z20" s="191"/>
      <c r="AA20" s="88"/>
      <c r="AB20" s="88"/>
      <c r="AC20" s="167"/>
      <c r="AD20" s="167"/>
      <c r="AE20" s="167"/>
      <c r="AF20" s="88"/>
      <c r="AG20" s="141"/>
      <c r="AH20" s="88"/>
      <c r="AI20" s="88"/>
      <c r="AJ20" s="88"/>
      <c r="AK20" s="88"/>
      <c r="AL20" s="88"/>
      <c r="AM20" s="167"/>
      <c r="AN20" s="167"/>
      <c r="AO20" s="167"/>
      <c r="AP20" s="167"/>
      <c r="AQ20" s="167"/>
      <c r="AR20" s="167"/>
      <c r="AS20" s="167"/>
      <c r="AT20" s="167"/>
      <c r="AU20" s="167"/>
      <c r="AV20" s="167"/>
      <c r="AW20" s="167"/>
      <c r="AX20" s="167"/>
      <c r="AY20" s="167"/>
      <c r="AZ20" s="167"/>
      <c r="BA20" s="167"/>
    </row>
    <row r="21" spans="2:53" x14ac:dyDescent="0.2">
      <c r="B21" s="6" t="s">
        <v>13</v>
      </c>
      <c r="C21" s="6" t="str">
        <f>VLOOKUP(H1,B12:C20,2,0)</f>
        <v>TANK SIZE 8L</v>
      </c>
      <c r="E21" s="192" t="s">
        <v>13</v>
      </c>
      <c r="F21" s="110" t="s">
        <v>5</v>
      </c>
      <c r="G21" s="104" t="s">
        <v>6</v>
      </c>
      <c r="H21" s="104" t="s">
        <v>7</v>
      </c>
      <c r="I21" s="110" t="s">
        <v>12</v>
      </c>
      <c r="J21" s="110" t="s">
        <v>9</v>
      </c>
      <c r="K21" s="110" t="s">
        <v>10</v>
      </c>
      <c r="L21" s="110" t="s">
        <v>11</v>
      </c>
      <c r="M21" s="110" t="s">
        <v>261</v>
      </c>
      <c r="N21" s="193" t="s">
        <v>262</v>
      </c>
      <c r="O21" s="194" t="s">
        <v>263</v>
      </c>
      <c r="S21" s="194"/>
      <c r="T21" s="194"/>
      <c r="U21" s="194"/>
      <c r="V21" s="194"/>
      <c r="W21" s="194"/>
      <c r="X21" s="194"/>
      <c r="Y21" s="194"/>
      <c r="Z21" s="194"/>
      <c r="AA21" s="194"/>
      <c r="AB21" s="195"/>
      <c r="AF21" s="138"/>
      <c r="AG21" s="138"/>
      <c r="AH21" s="138"/>
      <c r="AI21" s="195"/>
      <c r="AJ21" s="195"/>
      <c r="AK21" s="195"/>
      <c r="AN21" s="196"/>
      <c r="AO21" s="196"/>
    </row>
    <row r="22" spans="2:53" x14ac:dyDescent="0.2">
      <c r="B22" s="6" t="str">
        <f>$B$21&amp;C22&amp;$H$4&amp;$H$3&amp;"-"&amp;F22</f>
        <v>SISTEMATANK SIZE 8LFK-5-1-121-1</v>
      </c>
      <c r="C22" s="6" t="str">
        <f>C21</f>
        <v>TANK SIZE 8L</v>
      </c>
      <c r="E22" s="197"/>
      <c r="F22" s="198">
        <v>1</v>
      </c>
      <c r="G22" s="198" t="str">
        <f>IFERROR(VLOOKUP($B22,'BDD_SISTEMAS- MANIFOLD'!$B:$M,'COT AGENTES'!G$18,0),"")</f>
        <v>ANSUL</v>
      </c>
      <c r="H22" s="199" t="str">
        <f>IFERROR(VLOOKUP($B22,'BDD_SISTEMAS- MANIFOLD'!$B:$M,'COT AGENTES'!H$18,0),"")</f>
        <v>AGLIMP-RECARGA-00</v>
      </c>
      <c r="I22" s="200" t="str">
        <f>IFERROR(VLOOKUP($B22,'BDD_SISTEMAS- MANIFOLD'!$B:$M,'COT AGENTES'!I$18,0),"")</f>
        <v>SERVICIO DE CARGA DE AGENTE 8L</v>
      </c>
      <c r="J22" s="198" t="str">
        <f>IFERROR(VLOOKUP($B22,'BDD_SISTEMAS- MANIFOLD'!$B:$M,'COT AGENTES'!J$18,0),"")</f>
        <v>c/u.</v>
      </c>
      <c r="K22" s="201">
        <f>IFERROR(VLOOKUP($B22,'BDD_SISTEMAS- MANIFOLD'!$B:$M,'COT AGENTES'!K$18,0),"")</f>
        <v>1</v>
      </c>
      <c r="L22" s="18"/>
      <c r="M22" s="112">
        <f>IFERROR(VLOOKUP(B22,'BDD_SISTEMAS- MANIFOLD'!B1:N1242,13,0),"")</f>
        <v>1</v>
      </c>
      <c r="N22" s="202">
        <f>IFERROR((M22*K22),"")</f>
        <v>1</v>
      </c>
      <c r="O22" s="203" t="str">
        <f>IFERROR(VLOOKUP(H22,[1]STOCK!$A:$B,4,0),"")</f>
        <v/>
      </c>
      <c r="S22" s="204"/>
      <c r="T22" s="205"/>
      <c r="U22" s="205"/>
      <c r="V22" s="205"/>
      <c r="W22" s="205"/>
      <c r="X22" s="205"/>
      <c r="Y22" s="205"/>
      <c r="Z22" s="205"/>
      <c r="AA22" s="206"/>
      <c r="AB22" s="206"/>
      <c r="AH22" s="124"/>
      <c r="AJ22" s="124"/>
      <c r="AK22" s="124"/>
      <c r="AN22" s="142"/>
      <c r="AO22" s="124"/>
      <c r="AQ22" s="141"/>
    </row>
    <row r="23" spans="2:53" x14ac:dyDescent="0.2">
      <c r="B23" s="6" t="str">
        <f t="shared" ref="B23:B46" si="0">$B$21&amp;C23&amp;$H$4&amp;$H$3&amp;"-"&amp;F23</f>
        <v>SISTEMATANK SIZE 8LFK-5-1-121-2</v>
      </c>
      <c r="C23" s="6" t="str">
        <f t="shared" ref="C23:C46" si="1">C22</f>
        <v>TANK SIZE 8L</v>
      </c>
      <c r="E23" s="197"/>
      <c r="F23" s="198">
        <f>+F22+1</f>
        <v>2</v>
      </c>
      <c r="G23" s="198" t="str">
        <f>IFERROR(VLOOKUP($B23,'BDD_SISTEMAS- MANIFOLD'!$B:$M,'COT AGENTES'!G$18,0),"")</f>
        <v>ANSUL</v>
      </c>
      <c r="H23" s="199">
        <f>IFERROR(VLOOKUP($B23,'BDD_SISTEMAS- MANIFOLD'!$B:$M,'COT AGENTES'!H$18,0),"")</f>
        <v>445732</v>
      </c>
      <c r="I23" s="200" t="str">
        <f>IFERROR(VLOOKUP($B23,'BDD_SISTEMAS- MANIFOLD'!$B:$M,'COT AGENTES'!I$18,0),"")</f>
        <v>TANK SIZE 8L, Fill: 9-21 lb.</v>
      </c>
      <c r="J23" s="198" t="str">
        <f>IFERROR(VLOOKUP($B23,'BDD_SISTEMAS- MANIFOLD'!$B:$M,'COT AGENTES'!J$18,0),"")</f>
        <v>c/u.</v>
      </c>
      <c r="K23" s="201">
        <f>IFERROR(VLOOKUP($B23,'BDD_SISTEMAS- MANIFOLD'!$B:$M,'COT AGENTES'!K$18,0),"")</f>
        <v>1</v>
      </c>
      <c r="L23" s="18"/>
      <c r="M23" s="112">
        <f>IFERROR(VLOOKUP(B23,'BDD_SISTEMAS- MANIFOLD'!B2:N1242,13,0),"")</f>
        <v>1</v>
      </c>
      <c r="N23" s="202">
        <f t="shared" ref="N23:N46" si="2">IFERROR((M23*K23),"")</f>
        <v>1</v>
      </c>
      <c r="O23" s="207" t="str">
        <f>IFERROR(VLOOKUP(H23,[1]STOCK!$A:$B,4,0),"")</f>
        <v/>
      </c>
      <c r="P23" s="9"/>
      <c r="S23" s="204"/>
      <c r="T23" s="205"/>
      <c r="U23" s="205"/>
      <c r="V23" s="205"/>
      <c r="W23" s="205"/>
      <c r="X23" s="205"/>
      <c r="Y23" s="205"/>
      <c r="Z23" s="205"/>
      <c r="AA23" s="206"/>
      <c r="AB23" s="206"/>
      <c r="AH23" s="124"/>
      <c r="AJ23" s="124"/>
      <c r="AK23" s="124"/>
      <c r="AN23" s="142"/>
      <c r="AO23" s="124"/>
      <c r="AQ23" s="141"/>
    </row>
    <row r="24" spans="2:53" x14ac:dyDescent="0.2">
      <c r="B24" s="6" t="str">
        <f t="shared" si="0"/>
        <v>SISTEMATANK SIZE 8LFK-5-1-121-3</v>
      </c>
      <c r="C24" s="6" t="str">
        <f t="shared" si="1"/>
        <v>TANK SIZE 8L</v>
      </c>
      <c r="E24" s="197"/>
      <c r="F24" s="198">
        <f t="shared" ref="F24:F46" si="3">+F23+1</f>
        <v>3</v>
      </c>
      <c r="G24" s="198" t="str">
        <f>IFERROR(VLOOKUP($B24,'BDD_SISTEMAS- MANIFOLD'!$B:$M,'COT AGENTES'!G$18,0),"")</f>
        <v>ANSUL</v>
      </c>
      <c r="H24" s="199" t="str">
        <f>IFERROR(VLOOKUP($B24,'BDD_SISTEMAS- MANIFOLD'!$B:$M,'COT AGENTES'!H$18,0),"")</f>
        <v>FK-5-1-12</v>
      </c>
      <c r="I24" s="200" t="str">
        <f>IFERROR(VLOOKUP($B24,'BDD_SISTEMAS- MANIFOLD'!$B:$M,'COT AGENTES'!I$18,0),"")</f>
        <v>FK-5-1-12  FLUID FACTORY FILL PER L</v>
      </c>
      <c r="J24" s="198" t="str">
        <f>IFERROR(VLOOKUP($B24,'BDD_SISTEMAS- MANIFOLD'!$B:$M,'COT AGENTES'!J$18,0),"")</f>
        <v>c/u.</v>
      </c>
      <c r="K24" s="201">
        <f>IFERROR(VLOOKUP($B24,'BDD_SISTEMAS- MANIFOLD'!$B:$M,'COT AGENTES'!K$18,0),"")</f>
        <v>2</v>
      </c>
      <c r="L24" s="18"/>
      <c r="M24" s="112">
        <f>IFERROR(VLOOKUP(B24,'BDD_SISTEMAS- MANIFOLD'!B3:N1242,13,0),"")</f>
        <v>1</v>
      </c>
      <c r="N24" s="202">
        <f t="shared" si="2"/>
        <v>2</v>
      </c>
      <c r="O24" s="203" t="str">
        <f>IFERROR(VLOOKUP(H24,[1]STOCK!$A:$B,4,0),"")</f>
        <v/>
      </c>
      <c r="S24" s="204"/>
      <c r="T24" s="205"/>
      <c r="U24" s="205"/>
      <c r="V24" s="205"/>
      <c r="W24" s="205"/>
      <c r="X24" s="205"/>
      <c r="Y24" s="205"/>
      <c r="Z24" s="205"/>
      <c r="AA24" s="206"/>
      <c r="AB24" s="206"/>
      <c r="AH24" s="124"/>
      <c r="AJ24" s="124"/>
      <c r="AK24" s="124"/>
      <c r="AN24" s="142"/>
      <c r="AO24" s="124"/>
      <c r="AQ24" s="141"/>
    </row>
    <row r="25" spans="2:53" x14ac:dyDescent="0.2">
      <c r="B25" s="6" t="str">
        <f t="shared" si="0"/>
        <v>SISTEMATANK SIZE 8LFK-5-1-121-4</v>
      </c>
      <c r="C25" s="6" t="str">
        <f t="shared" si="1"/>
        <v>TANK SIZE 8L</v>
      </c>
      <c r="E25" s="197"/>
      <c r="F25" s="198">
        <f t="shared" si="3"/>
        <v>4</v>
      </c>
      <c r="G25" s="198" t="str">
        <f>IFERROR(VLOOKUP($B25,'BDD_SISTEMAS- MANIFOLD'!$B:$M,'COT AGENTES'!G$18,0),"")</f>
        <v>ANSUL</v>
      </c>
      <c r="H25" s="199">
        <f>IFERROR(VLOOKUP($B25,'BDD_SISTEMAS- MANIFOLD'!$B:$M,'COT AGENTES'!H$18,0),"")</f>
        <v>302207021</v>
      </c>
      <c r="I25" s="200" t="str">
        <f>IFERROR(VLOOKUP($B25,'BDD_SISTEMAS- MANIFOLD'!$B:$M,'COT AGENTES'!I$18,0),"")</f>
        <v>Pressure Gauge, FK-5-1-12</v>
      </c>
      <c r="J25" s="198" t="str">
        <f>IFERROR(VLOOKUP($B25,'BDD_SISTEMAS- MANIFOLD'!$B:$M,'COT AGENTES'!J$18,0),"")</f>
        <v>c/u.</v>
      </c>
      <c r="K25" s="201">
        <f>IFERROR(VLOOKUP($B25,'BDD_SISTEMAS- MANIFOLD'!$B:$M,'COT AGENTES'!K$18,0),"")</f>
        <v>1</v>
      </c>
      <c r="L25" s="18"/>
      <c r="M25" s="112">
        <f>IFERROR(VLOOKUP(B25,'BDD_SISTEMAS- MANIFOLD'!B4:N1242,13,0),"")</f>
        <v>1</v>
      </c>
      <c r="N25" s="202">
        <f t="shared" si="2"/>
        <v>1</v>
      </c>
      <c r="O25" s="207" t="str">
        <f>IFERROR(VLOOKUP(H25,[1]STOCK!$A:$B,4,0),"")</f>
        <v/>
      </c>
      <c r="P25" s="9"/>
      <c r="S25" s="204"/>
      <c r="T25" s="205"/>
      <c r="U25" s="205"/>
      <c r="V25" s="205"/>
      <c r="W25" s="205"/>
      <c r="X25" s="205"/>
      <c r="Y25" s="205"/>
      <c r="Z25" s="205"/>
      <c r="AA25" s="206"/>
      <c r="AB25" s="206"/>
      <c r="AH25" s="124"/>
      <c r="AJ25" s="124"/>
      <c r="AK25" s="124"/>
      <c r="AN25" s="142"/>
      <c r="AO25" s="124"/>
      <c r="AQ25" s="141"/>
    </row>
    <row r="26" spans="2:53" x14ac:dyDescent="0.2">
      <c r="B26" s="6" t="str">
        <f t="shared" si="0"/>
        <v>SISTEMATANK SIZE 8LFK-5-1-121-5</v>
      </c>
      <c r="C26" s="6" t="str">
        <f t="shared" si="1"/>
        <v>TANK SIZE 8L</v>
      </c>
      <c r="E26" s="197"/>
      <c r="F26" s="198">
        <f t="shared" si="3"/>
        <v>5</v>
      </c>
      <c r="G26" s="198" t="str">
        <f>IFERROR(VLOOKUP($B26,'BDD_SISTEMAS- MANIFOLD'!$B:$M,'COT AGENTES'!G$18,0),"")</f>
        <v>ANSUL</v>
      </c>
      <c r="H26" s="199">
        <f>IFERROR(VLOOKUP($B26,'BDD_SISTEMAS- MANIFOLD'!$B:$M,'COT AGENTES'!H$18,0),"")</f>
        <v>314207207</v>
      </c>
      <c r="I26" s="200" t="str">
        <f>IFERROR(VLOOKUP($B26,'BDD_SISTEMAS- MANIFOLD'!$B:$M,'COT AGENTES'!I$18,0),"")</f>
        <v>SAPPHIRE Label 8/16/52L UL/FM</v>
      </c>
      <c r="J26" s="198" t="str">
        <f>IFERROR(VLOOKUP($B26,'BDD_SISTEMAS- MANIFOLD'!$B:$M,'COT AGENTES'!J$18,0),"")</f>
        <v>c/u.</v>
      </c>
      <c r="K26" s="201">
        <f>IFERROR(VLOOKUP($B26,'BDD_SISTEMAS- MANIFOLD'!$B:$M,'COT AGENTES'!K$18,0),"")</f>
        <v>1</v>
      </c>
      <c r="L26" s="18"/>
      <c r="M26" s="112">
        <f>IFERROR(VLOOKUP(B26,'BDD_SISTEMAS- MANIFOLD'!B5:N1242,13,0),"")</f>
        <v>1</v>
      </c>
      <c r="N26" s="202">
        <f t="shared" si="2"/>
        <v>1</v>
      </c>
      <c r="O26" s="207" t="str">
        <f>IFERROR(VLOOKUP(H26,[1]STOCK!$A:$B,4,0),"")</f>
        <v/>
      </c>
      <c r="P26" s="9"/>
      <c r="S26" s="204"/>
      <c r="T26" s="205"/>
      <c r="U26" s="205"/>
      <c r="V26" s="205"/>
      <c r="W26" s="205"/>
      <c r="X26" s="205"/>
      <c r="Y26" s="205"/>
      <c r="Z26" s="205"/>
      <c r="AA26" s="206"/>
      <c r="AB26" s="206"/>
      <c r="AH26" s="124"/>
      <c r="AJ26" s="124"/>
      <c r="AK26" s="124"/>
      <c r="AN26" s="142"/>
      <c r="AO26" s="124"/>
      <c r="AQ26" s="141"/>
    </row>
    <row r="27" spans="2:53" x14ac:dyDescent="0.2">
      <c r="B27" s="6" t="str">
        <f t="shared" si="0"/>
        <v>SISTEMATANK SIZE 8LFK-5-1-121-6</v>
      </c>
      <c r="C27" s="6" t="str">
        <f t="shared" si="1"/>
        <v>TANK SIZE 8L</v>
      </c>
      <c r="E27" s="197"/>
      <c r="F27" s="198">
        <f t="shared" si="3"/>
        <v>6</v>
      </c>
      <c r="G27" s="198" t="str">
        <f>IFERROR(VLOOKUP($B27,'BDD_SISTEMAS- MANIFOLD'!$B:$M,'COT AGENTES'!G$18,0),"")</f>
        <v>ANSUL</v>
      </c>
      <c r="H27" s="199">
        <f>IFERROR(VLOOKUP($B27,'BDD_SISTEMAS- MANIFOLD'!$B:$M,'COT AGENTES'!H$18,0),"")</f>
        <v>570585</v>
      </c>
      <c r="I27" s="200" t="str">
        <f>IFERROR(VLOOKUP($B27,'BDD_SISTEMAS- MANIFOLD'!$B:$M,'COT AGENTES'!I$18,0),"")</f>
        <v>Cylinder Low Pressure Switch</v>
      </c>
      <c r="J27" s="198" t="str">
        <f>IFERROR(VLOOKUP($B27,'BDD_SISTEMAS- MANIFOLD'!$B:$M,'COT AGENTES'!J$18,0),"")</f>
        <v>c/u.</v>
      </c>
      <c r="K27" s="201">
        <f>IFERROR(VLOOKUP($B27,'BDD_SISTEMAS- MANIFOLD'!$B:$M,'COT AGENTES'!K$18,0),"")</f>
        <v>1</v>
      </c>
      <c r="L27" s="18"/>
      <c r="M27" s="112">
        <f>IFERROR(VLOOKUP(B27,'BDD_SISTEMAS- MANIFOLD'!B6:N1243,13,0),"")</f>
        <v>1</v>
      </c>
      <c r="N27" s="202">
        <f t="shared" si="2"/>
        <v>1</v>
      </c>
      <c r="O27" s="203" t="str">
        <f>IFERROR(VLOOKUP(H27,[1]STOCK!$A:$B,4,0),"")</f>
        <v/>
      </c>
      <c r="S27" s="204"/>
      <c r="T27" s="205"/>
      <c r="U27" s="205"/>
      <c r="V27" s="205"/>
      <c r="W27" s="205"/>
      <c r="X27" s="205"/>
      <c r="Y27" s="205"/>
      <c r="Z27" s="205"/>
      <c r="AA27" s="206"/>
      <c r="AB27" s="206"/>
      <c r="AH27" s="124"/>
      <c r="AJ27" s="124"/>
      <c r="AK27" s="124"/>
      <c r="AN27" s="169"/>
      <c r="AO27" s="169"/>
      <c r="AQ27" s="141"/>
    </row>
    <row r="28" spans="2:53" x14ac:dyDescent="0.2">
      <c r="B28" s="6" t="str">
        <f t="shared" si="0"/>
        <v>SISTEMATANK SIZE 8LFK-5-1-121-7</v>
      </c>
      <c r="C28" s="6" t="str">
        <f t="shared" si="1"/>
        <v>TANK SIZE 8L</v>
      </c>
      <c r="E28" s="197"/>
      <c r="F28" s="198">
        <f t="shared" si="3"/>
        <v>7</v>
      </c>
      <c r="G28" s="198" t="str">
        <f>IFERROR(VLOOKUP($B28,'BDD_SISTEMAS- MANIFOLD'!$B:$M,'COT AGENTES'!G$18,0),"")</f>
        <v>ANSUL</v>
      </c>
      <c r="H28" s="199">
        <f>IFERROR(VLOOKUP($B28,'BDD_SISTEMAS- MANIFOLD'!$B:$M,'COT AGENTES'!H$18,0),"")</f>
        <v>304205030</v>
      </c>
      <c r="I28" s="200" t="str">
        <f>IFERROR(VLOOKUP($B28,'BDD_SISTEMAS- MANIFOLD'!$B:$M,'COT AGENTES'!I$18,0),"")</f>
        <v>Electric Actuator Shipping Assembly</v>
      </c>
      <c r="J28" s="198" t="str">
        <f>IFERROR(VLOOKUP($B28,'BDD_SISTEMAS- MANIFOLD'!$B:$M,'COT AGENTES'!J$18,0),"")</f>
        <v>c/u.</v>
      </c>
      <c r="K28" s="201">
        <f>IFERROR(VLOOKUP($B28,'BDD_SISTEMAS- MANIFOLD'!$B:$M,'COT AGENTES'!K$18,0),"")</f>
        <v>1</v>
      </c>
      <c r="L28" s="18"/>
      <c r="M28" s="112">
        <f>IFERROR(VLOOKUP(B28,'BDD_SISTEMAS- MANIFOLD'!B7:N1244,13,0),"")</f>
        <v>1</v>
      </c>
      <c r="N28" s="202">
        <f t="shared" si="2"/>
        <v>1</v>
      </c>
      <c r="O28" s="207" t="str">
        <f>IFERROR(VLOOKUP(H28,[1]STOCK!$A:$B,4,0),"")</f>
        <v/>
      </c>
      <c r="P28" s="9"/>
      <c r="S28" s="204"/>
      <c r="T28" s="205"/>
      <c r="U28" s="205"/>
      <c r="V28" s="205"/>
      <c r="W28" s="205"/>
      <c r="X28" s="205"/>
      <c r="Y28" s="205"/>
      <c r="Z28" s="205"/>
      <c r="AA28" s="206"/>
      <c r="AB28" s="206"/>
      <c r="AH28" s="124"/>
      <c r="AJ28" s="124"/>
      <c r="AK28" s="124"/>
      <c r="AN28" s="169"/>
      <c r="AO28" s="169"/>
      <c r="AQ28" s="141"/>
    </row>
    <row r="29" spans="2:53" x14ac:dyDescent="0.2">
      <c r="B29" s="6" t="str">
        <f t="shared" si="0"/>
        <v>SISTEMATANK SIZE 8LFK-5-1-121-8</v>
      </c>
      <c r="C29" s="6" t="str">
        <f t="shared" si="1"/>
        <v>TANK SIZE 8L</v>
      </c>
      <c r="E29" s="197"/>
      <c r="F29" s="198">
        <f t="shared" si="3"/>
        <v>8</v>
      </c>
      <c r="G29" s="198" t="str">
        <f>IFERROR(VLOOKUP($B29,'BDD_SISTEMAS- MANIFOLD'!$B:$M,'COT AGENTES'!G$18,0),"")</f>
        <v>ANSUL</v>
      </c>
      <c r="H29" s="199" t="str">
        <f>IFERROR(VLOOKUP($B29,'BDD_SISTEMAS- MANIFOLD'!$B:$M,'COT AGENTES'!H$18,0),"")</f>
        <v>A1638150HY</v>
      </c>
      <c r="I29" s="200" t="str">
        <f>IFERROR(VLOOKUP($B29,'BDD_SISTEMAS- MANIFOLD'!$B:$M,'COT AGENTES'!I$18,0),"")</f>
        <v>Local Manual Actuator</v>
      </c>
      <c r="J29" s="198" t="str">
        <f>IFERROR(VLOOKUP($B29,'BDD_SISTEMAS- MANIFOLD'!$B:$M,'COT AGENTES'!J$18,0),"")</f>
        <v>c/u.</v>
      </c>
      <c r="K29" s="201">
        <f>IFERROR(VLOOKUP($B29,'BDD_SISTEMAS- MANIFOLD'!$B:$M,'COT AGENTES'!K$18,0),"")</f>
        <v>1</v>
      </c>
      <c r="L29" s="18"/>
      <c r="M29" s="112">
        <f>IFERROR(VLOOKUP(B29,'BDD_SISTEMAS- MANIFOLD'!B8:N1245,13,0),"")</f>
        <v>1</v>
      </c>
      <c r="N29" s="202">
        <f t="shared" si="2"/>
        <v>1</v>
      </c>
      <c r="O29" s="207" t="str">
        <f>IFERROR(VLOOKUP(H29,[1]STOCK!$A:$B,4,0),"")</f>
        <v/>
      </c>
      <c r="P29" s="9"/>
      <c r="S29" s="204"/>
      <c r="T29" s="205"/>
      <c r="U29" s="205"/>
      <c r="V29" s="205"/>
      <c r="W29" s="205"/>
      <c r="X29" s="205"/>
      <c r="Y29" s="205"/>
      <c r="Z29" s="205"/>
      <c r="AA29" s="206"/>
      <c r="AB29" s="206"/>
      <c r="AH29" s="124"/>
      <c r="AJ29" s="124"/>
      <c r="AK29" s="124"/>
    </row>
    <row r="30" spans="2:53" x14ac:dyDescent="0.2">
      <c r="B30" s="6" t="str">
        <f t="shared" si="0"/>
        <v>SISTEMATANK SIZE 8LFK-5-1-121-9</v>
      </c>
      <c r="C30" s="6" t="str">
        <f t="shared" si="1"/>
        <v>TANK SIZE 8L</v>
      </c>
      <c r="E30" s="197"/>
      <c r="F30" s="198">
        <f t="shared" si="3"/>
        <v>9</v>
      </c>
      <c r="G30" s="198" t="str">
        <f>IFERROR(VLOOKUP($B30,'BDD_SISTEMAS- MANIFOLD'!$B:$M,'COT AGENTES'!G$18,0),"")</f>
        <v>ANSUL</v>
      </c>
      <c r="H30" s="199" t="str">
        <f>IFERROR(VLOOKUP($B30,'BDD_SISTEMAS- MANIFOLD'!$B:$M,'COT AGENTES'!H$18,0),"")</f>
        <v>570085-R2</v>
      </c>
      <c r="I30" s="200" t="str">
        <f>IFERROR(VLOOKUP($B30,'BDD_SISTEMAS- MANIFOLD'!$B:$M,'COT AGENTES'!I$18,0),"")</f>
        <v>Tank Bracket Assembly (Fits 20, 50 &amp; 90 lb. Tanks)</v>
      </c>
      <c r="J30" s="198" t="str">
        <f>IFERROR(VLOOKUP($B30,'BDD_SISTEMAS- MANIFOLD'!$B:$M,'COT AGENTES'!J$18,0),"")</f>
        <v>c/u.</v>
      </c>
      <c r="K30" s="201">
        <f>IFERROR(VLOOKUP($B30,'BDD_SISTEMAS- MANIFOLD'!$B:$M,'COT AGENTES'!K$18,0),"")</f>
        <v>1</v>
      </c>
      <c r="L30" s="18"/>
      <c r="M30" s="112">
        <f>IFERROR(VLOOKUP(B30,'BDD_SISTEMAS- MANIFOLD'!B9:N1246,13,0),"")</f>
        <v>1</v>
      </c>
      <c r="N30" s="202">
        <f t="shared" si="2"/>
        <v>1</v>
      </c>
      <c r="O30" s="203" t="str">
        <f>IFERROR(VLOOKUP(H30,[1]STOCK!$A:$B,4,0),"")</f>
        <v/>
      </c>
      <c r="S30" s="204"/>
      <c r="T30" s="205"/>
      <c r="U30" s="205"/>
      <c r="V30" s="205"/>
      <c r="W30" s="205"/>
      <c r="X30" s="205"/>
      <c r="Y30" s="205"/>
      <c r="Z30" s="205"/>
      <c r="AA30" s="206"/>
      <c r="AB30" s="206"/>
      <c r="AI30" s="205"/>
      <c r="AJ30" s="205"/>
      <c r="AK30" s="205"/>
    </row>
    <row r="31" spans="2:53" x14ac:dyDescent="0.2">
      <c r="B31" s="6" t="str">
        <f t="shared" si="0"/>
        <v>SISTEMATANK SIZE 8LFK-5-1-121-10</v>
      </c>
      <c r="C31" s="6" t="str">
        <f t="shared" si="1"/>
        <v>TANK SIZE 8L</v>
      </c>
      <c r="E31" s="197"/>
      <c r="F31" s="198">
        <f t="shared" si="3"/>
        <v>10</v>
      </c>
      <c r="G31" s="198" t="str">
        <f>IFERROR(VLOOKUP($B31,'BDD_SISTEMAS- MANIFOLD'!$B:$M,'COT AGENTES'!G$18,0),"")</f>
        <v>ANSUL</v>
      </c>
      <c r="H31" s="199" t="str">
        <f>IFERROR(VLOOKUP($B31,'BDD_SISTEMAS- MANIFOLD'!$B:$M,'COT AGENTES'!H$18,0),"")</f>
        <v>17549OK</v>
      </c>
      <c r="I31" s="200" t="str">
        <f>IFERROR(VLOOKUP($B31,'BDD_SISTEMAS- MANIFOLD'!$B:$M,'COT AGENTES'!I$18,0),"")</f>
        <v>Nozzle, según memoria de calculo</v>
      </c>
      <c r="J31" s="198" t="str">
        <f>IFERROR(VLOOKUP($B31,'BDD_SISTEMAS- MANIFOLD'!$B:$M,'COT AGENTES'!J$18,0),"")</f>
        <v>c/u.</v>
      </c>
      <c r="K31" s="201">
        <f>IFERROR(VLOOKUP($B31,'BDD_SISTEMAS- MANIFOLD'!$B:$M,'COT AGENTES'!K$18,0),"")</f>
        <v>1</v>
      </c>
      <c r="L31" s="18"/>
      <c r="M31" s="112">
        <f>IFERROR(VLOOKUP(B31,'BDD_SISTEMAS- MANIFOLD'!B10:N1247,13,0),"")</f>
        <v>1</v>
      </c>
      <c r="N31" s="202">
        <f t="shared" si="2"/>
        <v>1</v>
      </c>
      <c r="O31" s="207" t="str">
        <f>IFERROR(VLOOKUP(H31,[1]STOCK!$A:$B,4,0),"")</f>
        <v/>
      </c>
      <c r="P31" s="9"/>
      <c r="S31" s="204"/>
      <c r="T31" s="205"/>
      <c r="U31" s="205"/>
      <c r="V31" s="205"/>
      <c r="W31" s="205"/>
      <c r="X31" s="205"/>
      <c r="Y31" s="205"/>
      <c r="Z31" s="205"/>
      <c r="AA31" s="206"/>
      <c r="AB31" s="206"/>
      <c r="AI31" s="205"/>
    </row>
    <row r="32" spans="2:53" x14ac:dyDescent="0.2">
      <c r="B32" s="6" t="str">
        <f t="shared" si="0"/>
        <v>SISTEMATANK SIZE 8LFK-5-1-121-11</v>
      </c>
      <c r="C32" s="6" t="str">
        <f t="shared" si="1"/>
        <v>TANK SIZE 8L</v>
      </c>
      <c r="E32" s="197"/>
      <c r="F32" s="198">
        <f t="shared" si="3"/>
        <v>11</v>
      </c>
      <c r="G32" s="198" t="str">
        <f>IFERROR(VLOOKUP($B32,'BDD_SISTEMAS- MANIFOLD'!$B:$M,'COT AGENTES'!G$18,0),"")</f>
        <v>ANSUL</v>
      </c>
      <c r="H32" s="199" t="str">
        <f>IFERROR(VLOOKUP($B32,'BDD_SISTEMAS- MANIFOLD'!$B:$M,'COT AGENTES'!H$18,0),"")</f>
        <v>314207101-R2</v>
      </c>
      <c r="I32" s="200" t="str">
        <f>IFERROR(VLOOKUP($B32,'BDD_SISTEMAS- MANIFOLD'!$B:$M,'COT AGENTES'!I$18,0),"")</f>
        <v>DOOR NOTICE (LESS THAN NOAEL)</v>
      </c>
      <c r="J32" s="198" t="str">
        <f>IFERROR(VLOOKUP($B32,'BDD_SISTEMAS- MANIFOLD'!$B:$M,'COT AGENTES'!J$18,0),"")</f>
        <v>c/u.</v>
      </c>
      <c r="K32" s="201">
        <f>IFERROR(VLOOKUP($B32,'BDD_SISTEMAS- MANIFOLD'!$B:$M,'COT AGENTES'!K$18,0),"")</f>
        <v>1</v>
      </c>
      <c r="L32" s="18"/>
      <c r="M32" s="112">
        <f>IFERROR(VLOOKUP(B32,'BDD_SISTEMAS- MANIFOLD'!B11:N1248,13,0),"")</f>
        <v>1</v>
      </c>
      <c r="N32" s="202">
        <f t="shared" si="2"/>
        <v>1</v>
      </c>
      <c r="O32" s="203" t="str">
        <f>IFERROR(VLOOKUP(H32,[1]STOCK!$A:$B,4,0),"")</f>
        <v/>
      </c>
      <c r="S32" s="204"/>
      <c r="T32" s="205"/>
      <c r="U32" s="205"/>
      <c r="V32" s="205"/>
      <c r="W32" s="205"/>
      <c r="X32" s="205"/>
      <c r="Y32" s="205"/>
      <c r="Z32" s="205"/>
      <c r="AA32" s="206"/>
      <c r="AB32" s="206"/>
      <c r="AG32" s="141"/>
      <c r="AK32" s="206"/>
    </row>
    <row r="33" spans="2:37" x14ac:dyDescent="0.2">
      <c r="B33" s="6" t="str">
        <f t="shared" si="0"/>
        <v>SISTEMATANK SIZE 8LFK-5-1-121-12</v>
      </c>
      <c r="C33" s="6" t="str">
        <f t="shared" si="1"/>
        <v>TANK SIZE 8L</v>
      </c>
      <c r="E33" s="197"/>
      <c r="F33" s="198">
        <f t="shared" si="3"/>
        <v>12</v>
      </c>
      <c r="G33" s="198" t="str">
        <f>IFERROR(VLOOKUP($B33,'BDD_SISTEMAS- MANIFOLD'!$B:$M,'COT AGENTES'!G$18,0),"")</f>
        <v>ANSUL</v>
      </c>
      <c r="H33" s="199" t="str">
        <f>IFERROR(VLOOKUP($B33,'BDD_SISTEMAS- MANIFOLD'!$B:$M,'COT AGENTES'!H$18,0),"")</f>
        <v>314207103-R2</v>
      </c>
      <c r="I33" s="200" t="str">
        <f>IFERROR(VLOOKUP($B33,'BDD_SISTEMAS- MANIFOLD'!$B:$M,'COT AGENTES'!I$18,0),"")</f>
        <v>MANUAL RELEASE SIGN</v>
      </c>
      <c r="J33" s="198" t="str">
        <f>IFERROR(VLOOKUP($B33,'BDD_SISTEMAS- MANIFOLD'!$B:$M,'COT AGENTES'!J$18,0),"")</f>
        <v>c/u.</v>
      </c>
      <c r="K33" s="201">
        <f>IFERROR(VLOOKUP($B33,'BDD_SISTEMAS- MANIFOLD'!$B:$M,'COT AGENTES'!K$18,0),"")</f>
        <v>1</v>
      </c>
      <c r="L33" s="18"/>
      <c r="M33" s="112">
        <f>IFERROR(VLOOKUP(B33,'BDD_SISTEMAS- MANIFOLD'!B12:N1249,13,0),"")</f>
        <v>1</v>
      </c>
      <c r="N33" s="202">
        <f t="shared" si="2"/>
        <v>1</v>
      </c>
      <c r="O33" s="203" t="str">
        <f>IFERROR(VLOOKUP(H33,[1]STOCK!$A:$B,4,0),"")</f>
        <v/>
      </c>
      <c r="S33" s="204"/>
      <c r="T33" s="205"/>
      <c r="U33" s="205"/>
      <c r="V33" s="205"/>
      <c r="W33" s="205"/>
      <c r="X33" s="205"/>
      <c r="Y33" s="205"/>
      <c r="Z33" s="205"/>
      <c r="AA33" s="206"/>
      <c r="AB33" s="206"/>
      <c r="AF33" s="138"/>
      <c r="AG33" s="138"/>
      <c r="AH33" s="138"/>
      <c r="AI33" s="195"/>
      <c r="AJ33" s="195"/>
      <c r="AK33" s="195"/>
    </row>
    <row r="34" spans="2:37" x14ac:dyDescent="0.2">
      <c r="B34" s="6" t="str">
        <f t="shared" si="0"/>
        <v>SISTEMATANK SIZE 8LFK-5-1-121-13</v>
      </c>
      <c r="C34" s="6" t="str">
        <f t="shared" si="1"/>
        <v>TANK SIZE 8L</v>
      </c>
      <c r="E34" s="197"/>
      <c r="F34" s="208">
        <f t="shared" si="3"/>
        <v>13</v>
      </c>
      <c r="G34" s="208" t="str">
        <f>IFERROR(VLOOKUP($B34,'BDD_SISTEMAS- MANIFOLD'!$B:$M,'COT AGENTES'!G$18,0),"")</f>
        <v>ANSUL</v>
      </c>
      <c r="H34" s="209" t="str">
        <f>IFERROR([1]Datos!$B$97,"")</f>
        <v>570539-R2</v>
      </c>
      <c r="I34" s="210" t="str">
        <f>IFERROR([1]Datos!C97,"")</f>
        <v>Flexible Discharge Hose, 1 in.</v>
      </c>
      <c r="J34" s="208" t="str">
        <f>IFERROR(VLOOKUP($B34,'BDD_SISTEMAS- MANIFOLD'!$B:$M,'COT AGENTES'!J$18,0),"")</f>
        <v>c/u.</v>
      </c>
      <c r="K34" s="211">
        <f>IFERROR(VLOOKUP($B34,'BDD_SISTEMAS- MANIFOLD'!$B:$M,'COT AGENTES'!K$18,0),"")</f>
        <v>1</v>
      </c>
      <c r="L34" s="212"/>
      <c r="M34" s="112">
        <f>IFERROR(VLOOKUP(H34,[1]Hoja7!$C$5:$F$85,4,0),"")</f>
        <v>93.88</v>
      </c>
      <c r="N34" s="112">
        <f t="shared" si="2"/>
        <v>93.88</v>
      </c>
      <c r="O34" s="203" t="str">
        <f>IFERROR(VLOOKUP(H34,[1]STOCK!$A:$B,4,0),"")</f>
        <v/>
      </c>
      <c r="S34" s="204"/>
      <c r="T34" s="205"/>
      <c r="U34" s="205"/>
      <c r="V34" s="205"/>
      <c r="W34" s="205"/>
      <c r="X34" s="205"/>
      <c r="Y34" s="205"/>
      <c r="Z34" s="205"/>
      <c r="AA34" s="206"/>
      <c r="AB34" s="206"/>
      <c r="AH34" s="124"/>
      <c r="AJ34" s="124"/>
      <c r="AK34" s="124"/>
    </row>
    <row r="35" spans="2:37" x14ac:dyDescent="0.2">
      <c r="B35" s="6" t="str">
        <f t="shared" si="0"/>
        <v>SISTEMATANK SIZE 8LFK-5-1-121-14</v>
      </c>
      <c r="C35" s="6" t="str">
        <f t="shared" si="1"/>
        <v>TANK SIZE 8L</v>
      </c>
      <c r="E35" s="197"/>
      <c r="F35" s="198">
        <f t="shared" si="3"/>
        <v>14</v>
      </c>
      <c r="G35" s="198">
        <f>IFERROR(VLOOKUP($B35,'BDD_SISTEMAS- MANIFOLD'!$B:$M,'COT AGENTES'!G$18,0),"")</f>
        <v>0</v>
      </c>
      <c r="H35" s="199">
        <f>IFERROR(VLOOKUP($B35,'BDD_SISTEMAS- MANIFOLD'!$B:$M,'COT AGENTES'!H$18,0),"")</f>
        <v>0</v>
      </c>
      <c r="I35" s="200">
        <f>IFERROR(VLOOKUP($B35,'BDD_SISTEMAS- MANIFOLD'!$B:$M,'COT AGENTES'!I$18,0),"")</f>
        <v>0</v>
      </c>
      <c r="J35" s="198">
        <f>IFERROR(VLOOKUP($B35,'BDD_SISTEMAS- MANIFOLD'!$B:$M,'COT AGENTES'!J$18,0),"")</f>
        <v>0</v>
      </c>
      <c r="K35" s="201">
        <f>IFERROR(VLOOKUP($B35,'BDD_SISTEMAS- MANIFOLD'!$B:$M,'COT AGENTES'!K$18,0),"")</f>
        <v>0</v>
      </c>
      <c r="L35" s="18"/>
      <c r="M35" s="112">
        <f>IFERROR(VLOOKUP(B35,'BDD_SISTEMAS- MANIFOLD'!B14:N1251,13,0),"")</f>
        <v>1</v>
      </c>
      <c r="N35" s="202">
        <f t="shared" si="2"/>
        <v>0</v>
      </c>
      <c r="O35" s="207" t="str">
        <f>IFERROR(VLOOKUP(H35,[1]STOCK!$A:$B,4,0),"")</f>
        <v/>
      </c>
      <c r="P35" s="9"/>
      <c r="S35" s="204"/>
      <c r="T35" s="205"/>
      <c r="U35" s="205"/>
      <c r="V35" s="205"/>
      <c r="W35" s="205"/>
      <c r="X35" s="205"/>
      <c r="Y35" s="205"/>
      <c r="Z35" s="205"/>
      <c r="AA35" s="206"/>
      <c r="AB35" s="206"/>
      <c r="AH35" s="124"/>
      <c r="AJ35" s="124"/>
      <c r="AK35" s="124"/>
    </row>
    <row r="36" spans="2:37" x14ac:dyDescent="0.2">
      <c r="B36" s="6" t="str">
        <f t="shared" si="0"/>
        <v>SISTEMATANK SIZE 8LFK-5-1-121-15</v>
      </c>
      <c r="C36" s="6" t="str">
        <f t="shared" si="1"/>
        <v>TANK SIZE 8L</v>
      </c>
      <c r="E36" s="197"/>
      <c r="F36" s="198">
        <f t="shared" si="3"/>
        <v>15</v>
      </c>
      <c r="G36" s="198" t="str">
        <f>IFERROR(VLOOKUP($B36,'BDD_SISTEMAS- MANIFOLD'!$B:$M,'COT AGENTES'!G$18,0),"")</f>
        <v>ANSUL</v>
      </c>
      <c r="H36" s="199">
        <f>IFERROR(VLOOKUP($B36,'BDD_SISTEMAS- MANIFOLD'!$B:$M,'COT AGENTES'!H$18,0),"")</f>
        <v>437900</v>
      </c>
      <c r="I36" s="200" t="str">
        <f>IFERROR(VLOOKUP($B36,'BDD_SISTEMAS- MANIFOLD'!$B:$M,'COT AGENTES'!I$18,0),"")</f>
        <v>Switch, Pressure, 3PDT</v>
      </c>
      <c r="J36" s="198" t="str">
        <f>IFERROR(VLOOKUP($B36,'BDD_SISTEMAS- MANIFOLD'!$B:$M,'COT AGENTES'!J$18,0),"")</f>
        <v>c/u.</v>
      </c>
      <c r="K36" s="201">
        <f>IFERROR(VLOOKUP($B36,'BDD_SISTEMAS- MANIFOLD'!$B:$M,'COT AGENTES'!K$18,0),"")</f>
        <v>1</v>
      </c>
      <c r="L36" s="18"/>
      <c r="M36" s="112">
        <f>IFERROR(VLOOKUP(B36,'BDD_SISTEMAS- MANIFOLD'!B15:N1252,13,0),"")</f>
        <v>1</v>
      </c>
      <c r="N36" s="202">
        <f t="shared" si="2"/>
        <v>1</v>
      </c>
      <c r="O36" s="203" t="str">
        <f>IFERROR(VLOOKUP(H36,[1]STOCK!$A:$B,4,0),"")</f>
        <v/>
      </c>
      <c r="S36" s="204"/>
      <c r="T36" s="205"/>
      <c r="U36" s="205"/>
      <c r="V36" s="205"/>
      <c r="W36" s="205"/>
      <c r="X36" s="205"/>
      <c r="Y36" s="205"/>
      <c r="Z36" s="205"/>
      <c r="AA36" s="206"/>
      <c r="AB36" s="206"/>
      <c r="AH36" s="124"/>
      <c r="AJ36" s="124"/>
      <c r="AK36" s="124"/>
    </row>
    <row r="37" spans="2:37" x14ac:dyDescent="0.2">
      <c r="B37" s="6" t="str">
        <f t="shared" si="0"/>
        <v>SISTEMATANK SIZE 8LFK-5-1-121-16</v>
      </c>
      <c r="C37" s="6" t="str">
        <f t="shared" si="1"/>
        <v>TANK SIZE 8L</v>
      </c>
      <c r="E37" s="197"/>
      <c r="F37" s="198">
        <f t="shared" si="3"/>
        <v>16</v>
      </c>
      <c r="G37" s="198" t="str">
        <f>IFERROR(VLOOKUP($B37,'BDD_SISTEMAS- MANIFOLD'!$B:$M,'COT AGENTES'!G$18,0),"")</f>
        <v>ANSUL</v>
      </c>
      <c r="H37" s="199">
        <f>IFERROR(VLOOKUP($B37,'BDD_SISTEMAS- MANIFOLD'!$B:$M,'COT AGENTES'!H$18,0),"")</f>
        <v>73597</v>
      </c>
      <c r="I37" s="200" t="str">
        <f>IFERROR(VLOOKUP($B37,'BDD_SISTEMAS- MANIFOLD'!$B:$M,'COT AGENTES'!I$18,0),"")</f>
        <v>Acutation Hose, 16 in., 1/4 in. NPT x 7/16-20 in. F Flare</v>
      </c>
      <c r="J37" s="198" t="str">
        <f>IFERROR(VLOOKUP($B37,'BDD_SISTEMAS- MANIFOLD'!$B:$M,'COT AGENTES'!J$18,0),"")</f>
        <v>c/u.</v>
      </c>
      <c r="K37" s="201">
        <f>IFERROR(VLOOKUP($B37,'BDD_SISTEMAS- MANIFOLD'!$B:$M,'COT AGENTES'!K$18,0),"")</f>
        <v>1</v>
      </c>
      <c r="L37" s="18"/>
      <c r="M37" s="112">
        <f>IFERROR(VLOOKUP(B37,'BDD_SISTEMAS- MANIFOLD'!B16:N1253,13,0),"")</f>
        <v>1</v>
      </c>
      <c r="N37" s="202">
        <f t="shared" si="2"/>
        <v>1</v>
      </c>
      <c r="O37" s="203" t="str">
        <f>IFERROR(VLOOKUP(H37,[1]STOCK!$A:$B,4,0),"")</f>
        <v/>
      </c>
      <c r="S37" s="204"/>
      <c r="T37" s="205"/>
      <c r="U37" s="205"/>
      <c r="V37" s="205"/>
      <c r="W37" s="205"/>
      <c r="X37" s="205"/>
      <c r="Y37" s="205"/>
      <c r="Z37" s="205"/>
      <c r="AA37" s="206"/>
      <c r="AB37" s="206"/>
      <c r="AH37" s="124"/>
      <c r="AJ37" s="124"/>
      <c r="AK37" s="124"/>
    </row>
    <row r="38" spans="2:37" x14ac:dyDescent="0.2">
      <c r="B38" s="6" t="str">
        <f t="shared" si="0"/>
        <v>SISTEMATANK SIZE 8LFK-5-1-121-17</v>
      </c>
      <c r="C38" s="6" t="str">
        <f t="shared" si="1"/>
        <v>TANK SIZE 8L</v>
      </c>
      <c r="E38" s="197"/>
      <c r="F38" s="198">
        <f t="shared" si="3"/>
        <v>17</v>
      </c>
      <c r="G38" s="198" t="str">
        <f>IFERROR(VLOOKUP($B38,'BDD_SISTEMAS- MANIFOLD'!$B:$M,'COT AGENTES'!G$18,0),"")</f>
        <v>ANSUL</v>
      </c>
      <c r="H38" s="199">
        <f>IFERROR(VLOOKUP($B38,'BDD_SISTEMAS- MANIFOLD'!$B:$M,'COT AGENTES'!H$18,0),"")</f>
        <v>32338</v>
      </c>
      <c r="I38" s="200" t="str">
        <f>IFERROR(VLOOKUP($B38,'BDD_SISTEMAS- MANIFOLD'!$B:$M,'COT AGENTES'!I$18,0),"")</f>
        <v>Male Straight Connector, 7/16 - 20 x 1/4 in. NPT</v>
      </c>
      <c r="J38" s="198" t="str">
        <f>IFERROR(VLOOKUP($B38,'BDD_SISTEMAS- MANIFOLD'!$B:$M,'COT AGENTES'!J$18,0),"")</f>
        <v>c/u.</v>
      </c>
      <c r="K38" s="201">
        <f>IFERROR(VLOOKUP($B38,'BDD_SISTEMAS- MANIFOLD'!$B:$M,'COT AGENTES'!K$18,0),"")</f>
        <v>1</v>
      </c>
      <c r="L38" s="18"/>
      <c r="M38" s="112">
        <f>IFERROR(VLOOKUP(B38,'BDD_SISTEMAS- MANIFOLD'!B17:N1254,13,0),"")</f>
        <v>1</v>
      </c>
      <c r="N38" s="202">
        <f t="shared" si="2"/>
        <v>1</v>
      </c>
      <c r="O38" s="203" t="str">
        <f>IFERROR(VLOOKUP(H38,[1]STOCK!$A:$B,4,0),"")</f>
        <v/>
      </c>
      <c r="S38" s="204"/>
      <c r="T38" s="205"/>
      <c r="U38" s="205"/>
      <c r="V38" s="205"/>
      <c r="W38" s="205"/>
      <c r="X38" s="205"/>
      <c r="Y38" s="205"/>
      <c r="Z38" s="205"/>
      <c r="AA38" s="206"/>
      <c r="AB38" s="206"/>
      <c r="AH38" s="124"/>
      <c r="AJ38" s="124"/>
      <c r="AK38" s="124"/>
    </row>
    <row r="39" spans="2:37" x14ac:dyDescent="0.2">
      <c r="B39" s="6" t="str">
        <f t="shared" si="0"/>
        <v>SISTEMATANK SIZE 8LFK-5-1-121-18</v>
      </c>
      <c r="C39" s="6" t="str">
        <f t="shared" si="1"/>
        <v>TANK SIZE 8L</v>
      </c>
      <c r="E39" s="197"/>
      <c r="F39" s="198">
        <f t="shared" si="3"/>
        <v>18</v>
      </c>
      <c r="G39" s="198" t="str">
        <f>IFERROR(VLOOKUP($B39,'BDD_SISTEMAS- MANIFOLD'!$B:$M,'COT AGENTES'!G$18,0),"")</f>
        <v/>
      </c>
      <c r="H39" s="199" t="str">
        <f>IFERROR(VLOOKUP($B39,'BDD_SISTEMAS- MANIFOLD'!$B:$M,'COT AGENTES'!H$18,0),"")</f>
        <v/>
      </c>
      <c r="I39" s="200" t="str">
        <f>IFERROR(VLOOKUP($B39,'BDD_SISTEMAS- MANIFOLD'!$B:$M,'COT AGENTES'!I$18,0),"")</f>
        <v/>
      </c>
      <c r="J39" s="198" t="str">
        <f>IFERROR(VLOOKUP($B39,'BDD_SISTEMAS- MANIFOLD'!$B:$M,'COT AGENTES'!J$18,0),"")</f>
        <v/>
      </c>
      <c r="K39" s="201" t="str">
        <f>IFERROR(VLOOKUP($B39,'BDD_SISTEMAS- MANIFOLD'!$B:$M,'COT AGENTES'!K$18,0),"")</f>
        <v/>
      </c>
      <c r="L39" s="18"/>
      <c r="M39" s="112" t="str">
        <f>IFERROR(VLOOKUP(B39,'BDD_SISTEMAS- MANIFOLD'!B18:N1255,13,0),"")</f>
        <v/>
      </c>
      <c r="N39" s="202" t="str">
        <f t="shared" si="2"/>
        <v/>
      </c>
      <c r="O39" s="203" t="str">
        <f>IFERROR(VLOOKUP(H39,[1]STOCK!$A:$B,4,0),"")</f>
        <v/>
      </c>
      <c r="S39" s="204"/>
      <c r="T39" s="205"/>
      <c r="U39" s="205"/>
      <c r="V39" s="205"/>
      <c r="W39" s="205"/>
      <c r="X39" s="205"/>
      <c r="Y39" s="205"/>
      <c r="Z39" s="205"/>
      <c r="AA39" s="206"/>
      <c r="AB39" s="206"/>
      <c r="AH39" s="124"/>
      <c r="AJ39" s="124"/>
      <c r="AK39" s="124"/>
    </row>
    <row r="40" spans="2:37" x14ac:dyDescent="0.2">
      <c r="B40" s="6" t="str">
        <f t="shared" si="0"/>
        <v>SISTEMATANK SIZE 8LFK-5-1-121-19</v>
      </c>
      <c r="C40" s="6" t="str">
        <f t="shared" si="1"/>
        <v>TANK SIZE 8L</v>
      </c>
      <c r="E40" s="197"/>
      <c r="F40" s="198">
        <f t="shared" si="3"/>
        <v>19</v>
      </c>
      <c r="G40" s="198" t="str">
        <f>IFERROR(VLOOKUP($B40,'BDD_SISTEMAS- MANIFOLD'!$B:$M,'COT AGENTES'!G$18,0),"")</f>
        <v/>
      </c>
      <c r="H40" s="199" t="str">
        <f>IFERROR(VLOOKUP($B40,'BDD_SISTEMAS- MANIFOLD'!$B:$M,'COT AGENTES'!H$18,0),"")</f>
        <v/>
      </c>
      <c r="I40" s="200" t="str">
        <f>IFERROR(VLOOKUP($B40,'BDD_SISTEMAS- MANIFOLD'!$B:$M,'COT AGENTES'!I$18,0),"")</f>
        <v/>
      </c>
      <c r="J40" s="198" t="str">
        <f>IFERROR(VLOOKUP($B40,'BDD_SISTEMAS- MANIFOLD'!$B:$M,'COT AGENTES'!J$18,0),"")</f>
        <v/>
      </c>
      <c r="K40" s="201" t="str">
        <f>IFERROR(VLOOKUP($B40,'BDD_SISTEMAS- MANIFOLD'!$B:$M,'COT AGENTES'!K$18,0),"")</f>
        <v/>
      </c>
      <c r="L40" s="18"/>
      <c r="M40" s="112" t="str">
        <f>IFERROR(VLOOKUP(B40,'BDD_SISTEMAS- MANIFOLD'!B19:N1256,13,0),"")</f>
        <v/>
      </c>
      <c r="N40" s="202" t="str">
        <f t="shared" si="2"/>
        <v/>
      </c>
      <c r="O40" s="203" t="str">
        <f>IFERROR(VLOOKUP(H40,[1]STOCK!$A:$B,4,0),"")</f>
        <v/>
      </c>
      <c r="S40" s="204"/>
      <c r="T40" s="205"/>
      <c r="U40" s="205"/>
      <c r="V40" s="205"/>
      <c r="W40" s="205"/>
      <c r="X40" s="205"/>
      <c r="Y40" s="205"/>
      <c r="Z40" s="205"/>
      <c r="AA40" s="206"/>
      <c r="AB40" s="206"/>
      <c r="AH40" s="124"/>
      <c r="AJ40" s="124"/>
      <c r="AK40" s="124"/>
    </row>
    <row r="41" spans="2:37" x14ac:dyDescent="0.2">
      <c r="B41" s="6" t="str">
        <f t="shared" si="0"/>
        <v>SISTEMATANK SIZE 8LFK-5-1-121-20</v>
      </c>
      <c r="C41" s="6" t="str">
        <f t="shared" si="1"/>
        <v>TANK SIZE 8L</v>
      </c>
      <c r="E41" s="197"/>
      <c r="F41" s="198">
        <f t="shared" si="3"/>
        <v>20</v>
      </c>
      <c r="G41" s="198" t="str">
        <f>IFERROR(VLOOKUP($B41,'BDD_SISTEMAS- MANIFOLD'!$B:$M,'COT AGENTES'!G$18,0),"")</f>
        <v/>
      </c>
      <c r="H41" s="199" t="str">
        <f>IFERROR(VLOOKUP($B41,'BDD_SISTEMAS- MANIFOLD'!$B:$M,'COT AGENTES'!H$18,0),"")</f>
        <v/>
      </c>
      <c r="I41" s="200" t="str">
        <f>IFERROR(VLOOKUP($B41,'BDD_SISTEMAS- MANIFOLD'!$B:$M,'COT AGENTES'!I$18,0),"")</f>
        <v/>
      </c>
      <c r="J41" s="198" t="str">
        <f>IFERROR(VLOOKUP($B41,'BDD_SISTEMAS- MANIFOLD'!$B:$M,'COT AGENTES'!J$18,0),"")</f>
        <v/>
      </c>
      <c r="K41" s="201" t="str">
        <f>IFERROR(VLOOKUP($B41,'BDD_SISTEMAS- MANIFOLD'!$B:$M,'COT AGENTES'!K$18,0),"")</f>
        <v/>
      </c>
      <c r="L41" s="18"/>
      <c r="M41" s="112" t="str">
        <f>IFERROR(VLOOKUP(B41,'BDD_SISTEMAS- MANIFOLD'!B20:N1257,13,0),"")</f>
        <v/>
      </c>
      <c r="N41" s="202" t="str">
        <f t="shared" si="2"/>
        <v/>
      </c>
      <c r="O41" s="203" t="str">
        <f>IFERROR(VLOOKUP(H41,[1]STOCK!$A:$B,4,0),"")</f>
        <v/>
      </c>
      <c r="S41" s="204"/>
      <c r="T41" s="205"/>
      <c r="U41" s="205"/>
      <c r="V41" s="205"/>
      <c r="W41" s="205"/>
      <c r="X41" s="205"/>
      <c r="Y41" s="205"/>
      <c r="Z41" s="205"/>
      <c r="AA41" s="206"/>
      <c r="AB41" s="206"/>
      <c r="AH41" s="124"/>
      <c r="AJ41" s="124"/>
      <c r="AK41" s="124"/>
    </row>
    <row r="42" spans="2:37" x14ac:dyDescent="0.2">
      <c r="B42" s="6" t="str">
        <f t="shared" si="0"/>
        <v>SISTEMATANK SIZE 8LFK-5-1-121-21</v>
      </c>
      <c r="C42" s="6" t="str">
        <f t="shared" si="1"/>
        <v>TANK SIZE 8L</v>
      </c>
      <c r="E42" s="197"/>
      <c r="F42" s="198">
        <f t="shared" si="3"/>
        <v>21</v>
      </c>
      <c r="G42" s="198" t="str">
        <f>IFERROR(VLOOKUP($B42,'BDD_SISTEMAS- MANIFOLD'!$B:$M,'COT AGENTES'!G$18,0),"")</f>
        <v/>
      </c>
      <c r="H42" s="199" t="str">
        <f>IFERROR(VLOOKUP($B42,'BDD_SISTEMAS- MANIFOLD'!$B:$M,'COT AGENTES'!H$18,0),"")</f>
        <v/>
      </c>
      <c r="I42" s="200" t="str">
        <f>IFERROR(VLOOKUP($B42,'BDD_SISTEMAS- MANIFOLD'!$B:$M,'COT AGENTES'!I$18,0),"")</f>
        <v/>
      </c>
      <c r="J42" s="198" t="str">
        <f>IFERROR(VLOOKUP($B42,'BDD_SISTEMAS- MANIFOLD'!$B:$M,'COT AGENTES'!J$18,0),"")</f>
        <v/>
      </c>
      <c r="K42" s="201" t="str">
        <f>IFERROR(VLOOKUP($B42,'BDD_SISTEMAS- MANIFOLD'!$B:$M,'COT AGENTES'!K$18,0),"")</f>
        <v/>
      </c>
      <c r="L42" s="18"/>
      <c r="M42" s="112" t="str">
        <f>IFERROR(VLOOKUP(B42,'BDD_SISTEMAS- MANIFOLD'!B21:N1258,13,0),"")</f>
        <v/>
      </c>
      <c r="N42" s="202" t="str">
        <f t="shared" si="2"/>
        <v/>
      </c>
      <c r="O42" s="203" t="str">
        <f>IFERROR(VLOOKUP(H42,[1]STOCK!$A:$B,4,0),"")</f>
        <v/>
      </c>
      <c r="S42" s="204"/>
      <c r="T42" s="205"/>
      <c r="U42" s="205"/>
      <c r="V42" s="205"/>
      <c r="W42" s="205"/>
      <c r="X42" s="205"/>
      <c r="Y42" s="205"/>
      <c r="Z42" s="205"/>
      <c r="AA42" s="206"/>
      <c r="AB42" s="206"/>
      <c r="AJ42" s="124"/>
      <c r="AK42" s="124"/>
    </row>
    <row r="43" spans="2:37" x14ac:dyDescent="0.2">
      <c r="B43" s="6" t="str">
        <f t="shared" si="0"/>
        <v>SISTEMATANK SIZE 8LFK-5-1-121-22</v>
      </c>
      <c r="C43" s="6" t="str">
        <f t="shared" si="1"/>
        <v>TANK SIZE 8L</v>
      </c>
      <c r="E43" s="197"/>
      <c r="F43" s="198">
        <f t="shared" si="3"/>
        <v>22</v>
      </c>
      <c r="G43" s="198" t="str">
        <f>IFERROR(VLOOKUP($B43,'BDD_SISTEMAS- MANIFOLD'!$B:$M,'COT AGENTES'!G$18,0),"")</f>
        <v/>
      </c>
      <c r="H43" s="199" t="str">
        <f>IFERROR(VLOOKUP($B43,'BDD_SISTEMAS- MANIFOLD'!$B:$M,'COT AGENTES'!H$18,0),"")</f>
        <v/>
      </c>
      <c r="I43" s="200" t="str">
        <f>IFERROR(VLOOKUP($B43,'BDD_SISTEMAS- MANIFOLD'!$B:$M,'COT AGENTES'!I$18,0),"")</f>
        <v/>
      </c>
      <c r="J43" s="198" t="str">
        <f>IFERROR(VLOOKUP($B43,'BDD_SISTEMAS- MANIFOLD'!$B:$M,'COT AGENTES'!J$18,0),"")</f>
        <v/>
      </c>
      <c r="K43" s="201" t="str">
        <f>IFERROR(VLOOKUP($B43,'BDD_SISTEMAS- MANIFOLD'!$B:$M,'COT AGENTES'!K$18,0),"")</f>
        <v/>
      </c>
      <c r="L43" s="18"/>
      <c r="M43" s="112" t="str">
        <f>IFERROR(VLOOKUP(B43,'BDD_SISTEMAS- MANIFOLD'!B22:N1259,13,0),"")</f>
        <v/>
      </c>
      <c r="N43" s="202" t="str">
        <f t="shared" si="2"/>
        <v/>
      </c>
      <c r="O43" s="203" t="str">
        <f>IFERROR(VLOOKUP(H43,[1]STOCK!$A:$B,4,0),"")</f>
        <v/>
      </c>
      <c r="S43" s="204"/>
      <c r="T43" s="205"/>
      <c r="U43" s="205"/>
      <c r="V43" s="205"/>
      <c r="W43" s="205"/>
      <c r="X43" s="205"/>
      <c r="Y43" s="205"/>
      <c r="Z43" s="205"/>
      <c r="AA43" s="206"/>
      <c r="AB43" s="206"/>
      <c r="AJ43" s="124"/>
      <c r="AK43" s="124"/>
    </row>
    <row r="44" spans="2:37" x14ac:dyDescent="0.2">
      <c r="B44" s="6" t="str">
        <f t="shared" si="0"/>
        <v>SISTEMATANK SIZE 8LFK-5-1-121-23</v>
      </c>
      <c r="C44" s="6" t="str">
        <f t="shared" si="1"/>
        <v>TANK SIZE 8L</v>
      </c>
      <c r="E44" s="197"/>
      <c r="F44" s="198">
        <f t="shared" si="3"/>
        <v>23</v>
      </c>
      <c r="G44" s="198" t="str">
        <f>IFERROR(VLOOKUP($B44,'BDD_SISTEMAS- MANIFOLD'!$B:$M,'COT AGENTES'!G$18,0),"")</f>
        <v/>
      </c>
      <c r="H44" s="199" t="str">
        <f>IFERROR(VLOOKUP($B44,'BDD_SISTEMAS- MANIFOLD'!$B:$M,'COT AGENTES'!H$18,0),"")</f>
        <v/>
      </c>
      <c r="I44" s="200" t="str">
        <f>IFERROR(VLOOKUP($B44,'BDD_SISTEMAS- MANIFOLD'!$B:$M,'COT AGENTES'!I$18,0),"")</f>
        <v/>
      </c>
      <c r="J44" s="198" t="str">
        <f>IFERROR(VLOOKUP($B44,'BDD_SISTEMAS- MANIFOLD'!$B:$M,'COT AGENTES'!J$18,0),"")</f>
        <v/>
      </c>
      <c r="K44" s="201" t="str">
        <f>IFERROR(VLOOKUP($B44,'BDD_SISTEMAS- MANIFOLD'!$B:$M,'COT AGENTES'!K$18,0),"")</f>
        <v/>
      </c>
      <c r="L44" s="18"/>
      <c r="M44" s="112" t="str">
        <f>IFERROR(VLOOKUP(B44,'BDD_SISTEMAS- MANIFOLD'!B23:N1260,13,0),"")</f>
        <v/>
      </c>
      <c r="N44" s="202" t="str">
        <f t="shared" si="2"/>
        <v/>
      </c>
      <c r="O44" s="203" t="str">
        <f>IFERROR(VLOOKUP(H44,[1]STOCK!$A:$B,4,0),"")</f>
        <v/>
      </c>
      <c r="S44" s="204"/>
      <c r="T44" s="205"/>
      <c r="U44" s="205"/>
      <c r="V44" s="205"/>
      <c r="W44" s="205"/>
      <c r="X44" s="205"/>
      <c r="Y44" s="205"/>
      <c r="Z44" s="205"/>
      <c r="AA44" s="206"/>
      <c r="AB44" s="206"/>
      <c r="AI44" s="205"/>
      <c r="AJ44" s="205"/>
      <c r="AK44" s="205"/>
    </row>
    <row r="45" spans="2:37" x14ac:dyDescent="0.2">
      <c r="B45" s="6" t="str">
        <f t="shared" si="0"/>
        <v>SISTEMATANK SIZE 8LFK-5-1-121-24</v>
      </c>
      <c r="C45" s="6" t="str">
        <f t="shared" si="1"/>
        <v>TANK SIZE 8L</v>
      </c>
      <c r="E45" s="197"/>
      <c r="F45" s="198">
        <f t="shared" si="3"/>
        <v>24</v>
      </c>
      <c r="G45" s="198" t="str">
        <f>IFERROR(VLOOKUP($B45,'BDD_SISTEMAS- MANIFOLD'!$B:$M,'COT AGENTES'!G$18,0),"")</f>
        <v/>
      </c>
      <c r="H45" s="199" t="str">
        <f>IFERROR(VLOOKUP($B45,'BDD_SISTEMAS- MANIFOLD'!$B:$M,'COT AGENTES'!H$18,0),"")</f>
        <v/>
      </c>
      <c r="I45" s="200" t="str">
        <f>IFERROR(VLOOKUP($B45,'BDD_SISTEMAS- MANIFOLD'!$B:$M,'COT AGENTES'!I$18,0),"")</f>
        <v/>
      </c>
      <c r="J45" s="198" t="str">
        <f>IFERROR(VLOOKUP($B45,'BDD_SISTEMAS- MANIFOLD'!$B:$M,'COT AGENTES'!J$18,0),"")</f>
        <v/>
      </c>
      <c r="K45" s="201" t="str">
        <f>IFERROR(VLOOKUP($B45,'BDD_SISTEMAS- MANIFOLD'!$B:$M,'COT AGENTES'!K$18,0),"")</f>
        <v/>
      </c>
      <c r="L45" s="18"/>
      <c r="M45" s="112" t="str">
        <f>IFERROR(VLOOKUP(B45,'BDD_SISTEMAS- MANIFOLD'!B24:N1261,13,0),"")</f>
        <v/>
      </c>
      <c r="N45" s="202" t="str">
        <f t="shared" si="2"/>
        <v/>
      </c>
      <c r="O45" s="203" t="str">
        <f>IFERROR(VLOOKUP(H45,[1]STOCK!$A:$B,4,0),"")</f>
        <v/>
      </c>
      <c r="S45" s="204"/>
      <c r="T45" s="205"/>
      <c r="U45" s="205"/>
      <c r="V45" s="205"/>
      <c r="W45" s="205"/>
      <c r="X45" s="205"/>
      <c r="Y45" s="205"/>
      <c r="Z45" s="205"/>
      <c r="AA45" s="206"/>
      <c r="AB45" s="206"/>
      <c r="AI45" s="205"/>
      <c r="AJ45" s="206"/>
    </row>
    <row r="46" spans="2:37" x14ac:dyDescent="0.2">
      <c r="B46" s="6" t="str">
        <f t="shared" si="0"/>
        <v>SISTEMATANK SIZE 8LFK-5-1-121-25</v>
      </c>
      <c r="C46" s="6" t="str">
        <f t="shared" si="1"/>
        <v>TANK SIZE 8L</v>
      </c>
      <c r="E46" s="213"/>
      <c r="F46" s="198">
        <f t="shared" si="3"/>
        <v>25</v>
      </c>
      <c r="G46" s="198" t="str">
        <f>IFERROR(VLOOKUP($B46,'BDD_SISTEMAS- MANIFOLD'!$B:$M,'COT AGENTES'!G$18,0),"")</f>
        <v/>
      </c>
      <c r="H46" s="199" t="str">
        <f>IFERROR(VLOOKUP($B46,'BDD_SISTEMAS- MANIFOLD'!$B:$M,'COT AGENTES'!H$18,0),"")</f>
        <v/>
      </c>
      <c r="I46" s="200" t="str">
        <f>IFERROR(VLOOKUP($B46,'BDD_SISTEMAS- MANIFOLD'!$B:$M,'COT AGENTES'!I$18,0),"")</f>
        <v/>
      </c>
      <c r="J46" s="198" t="str">
        <f>IFERROR(VLOOKUP($B46,'BDD_SISTEMAS- MANIFOLD'!$B:$M,'COT AGENTES'!J$18,0),"")</f>
        <v/>
      </c>
      <c r="K46" s="201" t="str">
        <f>IFERROR(VLOOKUP($B46,'BDD_SISTEMAS- MANIFOLD'!$B:$M,'COT AGENTES'!K$18,0),"")</f>
        <v/>
      </c>
      <c r="L46" s="18"/>
      <c r="M46" s="112" t="str">
        <f>IFERROR(VLOOKUP(B46,'BDD_SISTEMAS- MANIFOLD'!B25:N1262,13,0),"")</f>
        <v/>
      </c>
      <c r="N46" s="202" t="str">
        <f t="shared" si="2"/>
        <v/>
      </c>
      <c r="O46" s="203" t="str">
        <f>IFERROR(VLOOKUP(H46,[1]STOCK!$A:$B,4,0),"")</f>
        <v/>
      </c>
      <c r="S46" s="204"/>
      <c r="T46" s="205"/>
      <c r="U46" s="205"/>
      <c r="V46" s="205"/>
      <c r="W46" s="205"/>
      <c r="X46" s="205"/>
      <c r="Y46" s="205"/>
      <c r="Z46" s="205"/>
      <c r="AA46" s="206"/>
      <c r="AB46" s="206"/>
      <c r="AG46" s="141"/>
    </row>
    <row r="47" spans="2:37" x14ac:dyDescent="0.2">
      <c r="M47" s="29"/>
      <c r="N47" s="29"/>
      <c r="O47" s="173"/>
      <c r="S47" s="204"/>
      <c r="T47" s="205"/>
      <c r="U47" s="205"/>
      <c r="V47" s="205"/>
      <c r="W47" s="205"/>
      <c r="X47" s="205"/>
      <c r="Y47" s="205"/>
      <c r="Z47" s="205"/>
      <c r="AA47" s="206"/>
      <c r="AB47" s="206"/>
      <c r="AF47" s="138"/>
      <c r="AG47" s="138"/>
      <c r="AH47" s="138"/>
      <c r="AI47" s="195"/>
      <c r="AJ47" s="195"/>
      <c r="AK47" s="195"/>
    </row>
    <row r="48" spans="2:37" x14ac:dyDescent="0.2">
      <c r="G48" s="176"/>
      <c r="H48" s="177" t="str">
        <f>" OPCIONAL / "&amp;$H$16&amp;" "&amp;$H$14&amp;"   Dimensiones: "&amp;$M$3&amp;" x "&amp;$M$4&amp;" x "&amp;$M$5&amp;" m.   "&amp;"Piso Falso: "&amp;$M$6&amp;" m.   "&amp;"Cielo Falso: "&amp;$M$7&amp;" m.   "&amp;"Volumen: "&amp;$M$10&amp;" m3."</f>
        <v xml:space="preserve"> OPCIONAL /  AAA   Dimensiones: 1 x 1 x 1 m.   Piso Falso:  m.   Cielo Falso:  m.   Volumen: 1 m3.</v>
      </c>
      <c r="I48" s="178"/>
      <c r="J48" s="179"/>
      <c r="K48" s="179"/>
      <c r="L48" s="178"/>
      <c r="M48" s="214" t="str">
        <f>$H$4</f>
        <v>FK-5-1-12</v>
      </c>
      <c r="N48" s="215" t="s">
        <v>259</v>
      </c>
      <c r="O48" s="161"/>
      <c r="S48" s="204"/>
      <c r="T48" s="205"/>
      <c r="U48" s="205"/>
      <c r="V48" s="205"/>
      <c r="W48" s="205"/>
      <c r="X48" s="205"/>
      <c r="Y48" s="205"/>
      <c r="Z48" s="205"/>
      <c r="AA48" s="206"/>
      <c r="AB48" s="206"/>
      <c r="AH48" s="124"/>
      <c r="AJ48" s="124"/>
      <c r="AK48" s="124"/>
    </row>
    <row r="49" spans="2:43" x14ac:dyDescent="0.2">
      <c r="G49" s="183"/>
      <c r="H49" s="184" t="str">
        <f>"Agente Limpio: "&amp;$H$4&amp;"     Concentración:  "&amp;$J$1&amp;"%     Temperatura: "&amp;"Min: "&amp;$O$4&amp;"°C "&amp;"Max: "&amp;$O$6&amp;"°C     Altura Geográfica: "&amp;$H$10&amp;" msnm."</f>
        <v>Agente Limpio: FK-5-1-12     Concentración:  4,52%     Temperatura: Min: 18°C Max: 27°C     Altura Geográfica: 1 msnm.</v>
      </c>
      <c r="I49" s="185"/>
      <c r="J49" s="186"/>
      <c r="K49" s="186"/>
      <c r="L49" s="185"/>
      <c r="M49" s="188">
        <f>$M$16</f>
        <v>9.5238095238095233E-2</v>
      </c>
      <c r="N49" s="189">
        <f>SUM(N51:N59)</f>
        <v>5</v>
      </c>
      <c r="O49" s="161"/>
      <c r="S49" s="204"/>
      <c r="T49" s="205"/>
      <c r="U49" s="205"/>
      <c r="V49" s="205"/>
      <c r="W49" s="205"/>
      <c r="X49" s="205"/>
      <c r="Y49" s="205"/>
      <c r="Z49" s="205"/>
      <c r="AA49" s="206"/>
      <c r="AB49" s="206"/>
      <c r="AH49" s="124"/>
      <c r="AJ49" s="124"/>
      <c r="AK49" s="124"/>
    </row>
    <row r="50" spans="2:43" x14ac:dyDescent="0.2">
      <c r="B50" s="6" t="s">
        <v>43</v>
      </c>
      <c r="E50" s="192" t="s">
        <v>43</v>
      </c>
      <c r="F50" s="110" t="s">
        <v>5</v>
      </c>
      <c r="G50" s="104" t="s">
        <v>6</v>
      </c>
      <c r="H50" s="104" t="s">
        <v>7</v>
      </c>
      <c r="I50" s="110" t="s">
        <v>12</v>
      </c>
      <c r="J50" s="110" t="s">
        <v>9</v>
      </c>
      <c r="K50" s="110" t="s">
        <v>10</v>
      </c>
      <c r="L50" s="110" t="s">
        <v>11</v>
      </c>
      <c r="M50" s="216" t="s">
        <v>261</v>
      </c>
      <c r="N50" s="216" t="s">
        <v>262</v>
      </c>
      <c r="O50" s="194" t="s">
        <v>263</v>
      </c>
      <c r="S50" s="204"/>
      <c r="T50" s="205"/>
      <c r="U50" s="205"/>
      <c r="V50" s="205"/>
      <c r="W50" s="205"/>
      <c r="X50" s="205"/>
      <c r="Y50" s="205"/>
      <c r="Z50" s="205"/>
      <c r="AA50" s="206"/>
      <c r="AB50" s="206"/>
      <c r="AH50" s="124"/>
      <c r="AJ50" s="124"/>
      <c r="AK50" s="124"/>
    </row>
    <row r="51" spans="2:43" x14ac:dyDescent="0.2">
      <c r="B51" s="6" t="str">
        <f>B50&amp;C51&amp;$H$4&amp;$H$3&amp;"-"&amp;F51</f>
        <v>OPCIONALTANK SIZE 8LFK-5-1-121-1</v>
      </c>
      <c r="C51" s="6" t="str">
        <f>C46</f>
        <v>TANK SIZE 8L</v>
      </c>
      <c r="E51" s="197"/>
      <c r="F51" s="198">
        <v>1</v>
      </c>
      <c r="G51" s="198" t="str">
        <f>IFERROR(VLOOKUP($B51,'BDD_SISTEMAS- MANIFOLD'!$B:$M,'COT AGENTES'!G$18,0),"")</f>
        <v>ANSUL</v>
      </c>
      <c r="H51" s="199" t="str">
        <f>IFERROR(VLOOKUP($B51,'BDD_SISTEMAS- MANIFOLD'!$B:$M,'COT AGENTES'!H$18,0),"")</f>
        <v>570539-R2</v>
      </c>
      <c r="I51" s="200" t="str">
        <f>IFERROR(VLOOKUP($B51,'BDD_SISTEMAS- MANIFOLD'!$B:$M,'COT AGENTES'!I$18,0),"")</f>
        <v>Flexible Discharge Hose, 1 in.</v>
      </c>
      <c r="J51" s="198" t="str">
        <f>IFERROR(VLOOKUP($B51,'BDD_SISTEMAS- MANIFOLD'!$B:$M,'COT AGENTES'!J$18,0),"")</f>
        <v>c/u.</v>
      </c>
      <c r="K51" s="201">
        <f>IFERROR(VLOOKUP($B51,'BDD_SISTEMAS- MANIFOLD'!$B:$M,'COT AGENTES'!K$18,0),"")</f>
        <v>1</v>
      </c>
      <c r="L51" s="18"/>
      <c r="M51" s="112">
        <f>IFERROR(VLOOKUP(B51,'BDD_SISTEMAS- MANIFOLD'!B30:N1267,13,0),"")</f>
        <v>1</v>
      </c>
      <c r="N51" s="202">
        <f t="shared" ref="N51:N59" si="4">IFERROR((M51*K51),"")</f>
        <v>1</v>
      </c>
      <c r="O51" s="203" t="str">
        <f>IFERROR(VLOOKUP(H51,[1]STOCK!$A:$B,4,0),"")</f>
        <v/>
      </c>
      <c r="S51" s="204"/>
      <c r="T51" s="205"/>
      <c r="U51" s="205"/>
      <c r="V51" s="205"/>
      <c r="W51" s="205"/>
      <c r="X51" s="205"/>
      <c r="Y51" s="205"/>
      <c r="Z51" s="205"/>
      <c r="AA51" s="206"/>
      <c r="AB51" s="206"/>
      <c r="AH51" s="124"/>
      <c r="AJ51" s="124"/>
      <c r="AK51" s="124"/>
    </row>
    <row r="52" spans="2:43" x14ac:dyDescent="0.2">
      <c r="B52" s="6" t="str">
        <f t="shared" ref="B52:B59" si="5">"OPCIONAL"&amp;C52&amp;$H$4&amp;$H$3&amp;"-"&amp;F52</f>
        <v>OPCIONALTANK SIZE 8LFK-5-1-121-2</v>
      </c>
      <c r="C52" s="6" t="str">
        <f>C51</f>
        <v>TANK SIZE 8L</v>
      </c>
      <c r="E52" s="197"/>
      <c r="F52" s="198">
        <f t="shared" ref="F52:F59" si="6">+F51+1</f>
        <v>2</v>
      </c>
      <c r="G52" s="198" t="str">
        <f>IFERROR(VLOOKUP($B52,'BDD_SISTEMAS- MANIFOLD'!$B:$M,'COT AGENTES'!G$18,0),"")</f>
        <v>ANSUL</v>
      </c>
      <c r="H52" s="199">
        <f>IFERROR(VLOOKUP($B52,'BDD_SISTEMAS- MANIFOLD'!$B:$M,'COT AGENTES'!H$18,0),"")</f>
        <v>437900</v>
      </c>
      <c r="I52" s="200" t="str">
        <f>IFERROR(VLOOKUP($B52,'BDD_SISTEMAS- MANIFOLD'!$B:$M,'COT AGENTES'!I$18,0),"")</f>
        <v>Switch, Pressure, 3PDT</v>
      </c>
      <c r="J52" s="198" t="str">
        <f>IFERROR(VLOOKUP($B52,'BDD_SISTEMAS- MANIFOLD'!$B:$M,'COT AGENTES'!J$18,0),"")</f>
        <v>c/u.</v>
      </c>
      <c r="K52" s="201">
        <f>IFERROR(VLOOKUP($B52,'BDD_SISTEMAS- MANIFOLD'!$B:$M,'COT AGENTES'!K$18,0),"")</f>
        <v>1</v>
      </c>
      <c r="L52" s="18"/>
      <c r="M52" s="112">
        <f>IFERROR(VLOOKUP(B52,'BDD_SISTEMAS- MANIFOLD'!B31:N1268,13,0),"")</f>
        <v>1</v>
      </c>
      <c r="N52" s="202">
        <f t="shared" si="4"/>
        <v>1</v>
      </c>
      <c r="O52" s="203" t="str">
        <f>IFERROR(VLOOKUP(H52,[1]STOCK!$A:$B,4,0),"")</f>
        <v/>
      </c>
      <c r="S52" s="204"/>
      <c r="T52" s="205"/>
      <c r="U52" s="205"/>
      <c r="V52" s="205"/>
      <c r="W52" s="205"/>
      <c r="X52" s="205"/>
      <c r="Y52" s="205"/>
      <c r="Z52" s="205"/>
      <c r="AA52" s="206"/>
      <c r="AB52" s="206"/>
      <c r="AH52" s="124"/>
      <c r="AJ52" s="124"/>
      <c r="AK52" s="124"/>
    </row>
    <row r="53" spans="2:43" x14ac:dyDescent="0.2">
      <c r="B53" s="6" t="str">
        <f t="shared" si="5"/>
        <v>OPCIONALTANK SIZE 8LFK-5-1-121-3</v>
      </c>
      <c r="C53" s="6" t="str">
        <f t="shared" ref="C53:C57" si="7">C52</f>
        <v>TANK SIZE 8L</v>
      </c>
      <c r="E53" s="197"/>
      <c r="F53" s="198">
        <f t="shared" si="6"/>
        <v>3</v>
      </c>
      <c r="G53" s="198" t="str">
        <f>IFERROR(VLOOKUP($B53,'BDD_SISTEMAS- MANIFOLD'!$B:$M,'COT AGENTES'!G$18,0),"")</f>
        <v>ANSUL</v>
      </c>
      <c r="H53" s="199">
        <f>IFERROR(VLOOKUP($B53,'BDD_SISTEMAS- MANIFOLD'!$B:$M,'COT AGENTES'!H$18,0),"")</f>
        <v>73597</v>
      </c>
      <c r="I53" s="200" t="str">
        <f>IFERROR(VLOOKUP($B53,'BDD_SISTEMAS- MANIFOLD'!$B:$M,'COT AGENTES'!I$18,0),"")</f>
        <v>Acutation Hose, 16 in., 1/4 in. NPT x 7/16-20 in. F Flare</v>
      </c>
      <c r="J53" s="198" t="str">
        <f>IFERROR(VLOOKUP($B53,'BDD_SISTEMAS- MANIFOLD'!$B:$M,'COT AGENTES'!J$18,0),"")</f>
        <v>c/u.</v>
      </c>
      <c r="K53" s="201">
        <f>IFERROR(VLOOKUP($B53,'BDD_SISTEMAS- MANIFOLD'!$B:$M,'COT AGENTES'!K$18,0),"")</f>
        <v>1</v>
      </c>
      <c r="L53" s="18"/>
      <c r="M53" s="112">
        <f>IFERROR(VLOOKUP(B53,'BDD_SISTEMAS- MANIFOLD'!B32:N1269,13,0),"")</f>
        <v>1</v>
      </c>
      <c r="N53" s="202">
        <f t="shared" si="4"/>
        <v>1</v>
      </c>
      <c r="O53" s="203" t="str">
        <f>IFERROR(VLOOKUP(H53,[1]STOCK!$A:$B,4,0),"")</f>
        <v/>
      </c>
      <c r="S53" s="204"/>
      <c r="T53" s="205"/>
      <c r="U53" s="205"/>
      <c r="V53" s="205"/>
      <c r="W53" s="205"/>
      <c r="X53" s="205"/>
      <c r="Y53" s="205"/>
      <c r="Z53" s="205"/>
      <c r="AA53" s="206"/>
      <c r="AB53" s="206"/>
      <c r="AH53" s="124"/>
      <c r="AJ53" s="124"/>
      <c r="AK53" s="124"/>
      <c r="AQ53" s="124"/>
    </row>
    <row r="54" spans="2:43" x14ac:dyDescent="0.2">
      <c r="B54" s="6" t="str">
        <f t="shared" si="5"/>
        <v>OPCIONALTANK SIZE 8LFK-5-1-121-4</v>
      </c>
      <c r="C54" s="6" t="str">
        <f t="shared" si="7"/>
        <v>TANK SIZE 8L</v>
      </c>
      <c r="E54" s="197"/>
      <c r="F54" s="198">
        <f t="shared" si="6"/>
        <v>4</v>
      </c>
      <c r="G54" s="198" t="str">
        <f>IFERROR(VLOOKUP($B54,'BDD_SISTEMAS- MANIFOLD'!$B:$M,'COT AGENTES'!G$18,0),"")</f>
        <v>ANSUL</v>
      </c>
      <c r="H54" s="199">
        <f>IFERROR(VLOOKUP($B54,'BDD_SISTEMAS- MANIFOLD'!$B:$M,'COT AGENTES'!H$18,0),"")</f>
        <v>32338</v>
      </c>
      <c r="I54" s="200" t="str">
        <f>IFERROR(VLOOKUP($B54,'BDD_SISTEMAS- MANIFOLD'!$B:$M,'COT AGENTES'!I$18,0),"")</f>
        <v>Male Straight Connector, 7/16 - 20 x 1/4 in. NPT</v>
      </c>
      <c r="J54" s="198" t="str">
        <f>IFERROR(VLOOKUP($B54,'BDD_SISTEMAS- MANIFOLD'!$B:$M,'COT AGENTES'!J$18,0),"")</f>
        <v>c/u.</v>
      </c>
      <c r="K54" s="201">
        <f>IFERROR(VLOOKUP($B54,'BDD_SISTEMAS- MANIFOLD'!$B:$M,'COT AGENTES'!K$18,0),"")</f>
        <v>1</v>
      </c>
      <c r="L54" s="18"/>
      <c r="M54" s="112">
        <f>IFERROR(VLOOKUP(B54,'BDD_SISTEMAS- MANIFOLD'!B33:N1270,13,0),"")</f>
        <v>1</v>
      </c>
      <c r="N54" s="202">
        <f t="shared" si="4"/>
        <v>1</v>
      </c>
      <c r="O54" s="203" t="str">
        <f>IFERROR(VLOOKUP(H54,[1]STOCK!$A:$B,4,0),"")</f>
        <v/>
      </c>
      <c r="S54" s="204"/>
      <c r="T54" s="205"/>
      <c r="U54" s="205"/>
      <c r="V54" s="205"/>
      <c r="W54" s="205"/>
      <c r="X54" s="205"/>
      <c r="Y54" s="205"/>
      <c r="Z54" s="205"/>
      <c r="AA54" s="206"/>
      <c r="AB54" s="206"/>
      <c r="AH54" s="124"/>
      <c r="AJ54" s="124"/>
      <c r="AK54" s="124"/>
    </row>
    <row r="55" spans="2:43" x14ac:dyDescent="0.2">
      <c r="B55" s="6" t="str">
        <f t="shared" si="5"/>
        <v>OPCIONALTANK SIZE 8LFK-5-1-121-5</v>
      </c>
      <c r="C55" s="6" t="str">
        <f t="shared" si="7"/>
        <v>TANK SIZE 8L</v>
      </c>
      <c r="E55" s="197"/>
      <c r="F55" s="198">
        <f t="shared" si="6"/>
        <v>5</v>
      </c>
      <c r="G55" s="198" t="str">
        <f>IFERROR(VLOOKUP($B55,'BDD_SISTEMAS- MANIFOLD'!$B:$M,'COT AGENTES'!G$18,0),"")</f>
        <v>ANSUL</v>
      </c>
      <c r="H55" s="199">
        <f>IFERROR(VLOOKUP($B55,'BDD_SISTEMAS- MANIFOLD'!$B:$M,'COT AGENTES'!H$18,0),"")</f>
        <v>76498</v>
      </c>
      <c r="I55" s="200" t="str">
        <f>IFERROR(VLOOKUP($B55,'BDD_SISTEMAS- MANIFOLD'!$B:$M,'COT AGENTES'!I$18,0),"")</f>
        <v>Switch, Maintenance, Surface Mount</v>
      </c>
      <c r="J55" s="198" t="str">
        <f>IFERROR(VLOOKUP($B55,'BDD_SISTEMAS- MANIFOLD'!$B:$M,'COT AGENTES'!J$18,0),"")</f>
        <v>c/u.</v>
      </c>
      <c r="K55" s="201">
        <f>IFERROR(VLOOKUP($B55,'BDD_SISTEMAS- MANIFOLD'!$B:$M,'COT AGENTES'!K$18,0),"")</f>
        <v>1</v>
      </c>
      <c r="L55" s="18"/>
      <c r="M55" s="112">
        <f>IFERROR(VLOOKUP(B55,'BDD_SISTEMAS- MANIFOLD'!B34:N1271,13,0),"")</f>
        <v>1</v>
      </c>
      <c r="N55" s="202">
        <f t="shared" si="4"/>
        <v>1</v>
      </c>
      <c r="O55" s="203" t="str">
        <f>IFERROR(VLOOKUP(H55,[1]STOCK!$A:$B,4,0),"")</f>
        <v/>
      </c>
      <c r="S55" s="204"/>
      <c r="T55" s="205"/>
      <c r="U55" s="205"/>
      <c r="V55" s="205"/>
      <c r="W55" s="205"/>
      <c r="X55" s="205"/>
      <c r="Y55" s="205"/>
      <c r="Z55" s="205"/>
      <c r="AA55" s="206"/>
      <c r="AB55" s="206"/>
      <c r="AH55" s="124"/>
      <c r="AJ55" s="124"/>
      <c r="AK55" s="124"/>
    </row>
    <row r="56" spans="2:43" x14ac:dyDescent="0.2">
      <c r="B56" s="6" t="str">
        <f t="shared" si="5"/>
        <v>OPCIONALTANK SIZE 8LFK-5-1-121-6</v>
      </c>
      <c r="C56" s="6" t="str">
        <f t="shared" si="7"/>
        <v>TANK SIZE 8L</v>
      </c>
      <c r="E56" s="197"/>
      <c r="F56" s="198">
        <f t="shared" si="6"/>
        <v>6</v>
      </c>
      <c r="G56" s="198" t="str">
        <f>IFERROR(VLOOKUP($B56,'BDD_SISTEMAS- MANIFOLD'!$B:$M,'COT AGENTES'!G$18,0),"")</f>
        <v/>
      </c>
      <c r="H56" s="199" t="str">
        <f>IFERROR(VLOOKUP($B56,'BDD_SISTEMAS- MANIFOLD'!$B:$M,'COT AGENTES'!H$18,0),"")</f>
        <v/>
      </c>
      <c r="I56" s="200" t="str">
        <f>IFERROR(VLOOKUP($B56,'BDD_SISTEMAS- MANIFOLD'!$B:$M,'COT AGENTES'!I$18,0),"")</f>
        <v/>
      </c>
      <c r="J56" s="198" t="str">
        <f>IFERROR(VLOOKUP($B56,'BDD_SISTEMAS- MANIFOLD'!$B:$M,'COT AGENTES'!J$18,0),"")</f>
        <v/>
      </c>
      <c r="K56" s="201" t="str">
        <f>IFERROR(VLOOKUP($B56,'BDD_SISTEMAS- MANIFOLD'!$B:$M,'COT AGENTES'!K$18,0),"")</f>
        <v/>
      </c>
      <c r="L56" s="18"/>
      <c r="M56" s="112" t="str">
        <f>IFERROR(VLOOKUP(B56,'BDD_SISTEMAS- MANIFOLD'!B35:N1272,13,0),"")</f>
        <v/>
      </c>
      <c r="N56" s="202" t="str">
        <f t="shared" si="4"/>
        <v/>
      </c>
      <c r="O56" s="203" t="str">
        <f>IFERROR(VLOOKUP(H56,[1]STOCK!$A:$B,4,0),"")</f>
        <v/>
      </c>
      <c r="S56" s="204"/>
      <c r="T56" s="205"/>
      <c r="U56" s="205"/>
      <c r="V56" s="205"/>
      <c r="W56" s="205"/>
      <c r="X56" s="205"/>
      <c r="Y56" s="205"/>
      <c r="Z56" s="205"/>
      <c r="AA56" s="206"/>
      <c r="AB56" s="206"/>
      <c r="AJ56" s="124"/>
      <c r="AK56" s="124"/>
    </row>
    <row r="57" spans="2:43" x14ac:dyDescent="0.2">
      <c r="B57" s="6" t="str">
        <f t="shared" si="5"/>
        <v>OPCIONALTANK SIZE 8LFK-5-1-121-7</v>
      </c>
      <c r="C57" s="6" t="str">
        <f t="shared" si="7"/>
        <v>TANK SIZE 8L</v>
      </c>
      <c r="E57" s="197"/>
      <c r="F57" s="198">
        <f t="shared" si="6"/>
        <v>7</v>
      </c>
      <c r="G57" s="198" t="str">
        <f>IFERROR(VLOOKUP($B57,'BDD_SISTEMAS- MANIFOLD'!$B:$M,'COT AGENTES'!G$18,0),"")</f>
        <v/>
      </c>
      <c r="H57" s="199" t="str">
        <f>IFERROR(VLOOKUP($B57,'BDD_SISTEMAS- MANIFOLD'!$B:$M,'COT AGENTES'!H$18,0),"")</f>
        <v/>
      </c>
      <c r="I57" s="200" t="str">
        <f>IFERROR(VLOOKUP($B57,'BDD_SISTEMAS- MANIFOLD'!$B:$M,'COT AGENTES'!I$18,0),"")</f>
        <v/>
      </c>
      <c r="J57" s="198" t="str">
        <f>IFERROR(VLOOKUP($B57,'BDD_SISTEMAS- MANIFOLD'!$B:$M,'COT AGENTES'!J$18,0),"")</f>
        <v/>
      </c>
      <c r="K57" s="201" t="str">
        <f>IFERROR(VLOOKUP($B57,'BDD_SISTEMAS- MANIFOLD'!$B:$M,'COT AGENTES'!K$18,0),"")</f>
        <v/>
      </c>
      <c r="L57" s="18"/>
      <c r="M57" s="112" t="str">
        <f>IFERROR(VLOOKUP(B57,'BDD_SISTEMAS- MANIFOLD'!B36:N1273,13,0),"")</f>
        <v/>
      </c>
      <c r="N57" s="202" t="str">
        <f t="shared" si="4"/>
        <v/>
      </c>
      <c r="O57" s="203" t="str">
        <f>IFERROR(VLOOKUP(H57,[1]STOCK!$A:$B,4,0),"")</f>
        <v/>
      </c>
      <c r="S57" s="204"/>
      <c r="T57" s="205"/>
      <c r="U57" s="205"/>
      <c r="V57" s="205"/>
      <c r="W57" s="205"/>
      <c r="X57" s="205"/>
      <c r="Y57" s="205"/>
      <c r="Z57" s="205"/>
      <c r="AA57" s="206"/>
      <c r="AB57" s="206"/>
      <c r="AI57" s="205"/>
      <c r="AJ57" s="205"/>
      <c r="AK57" s="205"/>
    </row>
    <row r="58" spans="2:43" x14ac:dyDescent="0.2">
      <c r="B58" s="6" t="str">
        <f t="shared" si="5"/>
        <v>OPCIONALTANK SIZE 8LFK-5-1-121-8</v>
      </c>
      <c r="C58" s="6" t="str">
        <f>C56</f>
        <v>TANK SIZE 8L</v>
      </c>
      <c r="E58" s="197"/>
      <c r="F58" s="198">
        <f>+F57+1</f>
        <v>8</v>
      </c>
      <c r="G58" s="198" t="str">
        <f>IFERROR(VLOOKUP($B58,'BDD_SISTEMAS- MANIFOLD'!$B:$M,'COT AGENTES'!G$18,0),"")</f>
        <v/>
      </c>
      <c r="H58" s="199" t="str">
        <f>IFERROR(VLOOKUP($B58,'BDD_SISTEMAS- MANIFOLD'!$B:$M,'COT AGENTES'!H$18,0),"")</f>
        <v/>
      </c>
      <c r="I58" s="200" t="str">
        <f>IFERROR(VLOOKUP($B58,'BDD_SISTEMAS- MANIFOLD'!$B:$M,'COT AGENTES'!I$18,0),"")</f>
        <v/>
      </c>
      <c r="J58" s="198" t="str">
        <f>IFERROR(VLOOKUP($B58,'BDD_SISTEMAS- MANIFOLD'!$B:$M,'COT AGENTES'!J$18,0),"")</f>
        <v/>
      </c>
      <c r="K58" s="201" t="str">
        <f>IFERROR(VLOOKUP($B58,'BDD_SISTEMAS- MANIFOLD'!$B:$M,'COT AGENTES'!K$18,0),"")</f>
        <v/>
      </c>
      <c r="L58" s="18"/>
      <c r="M58" s="112" t="str">
        <f>IFERROR(VLOOKUP(B58,'BDD_SISTEMAS- MANIFOLD'!B37:N1274,13,0),"")</f>
        <v/>
      </c>
      <c r="N58" s="202" t="str">
        <f t="shared" si="4"/>
        <v/>
      </c>
      <c r="O58" s="203" t="str">
        <f>IFERROR(VLOOKUP(H58,[1]STOCK!$A:$B,4,0),"")</f>
        <v/>
      </c>
      <c r="S58" s="204"/>
      <c r="T58" s="205"/>
      <c r="U58" s="205"/>
      <c r="V58" s="205"/>
      <c r="W58" s="205"/>
      <c r="X58" s="205"/>
      <c r="Y58" s="205"/>
      <c r="Z58" s="205"/>
      <c r="AA58" s="206"/>
      <c r="AB58" s="206"/>
      <c r="AI58" s="205"/>
      <c r="AJ58" s="206"/>
    </row>
    <row r="59" spans="2:43" x14ac:dyDescent="0.2">
      <c r="B59" s="6" t="str">
        <f t="shared" si="5"/>
        <v>OPCIONALTANK SIZE 8LFK-5-1-121-9</v>
      </c>
      <c r="C59" s="6" t="str">
        <f>C57</f>
        <v>TANK SIZE 8L</v>
      </c>
      <c r="E59" s="213"/>
      <c r="F59" s="198">
        <f t="shared" si="6"/>
        <v>9</v>
      </c>
      <c r="G59" s="198" t="str">
        <f>IFERROR(VLOOKUP($B59,'BDD_SISTEMAS- MANIFOLD'!$B:$M,'COT AGENTES'!G$18,0),"")</f>
        <v/>
      </c>
      <c r="H59" s="199" t="str">
        <f>IFERROR(VLOOKUP($B59,'BDD_SISTEMAS- MANIFOLD'!$B:$M,'COT AGENTES'!H$18,0),"")</f>
        <v/>
      </c>
      <c r="I59" s="200" t="str">
        <f>IFERROR(VLOOKUP($B59,'BDD_SISTEMAS- MANIFOLD'!$B:$M,'COT AGENTES'!I$18,0),"")</f>
        <v/>
      </c>
      <c r="J59" s="198" t="str">
        <f>IFERROR(VLOOKUP($B59,'BDD_SISTEMAS- MANIFOLD'!$B:$M,'COT AGENTES'!J$18,0),"")</f>
        <v/>
      </c>
      <c r="K59" s="201" t="str">
        <f>IFERROR(VLOOKUP($B59,'BDD_SISTEMAS- MANIFOLD'!$B:$M,'COT AGENTES'!K$18,0),"")</f>
        <v/>
      </c>
      <c r="L59" s="18"/>
      <c r="M59" s="112" t="str">
        <f>IFERROR(VLOOKUP(B59,'BDD_SISTEMAS- MANIFOLD'!B38:N1275,13,0),"")</f>
        <v/>
      </c>
      <c r="N59" s="202" t="str">
        <f t="shared" si="4"/>
        <v/>
      </c>
      <c r="O59" s="203" t="str">
        <f>IFERROR(VLOOKUP(H59,[1]STOCK!$A:$B,4,0),"")</f>
        <v/>
      </c>
      <c r="S59" s="204"/>
      <c r="T59" s="205"/>
      <c r="U59" s="205"/>
      <c r="V59" s="205"/>
      <c r="W59" s="205"/>
      <c r="X59" s="205"/>
      <c r="Y59" s="205"/>
      <c r="Z59" s="205"/>
      <c r="AA59" s="206"/>
      <c r="AB59" s="206"/>
      <c r="AI59" s="205"/>
      <c r="AJ59" s="206"/>
    </row>
    <row r="60" spans="2:43" x14ac:dyDescent="0.2">
      <c r="M60" s="29"/>
      <c r="N60" s="29"/>
      <c r="O60" s="161"/>
      <c r="S60" s="204"/>
      <c r="T60" s="205"/>
      <c r="U60" s="205"/>
      <c r="V60" s="205"/>
      <c r="W60" s="205"/>
      <c r="X60" s="205"/>
      <c r="Y60" s="205"/>
      <c r="Z60" s="205"/>
      <c r="AA60" s="206"/>
      <c r="AB60" s="206"/>
      <c r="AI60" s="205"/>
      <c r="AJ60" s="206"/>
    </row>
    <row r="61" spans="2:43" x14ac:dyDescent="0.2">
      <c r="G61" s="176"/>
      <c r="H61" s="177" t="str">
        <f>" SISTEMA RESERVA / "&amp;$H$17&amp;" "&amp;$H$14&amp;"   Dimensiones: "&amp;$M$3&amp;" x "&amp;$M$4&amp;" x "&amp;$M$5&amp;" m.   "&amp;"Piso Falso: "&amp;$M$6&amp;" m.   "&amp;"Cielo Falso: "&amp;$M$7&amp;" m.   "&amp;"Volumen: "&amp;$M$10&amp;" m3."</f>
        <v xml:space="preserve"> SISTEMA RESERVA /  AAA   Dimensiones: 1 x 1 x 1 m.   Piso Falso:  m.   Cielo Falso:  m.   Volumen: 1 m3.</v>
      </c>
      <c r="I61" s="178"/>
      <c r="J61" s="179"/>
      <c r="K61" s="179"/>
      <c r="L61" s="178"/>
      <c r="M61" s="214" t="str">
        <f>$H$4</f>
        <v>FK-5-1-12</v>
      </c>
      <c r="N61" s="215" t="s">
        <v>259</v>
      </c>
      <c r="O61" s="161"/>
      <c r="S61" s="204"/>
      <c r="T61" s="205"/>
      <c r="U61" s="205"/>
      <c r="V61" s="205"/>
      <c r="W61" s="205"/>
      <c r="X61" s="205"/>
      <c r="Y61" s="205"/>
      <c r="Z61" s="205"/>
      <c r="AA61" s="206"/>
      <c r="AB61" s="206"/>
      <c r="AF61" s="138"/>
      <c r="AG61" s="138"/>
      <c r="AH61" s="138"/>
      <c r="AI61" s="195"/>
      <c r="AJ61" s="195"/>
      <c r="AK61" s="195"/>
    </row>
    <row r="62" spans="2:43" x14ac:dyDescent="0.2">
      <c r="G62" s="183"/>
      <c r="H62" s="184" t="str">
        <f>"Agente Limpio: "&amp;$H$4&amp;"     Concentración:  "&amp;$J$1&amp;"%     Temperatura: "&amp;"Min: "&amp;$O$4&amp;"°C "&amp;"Max: "&amp;$O$6&amp;"°C     Altura Geográfica: "&amp;$H$10&amp;" msnm."</f>
        <v>Agente Limpio: FK-5-1-12     Concentración:  4,52%     Temperatura: Min: 18°C Max: 27°C     Altura Geográfica: 1 msnm.</v>
      </c>
      <c r="I62" s="185"/>
      <c r="J62" s="186"/>
      <c r="K62" s="186"/>
      <c r="L62" s="185"/>
      <c r="M62" s="188">
        <f>$M$16</f>
        <v>9.5238095238095233E-2</v>
      </c>
      <c r="N62" s="189">
        <f>SUM(N64:N88)</f>
        <v>15</v>
      </c>
      <c r="O62" s="161"/>
      <c r="S62" s="204"/>
      <c r="T62" s="205"/>
      <c r="U62" s="205"/>
      <c r="V62" s="205"/>
      <c r="W62" s="205"/>
      <c r="X62" s="205"/>
      <c r="Y62" s="205"/>
      <c r="Z62" s="205"/>
      <c r="AA62" s="206"/>
      <c r="AB62" s="206"/>
      <c r="AJ62" s="124"/>
      <c r="AK62" s="124"/>
    </row>
    <row r="63" spans="2:43" x14ac:dyDescent="0.2">
      <c r="B63" s="6" t="s">
        <v>117</v>
      </c>
      <c r="E63" s="192" t="s">
        <v>117</v>
      </c>
      <c r="F63" s="110" t="s">
        <v>5</v>
      </c>
      <c r="G63" s="104" t="s">
        <v>6</v>
      </c>
      <c r="H63" s="104" t="s">
        <v>7</v>
      </c>
      <c r="I63" s="110" t="s">
        <v>12</v>
      </c>
      <c r="J63" s="110" t="s">
        <v>9</v>
      </c>
      <c r="K63" s="110" t="s">
        <v>10</v>
      </c>
      <c r="L63" s="110" t="s">
        <v>11</v>
      </c>
      <c r="M63" s="216" t="s">
        <v>261</v>
      </c>
      <c r="N63" s="216" t="s">
        <v>262</v>
      </c>
      <c r="O63" s="217" t="s">
        <v>263</v>
      </c>
      <c r="S63" s="204"/>
      <c r="T63" s="205"/>
      <c r="U63" s="205"/>
      <c r="V63" s="205"/>
      <c r="W63" s="205"/>
      <c r="X63" s="205"/>
      <c r="Y63" s="205"/>
      <c r="Z63" s="205"/>
      <c r="AA63" s="206"/>
      <c r="AB63" s="206"/>
      <c r="AJ63" s="124"/>
      <c r="AK63" s="124"/>
    </row>
    <row r="64" spans="2:43" x14ac:dyDescent="0.2">
      <c r="B64" s="6" t="str">
        <f t="shared" ref="B64:B88" si="8">$B$63&amp;C64&amp;$H$4&amp;$H$3&amp;"-"&amp;F64</f>
        <v>MAIN RESERVETANK SIZE 8LFK-5-1-121-1</v>
      </c>
      <c r="C64" s="6" t="str">
        <f>C59</f>
        <v>TANK SIZE 8L</v>
      </c>
      <c r="E64" s="197"/>
      <c r="F64" s="198">
        <v>1</v>
      </c>
      <c r="G64" s="198" t="str">
        <f>IFERROR(VLOOKUP($B64,'BDD_SISTEMAS- MANIFOLD'!$B:$M,'COT AGENTES'!G$18,0),"")</f>
        <v>ANSUL</v>
      </c>
      <c r="H64" s="199" t="str">
        <f>IFERROR(VLOOKUP($B64,'BDD_SISTEMAS- MANIFOLD'!$B:$M,'COT AGENTES'!H$18,0),"")</f>
        <v>AGLIMP-RECARGA-00</v>
      </c>
      <c r="I64" s="200" t="str">
        <f>IFERROR(VLOOKUP($B64,'BDD_SISTEMAS- MANIFOLD'!$B:$M,'COT AGENTES'!I$18,0),"")</f>
        <v>SERVICIO DE CARGA DE AGENTE 8L</v>
      </c>
      <c r="J64" s="198" t="str">
        <f>IFERROR(VLOOKUP($B64,'BDD_SISTEMAS- MANIFOLD'!$B:$M,'COT AGENTES'!J$18,0),"")</f>
        <v>c/u.</v>
      </c>
      <c r="K64" s="201">
        <f>IFERROR(VLOOKUP($B64,'BDD_SISTEMAS- MANIFOLD'!$B:$M,'COT AGENTES'!K$18,0),"")</f>
        <v>1</v>
      </c>
      <c r="L64" s="18"/>
      <c r="M64" s="112">
        <f>IFERROR(VLOOKUP(B64,'BDD_SISTEMAS- MANIFOLD'!B43:N1280,13,0),"")</f>
        <v>1</v>
      </c>
      <c r="N64" s="202">
        <f t="shared" ref="N64:N88" si="9">IFERROR((M64*K64),"")</f>
        <v>1</v>
      </c>
      <c r="O64" s="218" t="str">
        <f>IFERROR(VLOOKUP(H64,[1]STOCK!$A:$B,4,0),"")</f>
        <v/>
      </c>
      <c r="S64" s="204"/>
      <c r="T64" s="205"/>
      <c r="U64" s="205"/>
      <c r="V64" s="205"/>
      <c r="W64" s="205"/>
      <c r="X64" s="205"/>
      <c r="Y64" s="205"/>
      <c r="Z64" s="205"/>
      <c r="AA64" s="206"/>
      <c r="AB64" s="206"/>
      <c r="AJ64" s="124"/>
      <c r="AK64" s="124"/>
    </row>
    <row r="65" spans="2:38" x14ac:dyDescent="0.2">
      <c r="B65" s="6" t="str">
        <f t="shared" si="8"/>
        <v>MAIN RESERVETANK SIZE 8LFK-5-1-121-2</v>
      </c>
      <c r="C65" s="6" t="str">
        <f t="shared" ref="C65:C88" si="10">C64</f>
        <v>TANK SIZE 8L</v>
      </c>
      <c r="E65" s="197"/>
      <c r="F65" s="198">
        <f t="shared" ref="F65:F88" si="11">+F64+1</f>
        <v>2</v>
      </c>
      <c r="G65" s="198" t="str">
        <f>IFERROR(VLOOKUP($B65,'BDD_SISTEMAS- MANIFOLD'!$B:$M,'COT AGENTES'!G$18,0),"")</f>
        <v>ANSUL</v>
      </c>
      <c r="H65" s="199">
        <f>IFERROR(VLOOKUP($B65,'BDD_SISTEMAS- MANIFOLD'!$B:$M,'COT AGENTES'!H$18,0),"")</f>
        <v>445732</v>
      </c>
      <c r="I65" s="200" t="str">
        <f>IFERROR(VLOOKUP($B65,'BDD_SISTEMAS- MANIFOLD'!$B:$M,'COT AGENTES'!I$18,0),"")</f>
        <v>TANK SIZE 8L, Fill: 9-21 lb.</v>
      </c>
      <c r="J65" s="198" t="str">
        <f>IFERROR(VLOOKUP($B65,'BDD_SISTEMAS- MANIFOLD'!$B:$M,'COT AGENTES'!J$18,0),"")</f>
        <v>c/u.</v>
      </c>
      <c r="K65" s="201">
        <f>IFERROR(VLOOKUP($B65,'BDD_SISTEMAS- MANIFOLD'!$B:$M,'COT AGENTES'!K$18,0),"")</f>
        <v>1</v>
      </c>
      <c r="L65" s="18"/>
      <c r="M65" s="112">
        <f>IFERROR(VLOOKUP(B65,'BDD_SISTEMAS- MANIFOLD'!B44:N1281,13,0),"")</f>
        <v>1</v>
      </c>
      <c r="N65" s="202">
        <f t="shared" si="9"/>
        <v>1</v>
      </c>
      <c r="O65" s="218" t="str">
        <f>IFERROR(VLOOKUP(H65,[1]STOCK!$A:$B,4,0),"")</f>
        <v/>
      </c>
      <c r="S65" s="204"/>
      <c r="T65" s="205"/>
      <c r="U65" s="205"/>
      <c r="V65" s="205"/>
      <c r="W65" s="205"/>
      <c r="X65" s="205"/>
      <c r="Y65" s="205"/>
      <c r="Z65" s="205"/>
      <c r="AA65" s="206"/>
      <c r="AB65" s="206"/>
      <c r="AJ65" s="124"/>
      <c r="AK65" s="124"/>
    </row>
    <row r="66" spans="2:38" x14ac:dyDescent="0.2">
      <c r="B66" s="6" t="str">
        <f t="shared" si="8"/>
        <v>MAIN RESERVETANK SIZE 8LFK-5-1-121-3</v>
      </c>
      <c r="C66" s="6" t="str">
        <f t="shared" si="10"/>
        <v>TANK SIZE 8L</v>
      </c>
      <c r="E66" s="197"/>
      <c r="F66" s="198">
        <f t="shared" si="11"/>
        <v>3</v>
      </c>
      <c r="G66" s="198" t="str">
        <f>IFERROR(VLOOKUP($B66,'BDD_SISTEMAS- MANIFOLD'!$B:$M,'COT AGENTES'!G$18,0),"")</f>
        <v>ANSUL</v>
      </c>
      <c r="H66" s="199" t="str">
        <f>IFERROR(VLOOKUP($B66,'BDD_SISTEMAS- MANIFOLD'!$B:$M,'COT AGENTES'!H$18,0),"")</f>
        <v>FK-5-1-12</v>
      </c>
      <c r="I66" s="200" t="str">
        <f>IFERROR(VLOOKUP($B66,'BDD_SISTEMAS- MANIFOLD'!$B:$M,'COT AGENTES'!I$18,0),"")</f>
        <v>FK-5-1-12  FLUID FACTORY FILL PER L</v>
      </c>
      <c r="J66" s="198" t="str">
        <f>IFERROR(VLOOKUP($B66,'BDD_SISTEMAS- MANIFOLD'!$B:$M,'COT AGENTES'!J$18,0),"")</f>
        <v>c/u.</v>
      </c>
      <c r="K66" s="201">
        <f>IFERROR(VLOOKUP($B66,'BDD_SISTEMAS- MANIFOLD'!$B:$M,'COT AGENTES'!K$18,0),"")</f>
        <v>2</v>
      </c>
      <c r="L66" s="18"/>
      <c r="M66" s="112">
        <f>IFERROR(VLOOKUP(B66,'BDD_SISTEMAS- MANIFOLD'!B45:N1282,13,0),"")</f>
        <v>1</v>
      </c>
      <c r="N66" s="202">
        <f t="shared" si="9"/>
        <v>2</v>
      </c>
      <c r="O66" s="218" t="str">
        <f>IFERROR(VLOOKUP(H66,[1]STOCK!$A:$B,4,0),"")</f>
        <v/>
      </c>
      <c r="S66" s="204"/>
      <c r="T66" s="205"/>
      <c r="U66" s="205"/>
      <c r="V66" s="205"/>
      <c r="W66" s="205"/>
      <c r="X66" s="205"/>
      <c r="Y66" s="205"/>
      <c r="Z66" s="205"/>
      <c r="AA66" s="206"/>
      <c r="AB66" s="206"/>
      <c r="AJ66" s="124"/>
      <c r="AK66" s="124"/>
    </row>
    <row r="67" spans="2:38" x14ac:dyDescent="0.2">
      <c r="B67" s="6" t="str">
        <f t="shared" si="8"/>
        <v>MAIN RESERVETANK SIZE 8LFK-5-1-121-4</v>
      </c>
      <c r="C67" s="6" t="str">
        <f t="shared" si="10"/>
        <v>TANK SIZE 8L</v>
      </c>
      <c r="E67" s="197"/>
      <c r="F67" s="198">
        <f t="shared" si="11"/>
        <v>4</v>
      </c>
      <c r="G67" s="198" t="str">
        <f>IFERROR(VLOOKUP($B67,'BDD_SISTEMAS- MANIFOLD'!$B:$M,'COT AGENTES'!G$18,0),"")</f>
        <v>ANSUL</v>
      </c>
      <c r="H67" s="199">
        <f>IFERROR(VLOOKUP($B67,'BDD_SISTEMAS- MANIFOLD'!$B:$M,'COT AGENTES'!H$18,0),"")</f>
        <v>302207021</v>
      </c>
      <c r="I67" s="200" t="str">
        <f>IFERROR(VLOOKUP($B67,'BDD_SISTEMAS- MANIFOLD'!$B:$M,'COT AGENTES'!I$18,0),"")</f>
        <v>Pressure Gauge, FK-5-1-12</v>
      </c>
      <c r="J67" s="198" t="str">
        <f>IFERROR(VLOOKUP($B67,'BDD_SISTEMAS- MANIFOLD'!$B:$M,'COT AGENTES'!J$18,0),"")</f>
        <v>c/u.</v>
      </c>
      <c r="K67" s="201">
        <f>IFERROR(VLOOKUP($B67,'BDD_SISTEMAS- MANIFOLD'!$B:$M,'COT AGENTES'!K$18,0),"")</f>
        <v>1</v>
      </c>
      <c r="L67" s="18"/>
      <c r="M67" s="112">
        <f>IFERROR(VLOOKUP(B67,'BDD_SISTEMAS- MANIFOLD'!B46:N1283,13,0),"")</f>
        <v>1</v>
      </c>
      <c r="N67" s="202">
        <f t="shared" si="9"/>
        <v>1</v>
      </c>
      <c r="O67" s="218" t="str">
        <f>IFERROR(VLOOKUP(H67,[1]STOCK!$A:$B,4,0),"")</f>
        <v/>
      </c>
      <c r="S67" s="204"/>
      <c r="T67" s="205"/>
      <c r="U67" s="205"/>
      <c r="V67" s="205"/>
      <c r="W67" s="205"/>
      <c r="X67" s="205"/>
      <c r="Y67" s="205"/>
      <c r="Z67" s="205"/>
      <c r="AA67" s="206"/>
      <c r="AB67" s="206"/>
      <c r="AJ67" s="205"/>
      <c r="AK67" s="205"/>
    </row>
    <row r="68" spans="2:38" x14ac:dyDescent="0.2">
      <c r="B68" s="6" t="str">
        <f t="shared" si="8"/>
        <v>MAIN RESERVETANK SIZE 8LFK-5-1-121-5</v>
      </c>
      <c r="C68" s="6" t="str">
        <f t="shared" si="10"/>
        <v>TANK SIZE 8L</v>
      </c>
      <c r="E68" s="197"/>
      <c r="F68" s="198">
        <f t="shared" si="11"/>
        <v>5</v>
      </c>
      <c r="G68" s="198" t="str">
        <f>IFERROR(VLOOKUP($B68,'BDD_SISTEMAS- MANIFOLD'!$B:$M,'COT AGENTES'!G$18,0),"")</f>
        <v>ANSUL</v>
      </c>
      <c r="H68" s="199">
        <f>IFERROR(VLOOKUP($B68,'BDD_SISTEMAS- MANIFOLD'!$B:$M,'COT AGENTES'!H$18,0),"")</f>
        <v>314207207</v>
      </c>
      <c r="I68" s="200" t="str">
        <f>IFERROR(VLOOKUP($B68,'BDD_SISTEMAS- MANIFOLD'!$B:$M,'COT AGENTES'!I$18,0),"")</f>
        <v>SAPPHIRE Label 8/16/52L UL/FM</v>
      </c>
      <c r="J68" s="198" t="str">
        <f>IFERROR(VLOOKUP($B68,'BDD_SISTEMAS- MANIFOLD'!$B:$M,'COT AGENTES'!J$18,0),"")</f>
        <v>c/u.</v>
      </c>
      <c r="K68" s="201">
        <f>IFERROR(VLOOKUP($B68,'BDD_SISTEMAS- MANIFOLD'!$B:$M,'COT AGENTES'!K$18,0),"")</f>
        <v>1</v>
      </c>
      <c r="L68" s="18"/>
      <c r="M68" s="112">
        <f>IFERROR(VLOOKUP(B68,'BDD_SISTEMAS- MANIFOLD'!B47:N1284,13,0),"")</f>
        <v>1</v>
      </c>
      <c r="N68" s="202">
        <f t="shared" si="9"/>
        <v>1</v>
      </c>
      <c r="O68" s="218" t="str">
        <f>IFERROR(VLOOKUP(H68,[1]STOCK!$A:$B,4,0),"")</f>
        <v/>
      </c>
      <c r="S68" s="204"/>
      <c r="T68" s="205"/>
      <c r="U68" s="205"/>
      <c r="V68" s="205"/>
      <c r="W68" s="205"/>
      <c r="X68" s="205"/>
      <c r="Y68" s="205"/>
      <c r="Z68" s="205"/>
      <c r="AA68" s="206"/>
      <c r="AB68" s="206"/>
    </row>
    <row r="69" spans="2:38" x14ac:dyDescent="0.2">
      <c r="B69" s="6" t="str">
        <f t="shared" si="8"/>
        <v>MAIN RESERVETANK SIZE 8LFK-5-1-121-6</v>
      </c>
      <c r="C69" s="6" t="str">
        <f t="shared" si="10"/>
        <v>TANK SIZE 8L</v>
      </c>
      <c r="E69" s="197"/>
      <c r="F69" s="198">
        <f t="shared" si="11"/>
        <v>6</v>
      </c>
      <c r="G69" s="198" t="str">
        <f>IFERROR(VLOOKUP($B69,'BDD_SISTEMAS- MANIFOLD'!$B:$M,'COT AGENTES'!G$18,0),"")</f>
        <v>ANSUL</v>
      </c>
      <c r="H69" s="199">
        <f>IFERROR(VLOOKUP($B69,'BDD_SISTEMAS- MANIFOLD'!$B:$M,'COT AGENTES'!H$18,0),"")</f>
        <v>570585</v>
      </c>
      <c r="I69" s="200" t="str">
        <f>IFERROR(VLOOKUP($B69,'BDD_SISTEMAS- MANIFOLD'!$B:$M,'COT AGENTES'!I$18,0),"")</f>
        <v>Cylinder Low Pressure Switch</v>
      </c>
      <c r="J69" s="198" t="str">
        <f>IFERROR(VLOOKUP($B69,'BDD_SISTEMAS- MANIFOLD'!$B:$M,'COT AGENTES'!J$18,0),"")</f>
        <v>c/u.</v>
      </c>
      <c r="K69" s="201">
        <f>IFERROR(VLOOKUP($B69,'BDD_SISTEMAS- MANIFOLD'!$B:$M,'COT AGENTES'!K$18,0),"")</f>
        <v>1</v>
      </c>
      <c r="L69" s="18"/>
      <c r="M69" s="112">
        <f>IFERROR(VLOOKUP(B69,'BDD_SISTEMAS- MANIFOLD'!B48:N1285,13,0),"")</f>
        <v>1</v>
      </c>
      <c r="N69" s="202">
        <f t="shared" si="9"/>
        <v>1</v>
      </c>
      <c r="O69" s="218" t="str">
        <f>IFERROR(VLOOKUP(H69,[1]STOCK!$A:$B,4,0),"")</f>
        <v/>
      </c>
      <c r="S69" s="204"/>
      <c r="T69" s="205"/>
      <c r="U69" s="205"/>
      <c r="V69" s="205"/>
      <c r="W69" s="205"/>
      <c r="X69" s="205"/>
      <c r="Y69" s="205"/>
      <c r="Z69" s="205"/>
      <c r="AA69" s="206"/>
      <c r="AB69" s="206"/>
      <c r="AK69" s="205"/>
    </row>
    <row r="70" spans="2:38" x14ac:dyDescent="0.2">
      <c r="B70" s="6" t="str">
        <f t="shared" si="8"/>
        <v>MAIN RESERVETANK SIZE 8LFK-5-1-121-7</v>
      </c>
      <c r="C70" s="6" t="str">
        <f t="shared" si="10"/>
        <v>TANK SIZE 8L</v>
      </c>
      <c r="E70" s="197"/>
      <c r="F70" s="198">
        <f t="shared" si="11"/>
        <v>7</v>
      </c>
      <c r="G70" s="198" t="str">
        <f>IFERROR(VLOOKUP($B70,'BDD_SISTEMAS- MANIFOLD'!$B:$M,'COT AGENTES'!G$18,0),"")</f>
        <v>ANSUL</v>
      </c>
      <c r="H70" s="199">
        <f>IFERROR(VLOOKUP($B70,'BDD_SISTEMAS- MANIFOLD'!$B:$M,'COT AGENTES'!H$18,0),"")</f>
        <v>304205030</v>
      </c>
      <c r="I70" s="200" t="str">
        <f>IFERROR(VLOOKUP($B70,'BDD_SISTEMAS- MANIFOLD'!$B:$M,'COT AGENTES'!I$18,0),"")</f>
        <v>Electric Actuator Shipping Assembly</v>
      </c>
      <c r="J70" s="198" t="str">
        <f>IFERROR(VLOOKUP($B70,'BDD_SISTEMAS- MANIFOLD'!$B:$M,'COT AGENTES'!J$18,0),"")</f>
        <v>c/u.</v>
      </c>
      <c r="K70" s="201">
        <f>IFERROR(VLOOKUP($B70,'BDD_SISTEMAS- MANIFOLD'!$B:$M,'COT AGENTES'!K$18,0),"")</f>
        <v>1</v>
      </c>
      <c r="L70" s="18"/>
      <c r="M70" s="112">
        <f>IFERROR(VLOOKUP(B70,'BDD_SISTEMAS- MANIFOLD'!B49:N1286,13,0),"")</f>
        <v>1</v>
      </c>
      <c r="N70" s="202">
        <f t="shared" si="9"/>
        <v>1</v>
      </c>
      <c r="O70" s="218" t="str">
        <f>IFERROR(VLOOKUP(H70,[1]STOCK!$A:$B,4,0),"")</f>
        <v/>
      </c>
      <c r="S70" s="204"/>
      <c r="T70" s="205"/>
      <c r="U70" s="205"/>
      <c r="V70" s="205"/>
      <c r="W70" s="205"/>
      <c r="X70" s="205"/>
      <c r="Y70" s="205"/>
      <c r="Z70" s="205"/>
      <c r="AA70" s="206"/>
      <c r="AB70" s="206"/>
      <c r="AL70" s="206"/>
    </row>
    <row r="71" spans="2:38" x14ac:dyDescent="0.2">
      <c r="B71" s="6" t="str">
        <f t="shared" si="8"/>
        <v>MAIN RESERVETANK SIZE 8LFK-5-1-121-8</v>
      </c>
      <c r="C71" s="6" t="str">
        <f t="shared" si="10"/>
        <v>TANK SIZE 8L</v>
      </c>
      <c r="E71" s="197"/>
      <c r="F71" s="198">
        <f t="shared" si="11"/>
        <v>8</v>
      </c>
      <c r="G71" s="198" t="str">
        <f>IFERROR(VLOOKUP($B71,'BDD_SISTEMAS- MANIFOLD'!$B:$M,'COT AGENTES'!G$18,0),"")</f>
        <v>ANSUL</v>
      </c>
      <c r="H71" s="199" t="str">
        <f>IFERROR(VLOOKUP($B71,'BDD_SISTEMAS- MANIFOLD'!$B:$M,'COT AGENTES'!H$18,0),"")</f>
        <v>A1638150HY</v>
      </c>
      <c r="I71" s="200" t="str">
        <f>IFERROR(VLOOKUP($B71,'BDD_SISTEMAS- MANIFOLD'!$B:$M,'COT AGENTES'!I$18,0),"")</f>
        <v>Local Manual Actuator</v>
      </c>
      <c r="J71" s="198" t="str">
        <f>IFERROR(VLOOKUP($B71,'BDD_SISTEMAS- MANIFOLD'!$B:$M,'COT AGENTES'!J$18,0),"")</f>
        <v>c/u.</v>
      </c>
      <c r="K71" s="201">
        <f>IFERROR(VLOOKUP($B71,'BDD_SISTEMAS- MANIFOLD'!$B:$M,'COT AGENTES'!K$18,0),"")</f>
        <v>1</v>
      </c>
      <c r="L71" s="18"/>
      <c r="M71" s="112">
        <f>IFERROR(VLOOKUP(B71,'BDD_SISTEMAS- MANIFOLD'!B50:N1287,13,0),"")</f>
        <v>1</v>
      </c>
      <c r="N71" s="202">
        <f t="shared" si="9"/>
        <v>1</v>
      </c>
      <c r="O71" s="218" t="str">
        <f>IFERROR(VLOOKUP(H71,[1]STOCK!$A:$B,4,0),"")</f>
        <v/>
      </c>
      <c r="S71" s="204"/>
      <c r="T71" s="205"/>
      <c r="U71" s="205"/>
      <c r="V71" s="205"/>
      <c r="W71" s="205"/>
      <c r="X71" s="205"/>
      <c r="Y71" s="205"/>
      <c r="Z71" s="205"/>
      <c r="AA71" s="206"/>
      <c r="AB71" s="206"/>
      <c r="AL71" s="206"/>
    </row>
    <row r="72" spans="2:38" x14ac:dyDescent="0.2">
      <c r="B72" s="6" t="str">
        <f t="shared" si="8"/>
        <v>MAIN RESERVETANK SIZE 8LFK-5-1-121-9</v>
      </c>
      <c r="C72" s="6" t="str">
        <f t="shared" si="10"/>
        <v>TANK SIZE 8L</v>
      </c>
      <c r="E72" s="197"/>
      <c r="F72" s="198">
        <f t="shared" si="11"/>
        <v>9</v>
      </c>
      <c r="G72" s="198" t="str">
        <f>IFERROR(VLOOKUP($B72,'BDD_SISTEMAS- MANIFOLD'!$B:$M,'COT AGENTES'!G$18,0),"")</f>
        <v>ANSUL</v>
      </c>
      <c r="H72" s="199" t="str">
        <f>IFERROR(VLOOKUP($B72,'BDD_SISTEMAS- MANIFOLD'!$B:$M,'COT AGENTES'!H$18,0),"")</f>
        <v>570085-R2</v>
      </c>
      <c r="I72" s="200" t="str">
        <f>IFERROR(VLOOKUP($B72,'BDD_SISTEMAS- MANIFOLD'!$B:$M,'COT AGENTES'!I$18,0),"")</f>
        <v>Tank Bracket Assembly (Fits 20, 50 &amp; 90 lb. Tanks)</v>
      </c>
      <c r="J72" s="198" t="str">
        <f>IFERROR(VLOOKUP($B72,'BDD_SISTEMAS- MANIFOLD'!$B:$M,'COT AGENTES'!J$18,0),"")</f>
        <v>c/u.</v>
      </c>
      <c r="K72" s="201">
        <f>IFERROR(VLOOKUP($B72,'BDD_SISTEMAS- MANIFOLD'!$B:$M,'COT AGENTES'!K$18,0),"")</f>
        <v>1</v>
      </c>
      <c r="L72" s="18"/>
      <c r="M72" s="112">
        <f>IFERROR(VLOOKUP(B72,'BDD_SISTEMAS- MANIFOLD'!B51:N1288,13,0),"")</f>
        <v>1</v>
      </c>
      <c r="N72" s="202">
        <f t="shared" si="9"/>
        <v>1</v>
      </c>
      <c r="O72" s="218" t="str">
        <f>IFERROR(VLOOKUP(H72,[1]STOCK!$A:$B,4,0),"")</f>
        <v/>
      </c>
      <c r="S72" s="204"/>
      <c r="T72" s="205"/>
      <c r="U72" s="205"/>
      <c r="V72" s="205"/>
      <c r="W72" s="205"/>
      <c r="X72" s="205"/>
      <c r="Y72" s="205"/>
      <c r="Z72" s="205"/>
      <c r="AA72" s="206"/>
      <c r="AB72" s="206"/>
      <c r="AL72" s="206"/>
    </row>
    <row r="73" spans="2:38" x14ac:dyDescent="0.2">
      <c r="B73" s="6" t="str">
        <f t="shared" si="8"/>
        <v>MAIN RESERVETANK SIZE 8LFK-5-1-121-10</v>
      </c>
      <c r="C73" s="6" t="str">
        <f t="shared" si="10"/>
        <v>TANK SIZE 8L</v>
      </c>
      <c r="E73" s="197"/>
      <c r="F73" s="198">
        <f t="shared" si="11"/>
        <v>10</v>
      </c>
      <c r="G73" s="198" t="str">
        <f>IFERROR(VLOOKUP($B73,'BDD_SISTEMAS- MANIFOLD'!$B:$M,'COT AGENTES'!G$18,0),"")</f>
        <v>ANSUL</v>
      </c>
      <c r="H73" s="199">
        <f>IFERROR(VLOOKUP($B73,'BDD_SISTEMAS- MANIFOLD'!$B:$M,'COT AGENTES'!H$18,0),"")</f>
        <v>76496</v>
      </c>
      <c r="I73" s="200" t="str">
        <f>IFERROR(VLOOKUP($B73,'BDD_SISTEMAS- MANIFOLD'!$B:$M,'COT AGENTES'!I$18,0),"")</f>
        <v>switch main reserve, surface mount</v>
      </c>
      <c r="J73" s="198" t="str">
        <f>IFERROR(VLOOKUP($B73,'BDD_SISTEMAS- MANIFOLD'!$B:$M,'COT AGENTES'!J$18,0),"")</f>
        <v>c/u.</v>
      </c>
      <c r="K73" s="201">
        <f>IFERROR(VLOOKUP($B73,'BDD_SISTEMAS- MANIFOLD'!$B:$M,'COT AGENTES'!K$18,0),"")</f>
        <v>1</v>
      </c>
      <c r="L73" s="18"/>
      <c r="M73" s="112">
        <f>IFERROR(VLOOKUP(B73,'BDD_SISTEMAS- MANIFOLD'!B52:N1289,13,0),"")</f>
        <v>1</v>
      </c>
      <c r="N73" s="202">
        <f t="shared" si="9"/>
        <v>1</v>
      </c>
      <c r="O73" s="218" t="str">
        <f>IFERROR(VLOOKUP(H73,[1]STOCK!$A:$B,4,0),"")</f>
        <v/>
      </c>
      <c r="S73" s="204"/>
      <c r="T73" s="205"/>
      <c r="U73" s="205"/>
      <c r="V73" s="205"/>
      <c r="W73" s="205"/>
      <c r="X73" s="205"/>
      <c r="Y73" s="205"/>
      <c r="Z73" s="205"/>
      <c r="AA73" s="206"/>
      <c r="AB73" s="206"/>
      <c r="AL73" s="206"/>
    </row>
    <row r="74" spans="2:38" x14ac:dyDescent="0.2">
      <c r="B74" s="6" t="str">
        <f t="shared" si="8"/>
        <v>MAIN RESERVETANK SIZE 8LFK-5-1-121-11</v>
      </c>
      <c r="C74" s="6" t="str">
        <f t="shared" si="10"/>
        <v>TANK SIZE 8L</v>
      </c>
      <c r="E74" s="197"/>
      <c r="F74" s="198">
        <f t="shared" si="11"/>
        <v>11</v>
      </c>
      <c r="G74" s="198" t="str">
        <f>IFERROR(VLOOKUP($B74,'BDD_SISTEMAS- MANIFOLD'!$B:$M,'COT AGENTES'!G$18,0),"")</f>
        <v>ANSUL</v>
      </c>
      <c r="H74" s="199">
        <f>IFERROR(VLOOKUP($B74,'BDD_SISTEMAS- MANIFOLD'!$B:$M,'COT AGENTES'!H$18,0),"")</f>
        <v>570566</v>
      </c>
      <c r="I74" s="200" t="str">
        <f>IFERROR(VLOOKUP($B74,'BDD_SISTEMAS- MANIFOLD'!$B:$M,'COT AGENTES'!I$18,0),"")</f>
        <v>Manifold Check Valve, 1 in.</v>
      </c>
      <c r="J74" s="198" t="str">
        <f>IFERROR(VLOOKUP($B74,'BDD_SISTEMAS- MANIFOLD'!$B:$M,'COT AGENTES'!J$18,0),"")</f>
        <v>c/u.</v>
      </c>
      <c r="K74" s="201">
        <f>IFERROR(VLOOKUP($B74,'BDD_SISTEMAS- MANIFOLD'!$B:$M,'COT AGENTES'!K$18,0),"")</f>
        <v>2</v>
      </c>
      <c r="L74" s="18"/>
      <c r="M74" s="112">
        <f>IFERROR(VLOOKUP(B74,'BDD_SISTEMAS- MANIFOLD'!B53:N1290,13,0),"")</f>
        <v>1</v>
      </c>
      <c r="N74" s="202">
        <f t="shared" si="9"/>
        <v>2</v>
      </c>
      <c r="O74" s="218" t="str">
        <f>IFERROR(VLOOKUP(H74,[1]STOCK!$A:$B,4,0),"")</f>
        <v/>
      </c>
      <c r="S74" s="204"/>
      <c r="T74" s="205"/>
      <c r="U74" s="205"/>
      <c r="V74" s="205"/>
      <c r="W74" s="205"/>
      <c r="X74" s="205"/>
      <c r="Y74" s="205"/>
      <c r="Z74" s="205"/>
      <c r="AA74" s="206"/>
      <c r="AB74" s="206"/>
      <c r="AL74" s="206"/>
    </row>
    <row r="75" spans="2:38" x14ac:dyDescent="0.2">
      <c r="B75" s="6" t="str">
        <f t="shared" si="8"/>
        <v>MAIN RESERVETANK SIZE 8LFK-5-1-121-12</v>
      </c>
      <c r="C75" s="6" t="str">
        <f t="shared" si="10"/>
        <v>TANK SIZE 8L</v>
      </c>
      <c r="E75" s="197"/>
      <c r="F75" s="198">
        <f t="shared" si="11"/>
        <v>12</v>
      </c>
      <c r="G75" s="198" t="str">
        <f>IFERROR(VLOOKUP($B75,'BDD_SISTEMAS- MANIFOLD'!$B:$M,'COT AGENTES'!G$18,0),"")</f>
        <v>ANSUL</v>
      </c>
      <c r="H75" s="199" t="str">
        <f>IFERROR(VLOOKUP($B75,'BDD_SISTEMAS- MANIFOLD'!$B:$M,'COT AGENTES'!H$18,0),"")</f>
        <v>570539-R2</v>
      </c>
      <c r="I75" s="200" t="str">
        <f>IFERROR(VLOOKUP($B75,'BDD_SISTEMAS- MANIFOLD'!$B:$M,'COT AGENTES'!I$18,0),"")</f>
        <v>Flexible Discharge Hose, 1 in.</v>
      </c>
      <c r="J75" s="198" t="str">
        <f>IFERROR(VLOOKUP($B75,'BDD_SISTEMAS- MANIFOLD'!$B:$M,'COT AGENTES'!J$18,0),"")</f>
        <v>c/u.</v>
      </c>
      <c r="K75" s="201">
        <f>IFERROR(VLOOKUP($B75,'BDD_SISTEMAS- MANIFOLD'!$B:$M,'COT AGENTES'!K$18,0),"")</f>
        <v>2</v>
      </c>
      <c r="L75" s="18"/>
      <c r="M75" s="112">
        <f>IFERROR(VLOOKUP(B75,'BDD_SISTEMAS- MANIFOLD'!B54:N1291,13,0),"")</f>
        <v>1</v>
      </c>
      <c r="N75" s="202">
        <f t="shared" si="9"/>
        <v>2</v>
      </c>
      <c r="O75" s="218" t="str">
        <f>IFERROR(VLOOKUP(H75,[1]STOCK!$A:$B,4,0),"")</f>
        <v/>
      </c>
      <c r="S75" s="204"/>
      <c r="T75" s="205"/>
      <c r="U75" s="205"/>
      <c r="V75" s="205"/>
      <c r="W75" s="205"/>
      <c r="X75" s="205"/>
      <c r="Y75" s="205"/>
      <c r="Z75" s="205"/>
      <c r="AA75" s="206"/>
      <c r="AB75" s="206"/>
      <c r="AL75" s="206"/>
    </row>
    <row r="76" spans="2:38" x14ac:dyDescent="0.2">
      <c r="B76" s="6" t="str">
        <f t="shared" si="8"/>
        <v>MAIN RESERVETANK SIZE 8LFK-5-1-121-13</v>
      </c>
      <c r="C76" s="6" t="str">
        <f t="shared" si="10"/>
        <v>TANK SIZE 8L</v>
      </c>
      <c r="E76" s="197"/>
      <c r="F76" s="198">
        <f t="shared" si="11"/>
        <v>13</v>
      </c>
      <c r="G76" s="198">
        <f>IFERROR(VLOOKUP($B76,'BDD_SISTEMAS- MANIFOLD'!$B:$M,'COT AGENTES'!G$18,0),"")</f>
        <v>0</v>
      </c>
      <c r="H76" s="199">
        <f>IFERROR(VLOOKUP($B76,'BDD_SISTEMAS- MANIFOLD'!$B:$M,'COT AGENTES'!H$18,0),"")</f>
        <v>0</v>
      </c>
      <c r="I76" s="200">
        <f>IFERROR(VLOOKUP($B76,'BDD_SISTEMAS- MANIFOLD'!$B:$M,'COT AGENTES'!I$18,0),"")</f>
        <v>0</v>
      </c>
      <c r="J76" s="198">
        <f>IFERROR(VLOOKUP($B76,'BDD_SISTEMAS- MANIFOLD'!$B:$M,'COT AGENTES'!J$18,0),"")</f>
        <v>0</v>
      </c>
      <c r="K76" s="201">
        <f>IFERROR(VLOOKUP($B76,'BDD_SISTEMAS- MANIFOLD'!$B:$M,'COT AGENTES'!K$18,0),"")</f>
        <v>0</v>
      </c>
      <c r="L76" s="18"/>
      <c r="M76" s="112">
        <f>IFERROR(VLOOKUP(B76,'BDD_SISTEMAS- MANIFOLD'!B55:N1292,13,0),"")</f>
        <v>1</v>
      </c>
      <c r="N76" s="202">
        <f t="shared" si="9"/>
        <v>0</v>
      </c>
      <c r="O76" s="218" t="str">
        <f>IFERROR(VLOOKUP(H76,[1]STOCK!$A:$B,4,0),"")</f>
        <v/>
      </c>
      <c r="S76" s="204"/>
      <c r="T76" s="205"/>
      <c r="U76" s="205"/>
      <c r="V76" s="205"/>
      <c r="W76" s="205"/>
      <c r="X76" s="205"/>
      <c r="Y76" s="205"/>
      <c r="Z76" s="205"/>
      <c r="AA76" s="206"/>
      <c r="AB76" s="206"/>
      <c r="AL76" s="206"/>
    </row>
    <row r="77" spans="2:38" x14ac:dyDescent="0.2">
      <c r="B77" s="6" t="str">
        <f t="shared" si="8"/>
        <v>MAIN RESERVETANK SIZE 8LFK-5-1-121-14</v>
      </c>
      <c r="C77" s="6" t="str">
        <f t="shared" si="10"/>
        <v>TANK SIZE 8L</v>
      </c>
      <c r="E77" s="197"/>
      <c r="F77" s="198">
        <f t="shared" si="11"/>
        <v>14</v>
      </c>
      <c r="G77" s="198" t="str">
        <f>IFERROR(VLOOKUP($B77,'BDD_SISTEMAS- MANIFOLD'!$B:$M,'COT AGENTES'!G$18,0),"")</f>
        <v>ANSUL</v>
      </c>
      <c r="H77" s="199">
        <f>IFERROR(VLOOKUP($B77,'BDD_SISTEMAS- MANIFOLD'!$B:$M,'COT AGENTES'!H$18,0),"")</f>
        <v>570550</v>
      </c>
      <c r="I77" s="200" t="str">
        <f>IFERROR(VLOOKUP($B77,'BDD_SISTEMAS- MANIFOLD'!$B:$M,'COT AGENTES'!I$18,0),"")</f>
        <v>Pneumatic Actuator</v>
      </c>
      <c r="J77" s="198" t="str">
        <f>IFERROR(VLOOKUP($B77,'BDD_SISTEMAS- MANIFOLD'!$B:$M,'COT AGENTES'!J$18,0),"")</f>
        <v>c/u.</v>
      </c>
      <c r="K77" s="201">
        <f>IFERROR(VLOOKUP($B77,'BDD_SISTEMAS- MANIFOLD'!$B:$M,'COT AGENTES'!K$18,0),"")</f>
        <v>0</v>
      </c>
      <c r="L77" s="18"/>
      <c r="M77" s="112">
        <f>IFERROR(VLOOKUP(B77,'BDD_SISTEMAS- MANIFOLD'!B56:N1293,13,0),"")</f>
        <v>1</v>
      </c>
      <c r="N77" s="202">
        <f t="shared" si="9"/>
        <v>0</v>
      </c>
      <c r="O77" s="218" t="str">
        <f>IFERROR(VLOOKUP(H77,[1]STOCK!$A:$B,4,0),"")</f>
        <v/>
      </c>
      <c r="S77" s="204"/>
      <c r="T77" s="205"/>
      <c r="U77" s="205"/>
      <c r="V77" s="205"/>
      <c r="W77" s="205"/>
      <c r="X77" s="205"/>
      <c r="Y77" s="205"/>
      <c r="Z77" s="205"/>
      <c r="AA77" s="206"/>
      <c r="AB77" s="206"/>
      <c r="AL77" s="206"/>
    </row>
    <row r="78" spans="2:38" x14ac:dyDescent="0.2">
      <c r="B78" s="6" t="str">
        <f t="shared" si="8"/>
        <v>MAIN RESERVETANK SIZE 8LFK-5-1-121-15</v>
      </c>
      <c r="C78" s="6" t="str">
        <f t="shared" si="10"/>
        <v>TANK SIZE 8L</v>
      </c>
      <c r="E78" s="197"/>
      <c r="F78" s="198">
        <f t="shared" si="11"/>
        <v>15</v>
      </c>
      <c r="G78" s="198" t="str">
        <f>IFERROR(VLOOKUP($B78,'BDD_SISTEMAS- MANIFOLD'!$B:$M,'COT AGENTES'!G$18,0),"")</f>
        <v>ANSUL</v>
      </c>
      <c r="H78" s="199">
        <f>IFERROR(VLOOKUP($B78,'BDD_SISTEMAS- MANIFOLD'!$B:$M,'COT AGENTES'!H$18,0),"")</f>
        <v>32338</v>
      </c>
      <c r="I78" s="200" t="str">
        <f>IFERROR(VLOOKUP($B78,'BDD_SISTEMAS- MANIFOLD'!$B:$M,'COT AGENTES'!I$18,0),"")</f>
        <v>Male Straight Connector, 7/16 - 20 x 1/4 in. NPT</v>
      </c>
      <c r="J78" s="198" t="str">
        <f>IFERROR(VLOOKUP($B78,'BDD_SISTEMAS- MANIFOLD'!$B:$M,'COT AGENTES'!J$18,0),"")</f>
        <v>c/u.</v>
      </c>
      <c r="K78" s="201">
        <f>IFERROR(VLOOKUP($B78,'BDD_SISTEMAS- MANIFOLD'!$B:$M,'COT AGENTES'!K$18,0),"")</f>
        <v>0</v>
      </c>
      <c r="L78" s="18"/>
      <c r="M78" s="112">
        <f>IFERROR(VLOOKUP(B78,'BDD_SISTEMAS- MANIFOLD'!B57:N1294,13,0),"")</f>
        <v>1</v>
      </c>
      <c r="N78" s="202">
        <f t="shared" si="9"/>
        <v>0</v>
      </c>
      <c r="O78" s="218" t="str">
        <f>IFERROR(VLOOKUP(H78,[1]STOCK!$A:$B,4,0),"")</f>
        <v/>
      </c>
      <c r="S78" s="204"/>
      <c r="T78" s="205"/>
      <c r="U78" s="205"/>
      <c r="V78" s="205"/>
      <c r="W78" s="205"/>
      <c r="X78" s="205"/>
      <c r="Y78" s="205"/>
      <c r="Z78" s="205"/>
      <c r="AA78" s="206"/>
      <c r="AB78" s="206"/>
      <c r="AL78" s="206"/>
    </row>
    <row r="79" spans="2:38" x14ac:dyDescent="0.2">
      <c r="B79" s="6" t="str">
        <f t="shared" si="8"/>
        <v>MAIN RESERVETANK SIZE 8LFK-5-1-121-16</v>
      </c>
      <c r="C79" s="6" t="str">
        <f t="shared" si="10"/>
        <v>TANK SIZE 8L</v>
      </c>
      <c r="E79" s="197"/>
      <c r="F79" s="198">
        <f t="shared" si="11"/>
        <v>16</v>
      </c>
      <c r="G79" s="198" t="str">
        <f>IFERROR(VLOOKUP($B79,'BDD_SISTEMAS- MANIFOLD'!$B:$M,'COT AGENTES'!G$18,0),"")</f>
        <v>ANSUL</v>
      </c>
      <c r="H79" s="199">
        <f>IFERROR(VLOOKUP($B79,'BDD_SISTEMAS- MANIFOLD'!$B:$M,'COT AGENTES'!H$18,0),"")</f>
        <v>31810</v>
      </c>
      <c r="I79" s="200" t="str">
        <f>IFERROR(VLOOKUP($B79,'BDD_SISTEMAS- MANIFOLD'!$B:$M,'COT AGENTES'!I$18,0),"")</f>
        <v>Male Elbow, 7/16-20 x 1/4 in. NPT</v>
      </c>
      <c r="J79" s="198" t="str">
        <f>IFERROR(VLOOKUP($B79,'BDD_SISTEMAS- MANIFOLD'!$B:$M,'COT AGENTES'!J$18,0),"")</f>
        <v>c/u.</v>
      </c>
      <c r="K79" s="201">
        <f>IFERROR(VLOOKUP($B79,'BDD_SISTEMAS- MANIFOLD'!$B:$M,'COT AGENTES'!K$18,0),"")</f>
        <v>0</v>
      </c>
      <c r="L79" s="18"/>
      <c r="M79" s="112">
        <f>IFERROR(VLOOKUP(B79,'BDD_SISTEMAS- MANIFOLD'!B58:N1295,13,0),"")</f>
        <v>1</v>
      </c>
      <c r="N79" s="202">
        <f t="shared" si="9"/>
        <v>0</v>
      </c>
      <c r="O79" s="218" t="str">
        <f>IFERROR(VLOOKUP(H79,[1]STOCK!$A:$B,4,0),"")</f>
        <v/>
      </c>
      <c r="S79" s="204"/>
      <c r="T79" s="205"/>
      <c r="U79" s="205"/>
      <c r="V79" s="205"/>
      <c r="W79" s="205"/>
      <c r="X79" s="205"/>
      <c r="Y79" s="205"/>
      <c r="Z79" s="205"/>
      <c r="AA79" s="206"/>
      <c r="AB79" s="206"/>
      <c r="AK79" s="205"/>
      <c r="AL79" s="206"/>
    </row>
    <row r="80" spans="2:38" x14ac:dyDescent="0.2">
      <c r="B80" s="6" t="str">
        <f t="shared" si="8"/>
        <v>MAIN RESERVETANK SIZE 8LFK-5-1-121-17</v>
      </c>
      <c r="C80" s="6" t="str">
        <f t="shared" si="10"/>
        <v>TANK SIZE 8L</v>
      </c>
      <c r="E80" s="197"/>
      <c r="F80" s="198">
        <f t="shared" si="11"/>
        <v>17</v>
      </c>
      <c r="G80" s="198" t="str">
        <f>IFERROR(VLOOKUP($B80,'BDD_SISTEMAS- MANIFOLD'!$B:$M,'COT AGENTES'!G$18,0),"")</f>
        <v>ANSUL</v>
      </c>
      <c r="H80" s="199">
        <f>IFERROR(VLOOKUP($B80,'BDD_SISTEMAS- MANIFOLD'!$B:$M,'COT AGENTES'!H$18,0),"")</f>
        <v>32336</v>
      </c>
      <c r="I80" s="200" t="str">
        <f>IFERROR(VLOOKUP($B80,'BDD_SISTEMAS- MANIFOLD'!$B:$M,'COT AGENTES'!I$18,0),"")</f>
        <v>Actuation Hose, Swivel, Stainless Braided, 24 in., 1/4 in. Female</v>
      </c>
      <c r="J80" s="198" t="str">
        <f>IFERROR(VLOOKUP($B80,'BDD_SISTEMAS- MANIFOLD'!$B:$M,'COT AGENTES'!J$18,0),"")</f>
        <v>c/u.</v>
      </c>
      <c r="K80" s="201">
        <f>IFERROR(VLOOKUP($B80,'BDD_SISTEMAS- MANIFOLD'!$B:$M,'COT AGENTES'!K$18,0),"")</f>
        <v>0</v>
      </c>
      <c r="L80" s="18"/>
      <c r="M80" s="112">
        <f>IFERROR(VLOOKUP(B80,'BDD_SISTEMAS- MANIFOLD'!B59:N1296,13,0),"")</f>
        <v>1</v>
      </c>
      <c r="N80" s="202">
        <f t="shared" si="9"/>
        <v>0</v>
      </c>
      <c r="O80" s="218" t="str">
        <f>IFERROR(VLOOKUP(H80,[1]STOCK!$A:$B,4,0),"")</f>
        <v/>
      </c>
      <c r="S80" s="204"/>
      <c r="T80" s="205"/>
      <c r="U80" s="205"/>
      <c r="V80" s="205"/>
      <c r="W80" s="205"/>
      <c r="X80" s="205"/>
      <c r="Y80" s="205"/>
      <c r="Z80" s="205"/>
      <c r="AA80" s="206"/>
      <c r="AB80" s="206"/>
      <c r="AK80" s="205"/>
      <c r="AL80" s="206"/>
    </row>
    <row r="81" spans="2:38" x14ac:dyDescent="0.2">
      <c r="B81" s="6" t="str">
        <f t="shared" si="8"/>
        <v>MAIN RESERVETANK SIZE 8LFK-5-1-121-18</v>
      </c>
      <c r="C81" s="6" t="str">
        <f t="shared" si="10"/>
        <v>TANK SIZE 8L</v>
      </c>
      <c r="E81" s="197"/>
      <c r="F81" s="198">
        <f t="shared" si="11"/>
        <v>18</v>
      </c>
      <c r="G81" s="198" t="str">
        <f>IFERROR(VLOOKUP($B81,'BDD_SISTEMAS- MANIFOLD'!$B:$M,'COT AGENTES'!G$18,0),"")</f>
        <v>ANSUL</v>
      </c>
      <c r="H81" s="199">
        <f>IFERROR(VLOOKUP($B81,'BDD_SISTEMAS- MANIFOLD'!$B:$M,'COT AGENTES'!H$18,0),"")</f>
        <v>31811</v>
      </c>
      <c r="I81" s="200" t="str">
        <f>IFERROR(VLOOKUP($B81,'BDD_SISTEMAS- MANIFOLD'!$B:$M,'COT AGENTES'!I$18,0),"")</f>
        <v>Male Tee, 7/16 - 20 x 1/4 in. NPT</v>
      </c>
      <c r="J81" s="198" t="str">
        <f>IFERROR(VLOOKUP($B81,'BDD_SISTEMAS- MANIFOLD'!$B:$M,'COT AGENTES'!J$18,0),"")</f>
        <v>c/u.</v>
      </c>
      <c r="K81" s="201">
        <f>IFERROR(VLOOKUP($B81,'BDD_SISTEMAS- MANIFOLD'!$B:$M,'COT AGENTES'!K$18,0),"")</f>
        <v>0</v>
      </c>
      <c r="L81" s="18"/>
      <c r="M81" s="112">
        <f>IFERROR(VLOOKUP(B81,'BDD_SISTEMAS- MANIFOLD'!B60:N1297,13,0),"")</f>
        <v>1</v>
      </c>
      <c r="N81" s="202">
        <f t="shared" si="9"/>
        <v>0</v>
      </c>
      <c r="O81" s="218" t="str">
        <f>IFERROR(VLOOKUP(H81,[1]STOCK!$A:$B,4,0),"")</f>
        <v/>
      </c>
      <c r="S81" s="204"/>
      <c r="T81" s="205"/>
      <c r="U81" s="205"/>
      <c r="V81" s="205"/>
      <c r="W81" s="205"/>
      <c r="X81" s="205"/>
      <c r="Y81" s="205"/>
      <c r="Z81" s="205"/>
      <c r="AA81" s="206"/>
      <c r="AB81" s="206"/>
      <c r="AK81" s="205"/>
      <c r="AL81" s="206"/>
    </row>
    <row r="82" spans="2:38" x14ac:dyDescent="0.2">
      <c r="B82" s="6" t="str">
        <f t="shared" si="8"/>
        <v>MAIN RESERVETANK SIZE 8LFK-5-1-121-19</v>
      </c>
      <c r="C82" s="6" t="str">
        <f t="shared" si="10"/>
        <v>TANK SIZE 8L</v>
      </c>
      <c r="E82" s="197"/>
      <c r="F82" s="198">
        <f t="shared" si="11"/>
        <v>19</v>
      </c>
      <c r="G82" s="198" t="str">
        <f>IFERROR(VLOOKUP($B82,'BDD_SISTEMAS- MANIFOLD'!$B:$M,'COT AGENTES'!G$18,0),"")</f>
        <v/>
      </c>
      <c r="H82" s="199" t="str">
        <f>IFERROR(VLOOKUP($B82,'BDD_SISTEMAS- MANIFOLD'!$B:$M,'COT AGENTES'!H$18,0),"")</f>
        <v/>
      </c>
      <c r="I82" s="200" t="str">
        <f>IFERROR(VLOOKUP($B82,'BDD_SISTEMAS- MANIFOLD'!$B:$M,'COT AGENTES'!I$18,0),"")</f>
        <v/>
      </c>
      <c r="J82" s="198" t="str">
        <f>IFERROR(VLOOKUP($B82,'BDD_SISTEMAS- MANIFOLD'!$B:$M,'COT AGENTES'!J$18,0),"")</f>
        <v/>
      </c>
      <c r="K82" s="201" t="str">
        <f>IFERROR(VLOOKUP($B82,'BDD_SISTEMAS- MANIFOLD'!$B:$M,'COT AGENTES'!K$18,0),"")</f>
        <v/>
      </c>
      <c r="L82" s="18"/>
      <c r="M82" s="112" t="str">
        <f>IFERROR(VLOOKUP(B82,'BDD_SISTEMAS- MANIFOLD'!B61:N1298,13,0),"")</f>
        <v/>
      </c>
      <c r="N82" s="202" t="str">
        <f t="shared" si="9"/>
        <v/>
      </c>
      <c r="O82" s="218" t="str">
        <f>IFERROR(VLOOKUP(H82,[1]STOCK!$A:$B,4,0),"")</f>
        <v/>
      </c>
      <c r="S82" s="204"/>
      <c r="T82" s="205"/>
      <c r="U82" s="205"/>
      <c r="V82" s="205"/>
      <c r="W82" s="205"/>
      <c r="X82" s="205"/>
      <c r="Y82" s="205"/>
      <c r="Z82" s="205"/>
      <c r="AA82" s="206"/>
      <c r="AB82" s="206"/>
      <c r="AK82" s="205"/>
      <c r="AL82" s="206"/>
    </row>
    <row r="83" spans="2:38" x14ac:dyDescent="0.2">
      <c r="B83" s="6" t="str">
        <f t="shared" si="8"/>
        <v>MAIN RESERVETANK SIZE 8LFK-5-1-121-20</v>
      </c>
      <c r="C83" s="6" t="str">
        <f t="shared" si="10"/>
        <v>TANK SIZE 8L</v>
      </c>
      <c r="E83" s="197"/>
      <c r="F83" s="198">
        <f t="shared" si="11"/>
        <v>20</v>
      </c>
      <c r="G83" s="198" t="str">
        <f>IFERROR(VLOOKUP($B83,'BDD_SISTEMAS- MANIFOLD'!$B:$M,'COT AGENTES'!G$18,0),"")</f>
        <v/>
      </c>
      <c r="H83" s="199" t="str">
        <f>IFERROR(VLOOKUP($B83,'BDD_SISTEMAS- MANIFOLD'!$B:$M,'COT AGENTES'!H$18,0),"")</f>
        <v/>
      </c>
      <c r="I83" s="200" t="str">
        <f>IFERROR(VLOOKUP($B83,'BDD_SISTEMAS- MANIFOLD'!$B:$M,'COT AGENTES'!I$18,0),"")</f>
        <v/>
      </c>
      <c r="J83" s="198" t="str">
        <f>IFERROR(VLOOKUP($B83,'BDD_SISTEMAS- MANIFOLD'!$B:$M,'COT AGENTES'!J$18,0),"")</f>
        <v/>
      </c>
      <c r="K83" s="201" t="str">
        <f>IFERROR(VLOOKUP($B83,'BDD_SISTEMAS- MANIFOLD'!$B:$M,'COT AGENTES'!K$18,0),"")</f>
        <v/>
      </c>
      <c r="L83" s="18"/>
      <c r="M83" s="112" t="str">
        <f>IFERROR(VLOOKUP(B83,'BDD_SISTEMAS- MANIFOLD'!B62:N1299,13,0),"")</f>
        <v/>
      </c>
      <c r="N83" s="202" t="str">
        <f t="shared" si="9"/>
        <v/>
      </c>
      <c r="O83" s="218" t="str">
        <f>IFERROR(VLOOKUP(H83,[1]STOCK!$A:$B,4,0),"")</f>
        <v/>
      </c>
      <c r="S83" s="204"/>
      <c r="T83" s="205"/>
      <c r="U83" s="205"/>
      <c r="V83" s="205"/>
      <c r="W83" s="205"/>
      <c r="X83" s="205"/>
      <c r="Y83" s="205"/>
      <c r="Z83" s="205"/>
      <c r="AA83" s="206"/>
      <c r="AB83" s="206"/>
      <c r="AK83" s="205"/>
      <c r="AL83" s="206"/>
    </row>
    <row r="84" spans="2:38" x14ac:dyDescent="0.2">
      <c r="B84" s="6" t="str">
        <f t="shared" si="8"/>
        <v>MAIN RESERVETANK SIZE 8LFK-5-1-121-21</v>
      </c>
      <c r="C84" s="6" t="str">
        <f t="shared" si="10"/>
        <v>TANK SIZE 8L</v>
      </c>
      <c r="E84" s="197"/>
      <c r="F84" s="198">
        <f t="shared" si="11"/>
        <v>21</v>
      </c>
      <c r="G84" s="198" t="str">
        <f>IFERROR(VLOOKUP($B84,'BDD_SISTEMAS- MANIFOLD'!$B:$M,'COT AGENTES'!G$18,0),"")</f>
        <v/>
      </c>
      <c r="H84" s="199" t="str">
        <f>IFERROR(VLOOKUP($B84,'BDD_SISTEMAS- MANIFOLD'!$B:$M,'COT AGENTES'!H$18,0),"")</f>
        <v/>
      </c>
      <c r="I84" s="200" t="str">
        <f>IFERROR(VLOOKUP($B84,'BDD_SISTEMAS- MANIFOLD'!$B:$M,'COT AGENTES'!I$18,0),"")</f>
        <v/>
      </c>
      <c r="J84" s="198" t="str">
        <f>IFERROR(VLOOKUP($B84,'BDD_SISTEMAS- MANIFOLD'!$B:$M,'COT AGENTES'!J$18,0),"")</f>
        <v/>
      </c>
      <c r="K84" s="201" t="str">
        <f>IFERROR(VLOOKUP($B84,'BDD_SISTEMAS- MANIFOLD'!$B:$M,'COT AGENTES'!K$18,0),"")</f>
        <v/>
      </c>
      <c r="L84" s="18"/>
      <c r="M84" s="112" t="str">
        <f>IFERROR(VLOOKUP(B84,'BDD_SISTEMAS- MANIFOLD'!B63:N1300,13,0),"")</f>
        <v/>
      </c>
      <c r="N84" s="202" t="str">
        <f t="shared" si="9"/>
        <v/>
      </c>
      <c r="O84" s="218" t="str">
        <f>IFERROR(VLOOKUP(H84,[1]STOCK!$A:$B,4,0),"")</f>
        <v/>
      </c>
      <c r="S84" s="204"/>
      <c r="T84" s="205"/>
      <c r="U84" s="205"/>
      <c r="V84" s="205"/>
      <c r="W84" s="205"/>
      <c r="X84" s="205"/>
      <c r="Y84" s="205"/>
      <c r="Z84" s="205"/>
      <c r="AA84" s="206"/>
      <c r="AB84" s="206"/>
      <c r="AK84" s="205"/>
      <c r="AL84" s="206"/>
    </row>
    <row r="85" spans="2:38" x14ac:dyDescent="0.2">
      <c r="B85" s="6" t="str">
        <f t="shared" si="8"/>
        <v>MAIN RESERVETANK SIZE 8LFK-5-1-121-22</v>
      </c>
      <c r="C85" s="6" t="str">
        <f t="shared" si="10"/>
        <v>TANK SIZE 8L</v>
      </c>
      <c r="E85" s="197"/>
      <c r="F85" s="198">
        <f t="shared" si="11"/>
        <v>22</v>
      </c>
      <c r="G85" s="198" t="str">
        <f>IFERROR(VLOOKUP($B85,'BDD_SISTEMAS- MANIFOLD'!$B:$M,'COT AGENTES'!G$18,0),"")</f>
        <v/>
      </c>
      <c r="H85" s="199" t="str">
        <f>IFERROR(VLOOKUP($B85,'BDD_SISTEMAS- MANIFOLD'!$B:$M,'COT AGENTES'!H$18,0),"")</f>
        <v/>
      </c>
      <c r="I85" s="200" t="str">
        <f>IFERROR(VLOOKUP($B85,'BDD_SISTEMAS- MANIFOLD'!$B:$M,'COT AGENTES'!I$18,0),"")</f>
        <v/>
      </c>
      <c r="J85" s="198" t="str">
        <f>IFERROR(VLOOKUP($B85,'BDD_SISTEMAS- MANIFOLD'!$B:$M,'COT AGENTES'!J$18,0),"")</f>
        <v/>
      </c>
      <c r="K85" s="201" t="str">
        <f>IFERROR(VLOOKUP($B85,'BDD_SISTEMAS- MANIFOLD'!$B:$M,'COT AGENTES'!K$18,0),"")</f>
        <v/>
      </c>
      <c r="L85" s="18"/>
      <c r="M85" s="112" t="str">
        <f>IFERROR(VLOOKUP(B85,'BDD_SISTEMAS- MANIFOLD'!B64:N1301,13,0),"")</f>
        <v/>
      </c>
      <c r="N85" s="202" t="str">
        <f t="shared" si="9"/>
        <v/>
      </c>
      <c r="O85" s="218" t="str">
        <f>IFERROR(VLOOKUP(H85,[1]STOCK!$A:$B,4,0),"")</f>
        <v/>
      </c>
      <c r="S85" s="204"/>
      <c r="T85" s="205"/>
      <c r="U85" s="205"/>
      <c r="V85" s="205"/>
      <c r="W85" s="205"/>
      <c r="X85" s="205"/>
      <c r="Y85" s="205"/>
      <c r="Z85" s="205"/>
      <c r="AA85" s="206"/>
      <c r="AB85" s="206"/>
      <c r="AK85" s="205"/>
      <c r="AL85" s="206"/>
    </row>
    <row r="86" spans="2:38" x14ac:dyDescent="0.2">
      <c r="B86" s="6" t="str">
        <f t="shared" si="8"/>
        <v>MAIN RESERVETANK SIZE 8LFK-5-1-121-23</v>
      </c>
      <c r="C86" s="6" t="str">
        <f t="shared" si="10"/>
        <v>TANK SIZE 8L</v>
      </c>
      <c r="E86" s="197"/>
      <c r="F86" s="198">
        <f t="shared" si="11"/>
        <v>23</v>
      </c>
      <c r="G86" s="198" t="str">
        <f>IFERROR(VLOOKUP($B86,'BDD_SISTEMAS- MANIFOLD'!$B:$M,'COT AGENTES'!G$18,0),"")</f>
        <v/>
      </c>
      <c r="H86" s="199" t="str">
        <f>IFERROR(VLOOKUP($B86,'BDD_SISTEMAS- MANIFOLD'!$B:$M,'COT AGENTES'!H$18,0),"")</f>
        <v/>
      </c>
      <c r="I86" s="200" t="str">
        <f>IFERROR(VLOOKUP($B86,'BDD_SISTEMAS- MANIFOLD'!$B:$M,'COT AGENTES'!I$18,0),"")</f>
        <v/>
      </c>
      <c r="J86" s="198" t="str">
        <f>IFERROR(VLOOKUP($B86,'BDD_SISTEMAS- MANIFOLD'!$B:$M,'COT AGENTES'!J$18,0),"")</f>
        <v/>
      </c>
      <c r="K86" s="201" t="str">
        <f>IFERROR(VLOOKUP($B86,'BDD_SISTEMAS- MANIFOLD'!$B:$M,'COT AGENTES'!K$18,0),"")</f>
        <v/>
      </c>
      <c r="L86" s="18"/>
      <c r="M86" s="112" t="str">
        <f>IFERROR(VLOOKUP(B86,'BDD_SISTEMAS- MANIFOLD'!B65:N1302,13,0),"")</f>
        <v/>
      </c>
      <c r="N86" s="202" t="str">
        <f t="shared" si="9"/>
        <v/>
      </c>
      <c r="O86" s="218" t="str">
        <f>IFERROR(VLOOKUP(H86,[1]STOCK!$A:$B,4,0),"")</f>
        <v/>
      </c>
      <c r="S86" s="204"/>
      <c r="T86" s="205"/>
      <c r="U86" s="205"/>
      <c r="V86" s="205"/>
      <c r="W86" s="205"/>
      <c r="X86" s="205"/>
      <c r="Y86" s="205"/>
      <c r="Z86" s="205"/>
      <c r="AA86" s="206"/>
      <c r="AB86" s="206"/>
      <c r="AK86" s="205"/>
      <c r="AL86" s="206"/>
    </row>
    <row r="87" spans="2:38" x14ac:dyDescent="0.2">
      <c r="B87" s="6" t="str">
        <f t="shared" si="8"/>
        <v>MAIN RESERVETANK SIZE 8LFK-5-1-121-24</v>
      </c>
      <c r="C87" s="6" t="str">
        <f t="shared" si="10"/>
        <v>TANK SIZE 8L</v>
      </c>
      <c r="E87" s="197"/>
      <c r="F87" s="198">
        <f t="shared" si="11"/>
        <v>24</v>
      </c>
      <c r="G87" s="198" t="str">
        <f>IFERROR(VLOOKUP($B87,'BDD_SISTEMAS- MANIFOLD'!$B:$M,'COT AGENTES'!G$18,0),"")</f>
        <v/>
      </c>
      <c r="H87" s="199" t="str">
        <f>IFERROR(VLOOKUP($B87,'BDD_SISTEMAS- MANIFOLD'!$B:$M,'COT AGENTES'!H$18,0),"")</f>
        <v/>
      </c>
      <c r="I87" s="200" t="str">
        <f>IFERROR(VLOOKUP($B87,'BDD_SISTEMAS- MANIFOLD'!$B:$M,'COT AGENTES'!I$18,0),"")</f>
        <v/>
      </c>
      <c r="J87" s="198" t="str">
        <f>IFERROR(VLOOKUP($B87,'BDD_SISTEMAS- MANIFOLD'!$B:$M,'COT AGENTES'!J$18,0),"")</f>
        <v/>
      </c>
      <c r="K87" s="201" t="str">
        <f>IFERROR(VLOOKUP($B87,'BDD_SISTEMAS- MANIFOLD'!$B:$M,'COT AGENTES'!K$18,0),"")</f>
        <v/>
      </c>
      <c r="L87" s="18"/>
      <c r="M87" s="112" t="str">
        <f>IFERROR(VLOOKUP(B87,'BDD_SISTEMAS- MANIFOLD'!B66:N1303,13,0),"")</f>
        <v/>
      </c>
      <c r="N87" s="202" t="str">
        <f t="shared" si="9"/>
        <v/>
      </c>
      <c r="O87" s="218" t="str">
        <f>IFERROR(VLOOKUP(H87,[1]STOCK!$A:$B,4,0),"")</f>
        <v/>
      </c>
      <c r="S87" s="204"/>
      <c r="T87" s="205"/>
      <c r="U87" s="205"/>
      <c r="V87" s="205"/>
      <c r="W87" s="205"/>
      <c r="X87" s="205"/>
      <c r="Y87" s="205"/>
      <c r="Z87" s="205"/>
      <c r="AA87" s="206"/>
      <c r="AB87" s="206"/>
      <c r="AK87" s="205"/>
      <c r="AL87" s="206"/>
    </row>
    <row r="88" spans="2:38" x14ac:dyDescent="0.2">
      <c r="B88" s="6" t="str">
        <f t="shared" si="8"/>
        <v>MAIN RESERVETANK SIZE 8LFK-5-1-121-25</v>
      </c>
      <c r="C88" s="6" t="str">
        <f t="shared" si="10"/>
        <v>TANK SIZE 8L</v>
      </c>
      <c r="E88" s="213"/>
      <c r="F88" s="198">
        <f t="shared" si="11"/>
        <v>25</v>
      </c>
      <c r="G88" s="198" t="str">
        <f>IFERROR(VLOOKUP($B88,'BDD_SISTEMAS- MANIFOLD'!$B:$M,'COT AGENTES'!G$18,0),"")</f>
        <v/>
      </c>
      <c r="H88" s="199" t="str">
        <f>IFERROR(VLOOKUP($B88,'BDD_SISTEMAS- MANIFOLD'!$B:$M,'COT AGENTES'!H$18,0),"")</f>
        <v/>
      </c>
      <c r="I88" s="200" t="str">
        <f>IFERROR(VLOOKUP($B88,'BDD_SISTEMAS- MANIFOLD'!$B:$M,'COT AGENTES'!I$18,0),"")</f>
        <v/>
      </c>
      <c r="J88" s="198" t="str">
        <f>IFERROR(VLOOKUP($B88,'BDD_SISTEMAS- MANIFOLD'!$B:$M,'COT AGENTES'!J$18,0),"")</f>
        <v/>
      </c>
      <c r="K88" s="201" t="str">
        <f>IFERROR(VLOOKUP($B88,'BDD_SISTEMAS- MANIFOLD'!$B:$M,'COT AGENTES'!K$18,0),"")</f>
        <v/>
      </c>
      <c r="L88" s="18"/>
      <c r="M88" s="112" t="str">
        <f>IFERROR(VLOOKUP(B88,'BDD_SISTEMAS- MANIFOLD'!B67:N1304,13,0),"")</f>
        <v/>
      </c>
      <c r="N88" s="202" t="str">
        <f t="shared" si="9"/>
        <v/>
      </c>
      <c r="O88" s="218" t="str">
        <f>IFERROR(VLOOKUP(H88,[1]STOCK!$A:$B,4,0),"")</f>
        <v/>
      </c>
      <c r="S88" s="204"/>
      <c r="T88" s="205"/>
      <c r="U88" s="205"/>
      <c r="V88" s="205"/>
      <c r="W88" s="205"/>
      <c r="X88" s="205"/>
      <c r="Y88" s="205"/>
      <c r="Z88" s="205"/>
      <c r="AA88" s="206"/>
      <c r="AB88" s="206"/>
      <c r="AK88" s="205"/>
      <c r="AL88" s="206"/>
    </row>
    <row r="89" spans="2:38" x14ac:dyDescent="0.2">
      <c r="M89" s="29"/>
      <c r="N89" s="29"/>
      <c r="S89" s="204"/>
      <c r="T89" s="205"/>
      <c r="U89" s="205"/>
      <c r="V89" s="205"/>
      <c r="W89" s="205"/>
      <c r="X89" s="205"/>
      <c r="Y89" s="205"/>
      <c r="Z89" s="205"/>
      <c r="AA89" s="206"/>
      <c r="AB89" s="206"/>
      <c r="AK89" s="205"/>
      <c r="AL89" s="206"/>
    </row>
    <row r="90" spans="2:38" x14ac:dyDescent="0.2">
      <c r="G90" s="176"/>
      <c r="H90" s="177" t="str">
        <f>" SISTEMA / "&amp;$H$16&amp;" "&amp;$H$14&amp;"   Dimensiones: "&amp;$M$3&amp;" x "&amp;$M$4&amp;" x "&amp;$M$5&amp;" m.   "&amp;"Piso Falso: "&amp;$M$6&amp;" m.   "&amp;"Cielo Falso: "&amp;$M$7&amp;" m.   "&amp;"Volumen: "&amp;$M$10&amp;" m3."</f>
        <v xml:space="preserve"> SISTEMA /  AAA   Dimensiones: 1 x 1 x 1 m.   Piso Falso:  m.   Cielo Falso:  m.   Volumen: 1 m3.</v>
      </c>
      <c r="I90" s="178"/>
      <c r="J90" s="179"/>
      <c r="K90" s="179"/>
      <c r="L90" s="178"/>
      <c r="M90" s="214" t="str">
        <f>$H$4</f>
        <v>FK-5-1-12</v>
      </c>
      <c r="N90" s="215" t="s">
        <v>259</v>
      </c>
      <c r="S90" s="204"/>
      <c r="T90" s="205"/>
      <c r="U90" s="205"/>
      <c r="V90" s="205"/>
      <c r="W90" s="205"/>
      <c r="X90" s="205"/>
      <c r="Y90" s="205"/>
      <c r="Z90" s="205"/>
      <c r="AA90" s="206"/>
      <c r="AB90" s="206"/>
      <c r="AK90" s="205"/>
      <c r="AL90" s="206"/>
    </row>
    <row r="91" spans="2:38" x14ac:dyDescent="0.2">
      <c r="G91" s="183"/>
      <c r="H91" s="184" t="str">
        <f>"Agente Limpio: "&amp;$H$4&amp;"     Concentración:  "&amp;$J$1&amp;"%     Temperatura: "&amp;"Min: "&amp;$O$4&amp;"°C "&amp;"Max: "&amp;$O$6&amp;"°C     Altura Geográfica: "&amp;$H$10&amp;" msnm."</f>
        <v>Agente Limpio: FK-5-1-12     Concentración:  4,52%     Temperatura: Min: 18°C Max: 27°C     Altura Geográfica: 1 msnm.</v>
      </c>
      <c r="I91" s="185"/>
      <c r="J91" s="186"/>
      <c r="K91" s="186"/>
      <c r="L91" s="185"/>
      <c r="M91" s="188">
        <f>$M$16</f>
        <v>9.5238095238095233E-2</v>
      </c>
      <c r="N91" s="189">
        <f>SUM(N93:N117)</f>
        <v>21</v>
      </c>
      <c r="S91" s="204"/>
      <c r="T91" s="219"/>
      <c r="U91" s="205"/>
      <c r="V91" s="205"/>
      <c r="W91" s="205"/>
      <c r="X91" s="205"/>
      <c r="Y91" s="205"/>
      <c r="Z91" s="205"/>
      <c r="AA91" s="206"/>
      <c r="AB91" s="206"/>
      <c r="AK91" s="205"/>
      <c r="AL91" s="206"/>
    </row>
    <row r="92" spans="2:38" x14ac:dyDescent="0.2">
      <c r="B92" s="6" t="s">
        <v>126</v>
      </c>
      <c r="E92" s="192" t="s">
        <v>126</v>
      </c>
      <c r="F92" s="110" t="s">
        <v>5</v>
      </c>
      <c r="G92" s="104" t="s">
        <v>6</v>
      </c>
      <c r="H92" s="104" t="s">
        <v>7</v>
      </c>
      <c r="I92" s="110" t="s">
        <v>12</v>
      </c>
      <c r="J92" s="110" t="s">
        <v>9</v>
      </c>
      <c r="K92" s="110" t="s">
        <v>10</v>
      </c>
      <c r="L92" s="110" t="s">
        <v>11</v>
      </c>
      <c r="M92" s="216" t="s">
        <v>261</v>
      </c>
      <c r="N92" s="216" t="s">
        <v>262</v>
      </c>
      <c r="O92" s="194" t="s">
        <v>263</v>
      </c>
      <c r="S92" s="204"/>
      <c r="T92" s="219"/>
      <c r="U92" s="205"/>
      <c r="V92" s="205"/>
      <c r="W92" s="205"/>
      <c r="X92" s="205"/>
      <c r="Y92" s="205"/>
      <c r="Z92" s="205"/>
      <c r="AA92" s="206"/>
      <c r="AB92" s="206"/>
      <c r="AK92" s="205"/>
      <c r="AL92" s="206"/>
    </row>
    <row r="93" spans="2:38" x14ac:dyDescent="0.2">
      <c r="B93" s="6" t="str">
        <f t="shared" ref="B93:B117" si="12">$B$92&amp;C93&amp;$H$4&amp;$H$3&amp;"-"&amp;F93</f>
        <v>SISTEMA MANIFOLDTANK SIZE 8LFK-5-1-121-1</v>
      </c>
      <c r="C93" s="6" t="str">
        <f>C88</f>
        <v>TANK SIZE 8L</v>
      </c>
      <c r="E93" s="197"/>
      <c r="F93" s="198">
        <v>1</v>
      </c>
      <c r="G93" s="198" t="str">
        <f>IFERROR(VLOOKUP($B93,'BDD_SISTEMAS- MANIFOLD'!$B:$M,'COT AGENTES'!G$18,0),"")</f>
        <v>ANSUL</v>
      </c>
      <c r="H93" s="199" t="str">
        <f>IFERROR(VLOOKUP($B93,'BDD_SISTEMAS- MANIFOLD'!$B:$M,'COT AGENTES'!H$18,0),"")</f>
        <v>AGLIMP-RECARGA-00</v>
      </c>
      <c r="I93" s="200" t="str">
        <f>IFERROR(VLOOKUP($B93,'BDD_SISTEMAS- MANIFOLD'!$B:$M,'COT AGENTES'!I$18,0),"")</f>
        <v>SERVICIO DE CARGA DE AGENTE 8L</v>
      </c>
      <c r="J93" s="198" t="str">
        <f>IFERROR(VLOOKUP($B93,'BDD_SISTEMAS- MANIFOLD'!$B:$M,'COT AGENTES'!J$18,0),"")</f>
        <v>c/u.</v>
      </c>
      <c r="K93" s="201">
        <f>IFERROR(VLOOKUP($B93,'BDD_SISTEMAS- MANIFOLD'!$B:$M,'COT AGENTES'!K$18,0),"")</f>
        <v>1</v>
      </c>
      <c r="L93" s="18"/>
      <c r="M93" s="112">
        <f>IFERROR(VLOOKUP(B93,'BDD_SISTEMAS- MANIFOLD'!B72:N1309,13,0),"")</f>
        <v>1</v>
      </c>
      <c r="N93" s="202">
        <f t="shared" ref="N93:N117" si="13">IFERROR((M93*K93),"")</f>
        <v>1</v>
      </c>
      <c r="O93" s="218" t="str">
        <f>IFERROR(VLOOKUP(H93,[1]STOCK!$A:$B,4,0),"")</f>
        <v/>
      </c>
      <c r="S93" s="204"/>
      <c r="T93" s="219"/>
      <c r="U93" s="205"/>
      <c r="V93" s="205"/>
      <c r="W93" s="205"/>
      <c r="X93" s="205"/>
      <c r="Y93" s="205"/>
      <c r="Z93" s="205"/>
      <c r="AA93" s="206"/>
      <c r="AB93" s="206"/>
      <c r="AK93" s="205"/>
      <c r="AL93" s="206"/>
    </row>
    <row r="94" spans="2:38" x14ac:dyDescent="0.2">
      <c r="B94" s="6" t="str">
        <f t="shared" si="12"/>
        <v>SISTEMA MANIFOLDTANK SIZE 8LFK-5-1-121-2</v>
      </c>
      <c r="C94" s="6" t="str">
        <f t="shared" ref="C94:C117" si="14">C93</f>
        <v>TANK SIZE 8L</v>
      </c>
      <c r="E94" s="197"/>
      <c r="F94" s="198">
        <f t="shared" ref="F94:F117" si="15">+F93+1</f>
        <v>2</v>
      </c>
      <c r="G94" s="198" t="str">
        <f>IFERROR(VLOOKUP($B94,'BDD_SISTEMAS- MANIFOLD'!$B:$M,'COT AGENTES'!G$18,0),"")</f>
        <v>ANSUL</v>
      </c>
      <c r="H94" s="199">
        <f>IFERROR(VLOOKUP($B94,'BDD_SISTEMAS- MANIFOLD'!$B:$M,'COT AGENTES'!H$18,0),"")</f>
        <v>445732</v>
      </c>
      <c r="I94" s="200" t="str">
        <f>IFERROR(VLOOKUP($B94,'BDD_SISTEMAS- MANIFOLD'!$B:$M,'COT AGENTES'!I$18,0),"")</f>
        <v>TANK SIZE 8L, Fill: 9-21 lb.</v>
      </c>
      <c r="J94" s="198" t="str">
        <f>IFERROR(VLOOKUP($B94,'BDD_SISTEMAS- MANIFOLD'!$B:$M,'COT AGENTES'!J$18,0),"")</f>
        <v>c/u.</v>
      </c>
      <c r="K94" s="201">
        <f>IFERROR(VLOOKUP($B94,'BDD_SISTEMAS- MANIFOLD'!$B:$M,'COT AGENTES'!K$18,0),"")</f>
        <v>1</v>
      </c>
      <c r="L94" s="18"/>
      <c r="M94" s="112">
        <f>IFERROR(VLOOKUP(B94,'BDD_SISTEMAS- MANIFOLD'!B73:N1310,13,0),"")</f>
        <v>1</v>
      </c>
      <c r="N94" s="202">
        <f t="shared" si="13"/>
        <v>1</v>
      </c>
      <c r="O94" s="203" t="str">
        <f>IFERROR(VLOOKUP(H94,[1]STOCK!$A:$B,4,0),"")</f>
        <v/>
      </c>
      <c r="P94" s="9"/>
      <c r="S94" s="204"/>
      <c r="T94" s="219"/>
      <c r="U94" s="205"/>
      <c r="V94" s="205"/>
      <c r="W94" s="205"/>
      <c r="X94" s="205"/>
      <c r="Y94" s="205"/>
      <c r="Z94" s="205"/>
      <c r="AA94" s="206"/>
      <c r="AB94" s="206"/>
      <c r="AK94" s="205"/>
      <c r="AL94" s="206"/>
    </row>
    <row r="95" spans="2:38" x14ac:dyDescent="0.2">
      <c r="B95" s="6" t="str">
        <f t="shared" si="12"/>
        <v>SISTEMA MANIFOLDTANK SIZE 8LFK-5-1-121-3</v>
      </c>
      <c r="C95" s="6" t="str">
        <f t="shared" si="14"/>
        <v>TANK SIZE 8L</v>
      </c>
      <c r="E95" s="197"/>
      <c r="F95" s="198">
        <f t="shared" si="15"/>
        <v>3</v>
      </c>
      <c r="G95" s="198" t="str">
        <f>IFERROR(VLOOKUP($B95,'BDD_SISTEMAS- MANIFOLD'!$B:$M,'COT AGENTES'!G$18,0),"")</f>
        <v>ANSUL</v>
      </c>
      <c r="H95" s="199" t="str">
        <f>IFERROR(VLOOKUP($B95,'BDD_SISTEMAS- MANIFOLD'!$B:$M,'COT AGENTES'!H$18,0),"")</f>
        <v>FK-5-1-12</v>
      </c>
      <c r="I95" s="200" t="str">
        <f>IFERROR(VLOOKUP($B95,'BDD_SISTEMAS- MANIFOLD'!$B:$M,'COT AGENTES'!I$18,0),"")</f>
        <v>FK-5-1-12  FLUID FACTORY FILL PER L</v>
      </c>
      <c r="J95" s="198" t="str">
        <f>IFERROR(VLOOKUP($B95,'BDD_SISTEMAS- MANIFOLD'!$B:$M,'COT AGENTES'!J$18,0),"")</f>
        <v>c/u.</v>
      </c>
      <c r="K95" s="201">
        <f>IFERROR(VLOOKUP($B95,'BDD_SISTEMAS- MANIFOLD'!$B:$M,'COT AGENTES'!K$18,0),"")</f>
        <v>2</v>
      </c>
      <c r="L95" s="18"/>
      <c r="M95" s="112">
        <f>IFERROR(VLOOKUP(B95,'BDD_SISTEMAS- MANIFOLD'!B74:N1311,13,0),"")</f>
        <v>1</v>
      </c>
      <c r="N95" s="202">
        <f t="shared" si="13"/>
        <v>2</v>
      </c>
      <c r="O95" s="203" t="str">
        <f>IFERROR(VLOOKUP(H95,[1]STOCK!$A:$B,4,0),"")</f>
        <v/>
      </c>
      <c r="S95" s="204"/>
      <c r="T95" s="219"/>
      <c r="U95" s="205"/>
      <c r="V95" s="205"/>
      <c r="W95" s="205"/>
      <c r="X95" s="205"/>
      <c r="Y95" s="205"/>
      <c r="Z95" s="205"/>
      <c r="AA95" s="206"/>
      <c r="AB95" s="206"/>
      <c r="AK95" s="205"/>
      <c r="AL95" s="206"/>
    </row>
    <row r="96" spans="2:38" x14ac:dyDescent="0.2">
      <c r="B96" s="6" t="str">
        <f t="shared" si="12"/>
        <v>SISTEMA MANIFOLDTANK SIZE 8LFK-5-1-121-4</v>
      </c>
      <c r="C96" s="6" t="str">
        <f t="shared" si="14"/>
        <v>TANK SIZE 8L</v>
      </c>
      <c r="E96" s="197"/>
      <c r="F96" s="198">
        <f t="shared" si="15"/>
        <v>4</v>
      </c>
      <c r="G96" s="198" t="str">
        <f>IFERROR(VLOOKUP($B96,'BDD_SISTEMAS- MANIFOLD'!$B:$M,'COT AGENTES'!G$18,0),"")</f>
        <v>ANSUL</v>
      </c>
      <c r="H96" s="199">
        <f>IFERROR(VLOOKUP($B96,'BDD_SISTEMAS- MANIFOLD'!$B:$M,'COT AGENTES'!H$18,0),"")</f>
        <v>302207021</v>
      </c>
      <c r="I96" s="200" t="str">
        <f>IFERROR(VLOOKUP($B96,'BDD_SISTEMAS- MANIFOLD'!$B:$M,'COT AGENTES'!I$18,0),"")</f>
        <v>Pressure Gauge, FK-5-1-12</v>
      </c>
      <c r="J96" s="198" t="str">
        <f>IFERROR(VLOOKUP($B96,'BDD_SISTEMAS- MANIFOLD'!$B:$M,'COT AGENTES'!J$18,0),"")</f>
        <v>c/u.</v>
      </c>
      <c r="K96" s="201">
        <f>IFERROR(VLOOKUP($B96,'BDD_SISTEMAS- MANIFOLD'!$B:$M,'COT AGENTES'!K$18,0),"")</f>
        <v>1</v>
      </c>
      <c r="L96" s="18"/>
      <c r="M96" s="112">
        <f>IFERROR(VLOOKUP(B96,'BDD_SISTEMAS- MANIFOLD'!B75:N1312,13,0),"")</f>
        <v>1</v>
      </c>
      <c r="N96" s="202">
        <f t="shared" si="13"/>
        <v>1</v>
      </c>
      <c r="O96" s="203" t="str">
        <f>IFERROR(VLOOKUP(H96,[1]STOCK!$A:$B,4,0),"")</f>
        <v/>
      </c>
      <c r="P96" s="9"/>
      <c r="S96" s="204"/>
      <c r="T96" s="219"/>
      <c r="U96" s="205"/>
      <c r="V96" s="205"/>
      <c r="W96" s="205"/>
      <c r="X96" s="205"/>
      <c r="Y96" s="205"/>
      <c r="Z96" s="205"/>
      <c r="AA96" s="206"/>
      <c r="AB96" s="206"/>
      <c r="AK96" s="205"/>
      <c r="AL96" s="206"/>
    </row>
    <row r="97" spans="2:38" x14ac:dyDescent="0.2">
      <c r="B97" s="6" t="str">
        <f t="shared" si="12"/>
        <v>SISTEMA MANIFOLDTANK SIZE 8LFK-5-1-121-5</v>
      </c>
      <c r="C97" s="6" t="str">
        <f t="shared" si="14"/>
        <v>TANK SIZE 8L</v>
      </c>
      <c r="E97" s="197"/>
      <c r="F97" s="198">
        <f t="shared" si="15"/>
        <v>5</v>
      </c>
      <c r="G97" s="198" t="str">
        <f>IFERROR(VLOOKUP($B97,'BDD_SISTEMAS- MANIFOLD'!$B:$M,'COT AGENTES'!G$18,0),"")</f>
        <v>ANSUL</v>
      </c>
      <c r="H97" s="199">
        <f>IFERROR(VLOOKUP($B97,'BDD_SISTEMAS- MANIFOLD'!$B:$M,'COT AGENTES'!H$18,0),"")</f>
        <v>314207207</v>
      </c>
      <c r="I97" s="200" t="str">
        <f>IFERROR(VLOOKUP($B97,'BDD_SISTEMAS- MANIFOLD'!$B:$M,'COT AGENTES'!I$18,0),"")</f>
        <v>SAPPHIRE Label 8/16/52L UL/FM</v>
      </c>
      <c r="J97" s="198" t="str">
        <f>IFERROR(VLOOKUP($B97,'BDD_SISTEMAS- MANIFOLD'!$B:$M,'COT AGENTES'!J$18,0),"")</f>
        <v>c/u.</v>
      </c>
      <c r="K97" s="201">
        <f>IFERROR(VLOOKUP($B97,'BDD_SISTEMAS- MANIFOLD'!$B:$M,'COT AGENTES'!K$18,0),"")</f>
        <v>1</v>
      </c>
      <c r="L97" s="18"/>
      <c r="M97" s="112">
        <f>IFERROR(VLOOKUP(B97,'BDD_SISTEMAS- MANIFOLD'!B76:N1313,13,0),"")</f>
        <v>1</v>
      </c>
      <c r="N97" s="202">
        <f t="shared" si="13"/>
        <v>1</v>
      </c>
      <c r="O97" s="203" t="str">
        <f>IFERROR(VLOOKUP(H97,[1]STOCK!$A:$B,4,0),"")</f>
        <v/>
      </c>
      <c r="P97" s="9"/>
      <c r="S97" s="204"/>
      <c r="T97" s="219"/>
      <c r="U97" s="205"/>
      <c r="V97" s="205"/>
      <c r="W97" s="205"/>
      <c r="X97" s="205"/>
      <c r="Y97" s="205"/>
      <c r="Z97" s="205"/>
      <c r="AA97" s="206"/>
      <c r="AB97" s="206"/>
      <c r="AK97" s="205"/>
      <c r="AL97" s="206"/>
    </row>
    <row r="98" spans="2:38" x14ac:dyDescent="0.2">
      <c r="B98" s="6" t="str">
        <f t="shared" si="12"/>
        <v>SISTEMA MANIFOLDTANK SIZE 8LFK-5-1-121-6</v>
      </c>
      <c r="C98" s="6" t="str">
        <f t="shared" si="14"/>
        <v>TANK SIZE 8L</v>
      </c>
      <c r="E98" s="197"/>
      <c r="F98" s="198">
        <f t="shared" si="15"/>
        <v>6</v>
      </c>
      <c r="G98" s="198" t="str">
        <f>IFERROR(VLOOKUP($B98,'BDD_SISTEMAS- MANIFOLD'!$B:$M,'COT AGENTES'!G$18,0),"")</f>
        <v>ANSUL</v>
      </c>
      <c r="H98" s="199">
        <f>IFERROR(VLOOKUP($B98,'BDD_SISTEMAS- MANIFOLD'!$B:$M,'COT AGENTES'!H$18,0),"")</f>
        <v>570585</v>
      </c>
      <c r="I98" s="200" t="str">
        <f>IFERROR(VLOOKUP($B98,'BDD_SISTEMAS- MANIFOLD'!$B:$M,'COT AGENTES'!I$18,0),"")</f>
        <v>Cylinder Low Pressure Switch</v>
      </c>
      <c r="J98" s="198" t="str">
        <f>IFERROR(VLOOKUP($B98,'BDD_SISTEMAS- MANIFOLD'!$B:$M,'COT AGENTES'!J$18,0),"")</f>
        <v>c/u.</v>
      </c>
      <c r="K98" s="201">
        <f>IFERROR(VLOOKUP($B98,'BDD_SISTEMAS- MANIFOLD'!$B:$M,'COT AGENTES'!K$18,0),"")</f>
        <v>1</v>
      </c>
      <c r="L98" s="18"/>
      <c r="M98" s="112">
        <f>IFERROR(VLOOKUP(B98,'BDD_SISTEMAS- MANIFOLD'!B77:N1314,13,0),"")</f>
        <v>1</v>
      </c>
      <c r="N98" s="202">
        <f t="shared" si="13"/>
        <v>1</v>
      </c>
      <c r="O98" s="203" t="str">
        <f>IFERROR(VLOOKUP(H98,[1]STOCK!$A:$B,4,0),"")</f>
        <v/>
      </c>
      <c r="S98" s="204"/>
      <c r="T98" s="219"/>
      <c r="U98" s="205"/>
      <c r="V98" s="205"/>
      <c r="W98" s="205"/>
      <c r="X98" s="205"/>
      <c r="Y98" s="205"/>
      <c r="Z98" s="205"/>
      <c r="AA98" s="206"/>
      <c r="AB98" s="206"/>
      <c r="AK98" s="205"/>
      <c r="AL98" s="206"/>
    </row>
    <row r="99" spans="2:38" x14ac:dyDescent="0.2">
      <c r="B99" s="6" t="str">
        <f t="shared" si="12"/>
        <v>SISTEMA MANIFOLDTANK SIZE 8LFK-5-1-121-7</v>
      </c>
      <c r="C99" s="6" t="str">
        <f t="shared" si="14"/>
        <v>TANK SIZE 8L</v>
      </c>
      <c r="E99" s="197"/>
      <c r="F99" s="198">
        <f t="shared" si="15"/>
        <v>7</v>
      </c>
      <c r="G99" s="198" t="str">
        <f>IFERROR(VLOOKUP($B99,'BDD_SISTEMAS- MANIFOLD'!$B:$M,'COT AGENTES'!G$18,0),"")</f>
        <v>ANSUL</v>
      </c>
      <c r="H99" s="199">
        <f>IFERROR(VLOOKUP($B99,'BDD_SISTEMAS- MANIFOLD'!$B:$M,'COT AGENTES'!H$18,0),"")</f>
        <v>304205030</v>
      </c>
      <c r="I99" s="200" t="str">
        <f>IFERROR(VLOOKUP($B99,'BDD_SISTEMAS- MANIFOLD'!$B:$M,'COT AGENTES'!I$18,0),"")</f>
        <v>Electric Actuator Shipping Assembly</v>
      </c>
      <c r="J99" s="198" t="str">
        <f>IFERROR(VLOOKUP($B99,'BDD_SISTEMAS- MANIFOLD'!$B:$M,'COT AGENTES'!J$18,0),"")</f>
        <v>c/u.</v>
      </c>
      <c r="K99" s="201">
        <f>IFERROR(VLOOKUP($B99,'BDD_SISTEMAS- MANIFOLD'!$B:$M,'COT AGENTES'!K$18,0),"")</f>
        <v>1</v>
      </c>
      <c r="L99" s="18"/>
      <c r="M99" s="112">
        <f>IFERROR(VLOOKUP(B99,'BDD_SISTEMAS- MANIFOLD'!B78:N1315,13,0),"")</f>
        <v>1</v>
      </c>
      <c r="N99" s="202">
        <f t="shared" si="13"/>
        <v>1</v>
      </c>
      <c r="O99" s="203" t="str">
        <f>IFERROR(VLOOKUP(H99,[1]STOCK!$A:$B,4,0),"")</f>
        <v/>
      </c>
      <c r="P99" s="9"/>
      <c r="S99" s="204"/>
      <c r="T99" s="219"/>
      <c r="U99" s="205"/>
      <c r="V99" s="205"/>
      <c r="W99" s="205"/>
      <c r="X99" s="205"/>
      <c r="Y99" s="205"/>
      <c r="Z99" s="205"/>
      <c r="AA99" s="206"/>
      <c r="AB99" s="206"/>
      <c r="AK99" s="205"/>
      <c r="AL99" s="206"/>
    </row>
    <row r="100" spans="2:38" x14ac:dyDescent="0.2">
      <c r="B100" s="6" t="str">
        <f t="shared" si="12"/>
        <v>SISTEMA MANIFOLDTANK SIZE 8LFK-5-1-121-8</v>
      </c>
      <c r="C100" s="6" t="str">
        <f t="shared" si="14"/>
        <v>TANK SIZE 8L</v>
      </c>
      <c r="E100" s="197"/>
      <c r="F100" s="198">
        <f t="shared" si="15"/>
        <v>8</v>
      </c>
      <c r="G100" s="198" t="str">
        <f>IFERROR(VLOOKUP($B100,'BDD_SISTEMAS- MANIFOLD'!$B:$M,'COT AGENTES'!G$18,0),"")</f>
        <v>ANSUL</v>
      </c>
      <c r="H100" s="199" t="str">
        <f>IFERROR(VLOOKUP($B100,'BDD_SISTEMAS- MANIFOLD'!$B:$M,'COT AGENTES'!H$18,0),"")</f>
        <v>A1638150HY</v>
      </c>
      <c r="I100" s="200" t="str">
        <f>IFERROR(VLOOKUP($B100,'BDD_SISTEMAS- MANIFOLD'!$B:$M,'COT AGENTES'!I$18,0),"")</f>
        <v>Local Manual Actuator</v>
      </c>
      <c r="J100" s="198" t="str">
        <f>IFERROR(VLOOKUP($B100,'BDD_SISTEMAS- MANIFOLD'!$B:$M,'COT AGENTES'!J$18,0),"")</f>
        <v>c/u.</v>
      </c>
      <c r="K100" s="201">
        <f>IFERROR(VLOOKUP($B100,'BDD_SISTEMAS- MANIFOLD'!$B:$M,'COT AGENTES'!K$18,0),"")</f>
        <v>1</v>
      </c>
      <c r="L100" s="18"/>
      <c r="M100" s="112">
        <f>IFERROR(VLOOKUP(B100,'BDD_SISTEMAS- MANIFOLD'!B79:N1316,13,0),"")</f>
        <v>1</v>
      </c>
      <c r="N100" s="202">
        <f t="shared" si="13"/>
        <v>1</v>
      </c>
      <c r="O100" s="203" t="str">
        <f>IFERROR(VLOOKUP(H100,[1]STOCK!$A:$B,4,0),"")</f>
        <v/>
      </c>
      <c r="P100" s="9"/>
      <c r="S100" s="204"/>
      <c r="T100" s="219"/>
      <c r="U100" s="205"/>
      <c r="V100" s="205"/>
      <c r="W100" s="205"/>
      <c r="X100" s="205"/>
      <c r="Y100" s="205"/>
      <c r="Z100" s="205"/>
      <c r="AA100" s="206"/>
      <c r="AB100" s="206"/>
      <c r="AK100" s="205"/>
      <c r="AL100" s="206"/>
    </row>
    <row r="101" spans="2:38" x14ac:dyDescent="0.2">
      <c r="B101" s="6" t="str">
        <f t="shared" si="12"/>
        <v>SISTEMA MANIFOLDTANK SIZE 8LFK-5-1-121-9</v>
      </c>
      <c r="C101" s="6" t="str">
        <f t="shared" si="14"/>
        <v>TANK SIZE 8L</v>
      </c>
      <c r="E101" s="197"/>
      <c r="F101" s="198">
        <f t="shared" si="15"/>
        <v>9</v>
      </c>
      <c r="G101" s="198" t="str">
        <f>IFERROR(VLOOKUP($B101,'BDD_SISTEMAS- MANIFOLD'!$B:$M,'COT AGENTES'!G$18,0),"")</f>
        <v>ANSUL</v>
      </c>
      <c r="H101" s="199" t="str">
        <f>IFERROR(VLOOKUP($B101,'BDD_SISTEMAS- MANIFOLD'!$B:$M,'COT AGENTES'!H$18,0),"")</f>
        <v>570085-R2</v>
      </c>
      <c r="I101" s="200" t="str">
        <f>IFERROR(VLOOKUP($B101,'BDD_SISTEMAS- MANIFOLD'!$B:$M,'COT AGENTES'!I$18,0),"")</f>
        <v>Tank Bracket Assembly (Fits 20, 50 &amp; 90 lb. Tanks)</v>
      </c>
      <c r="J101" s="198" t="str">
        <f>IFERROR(VLOOKUP($B101,'BDD_SISTEMAS- MANIFOLD'!$B:$M,'COT AGENTES'!J$18,0),"")</f>
        <v>c/u.</v>
      </c>
      <c r="K101" s="201">
        <f>IFERROR(VLOOKUP($B101,'BDD_SISTEMAS- MANIFOLD'!$B:$M,'COT AGENTES'!K$18,0),"")</f>
        <v>1</v>
      </c>
      <c r="L101" s="18"/>
      <c r="M101" s="112">
        <f>IFERROR(VLOOKUP(B101,'BDD_SISTEMAS- MANIFOLD'!B80:N1317,13,0),"")</f>
        <v>1</v>
      </c>
      <c r="N101" s="202">
        <f t="shared" si="13"/>
        <v>1</v>
      </c>
      <c r="O101" s="203" t="str">
        <f>IFERROR(VLOOKUP(H101,[1]STOCK!$A:$B,4,0),"")</f>
        <v/>
      </c>
      <c r="P101" s="9"/>
      <c r="S101" s="204"/>
      <c r="T101" s="219"/>
      <c r="U101" s="205"/>
      <c r="V101" s="205"/>
      <c r="W101" s="205"/>
      <c r="X101" s="205"/>
      <c r="Y101" s="205"/>
      <c r="Z101" s="205"/>
      <c r="AA101" s="206"/>
      <c r="AB101" s="206"/>
      <c r="AK101" s="205"/>
      <c r="AL101" s="206"/>
    </row>
    <row r="102" spans="2:38" x14ac:dyDescent="0.2">
      <c r="B102" s="6" t="str">
        <f t="shared" si="12"/>
        <v>SISTEMA MANIFOLDTANK SIZE 8LFK-5-1-121-10</v>
      </c>
      <c r="C102" s="6" t="str">
        <f t="shared" si="14"/>
        <v>TANK SIZE 8L</v>
      </c>
      <c r="E102" s="197"/>
      <c r="F102" s="198">
        <f t="shared" si="15"/>
        <v>10</v>
      </c>
      <c r="G102" s="198" t="str">
        <f>IFERROR(VLOOKUP($B102,'BDD_SISTEMAS- MANIFOLD'!$B:$M,'COT AGENTES'!G$18,0),"")</f>
        <v>ANSUL</v>
      </c>
      <c r="H102" s="199" t="str">
        <f>IFERROR(VLOOKUP($B102,'BDD_SISTEMAS- MANIFOLD'!$B:$M,'COT AGENTES'!H$18,0),"")</f>
        <v>17549OK</v>
      </c>
      <c r="I102" s="200" t="str">
        <f>IFERROR(VLOOKUP($B102,'BDD_SISTEMAS- MANIFOLD'!$B:$M,'COT AGENTES'!I$18,0),"")</f>
        <v>Nozzle, según memoria de calculo</v>
      </c>
      <c r="J102" s="198" t="str">
        <f>IFERROR(VLOOKUP($B102,'BDD_SISTEMAS- MANIFOLD'!$B:$M,'COT AGENTES'!J$18,0),"")</f>
        <v>c/u.</v>
      </c>
      <c r="K102" s="201">
        <f>IFERROR(VLOOKUP($B102,'BDD_SISTEMAS- MANIFOLD'!$B:$M,'COT AGENTES'!K$18,0),"")</f>
        <v>1</v>
      </c>
      <c r="L102" s="18"/>
      <c r="M102" s="112">
        <f>IFERROR(VLOOKUP(B102,'BDD_SISTEMAS- MANIFOLD'!B81:N1318,13,0),"")</f>
        <v>1</v>
      </c>
      <c r="N102" s="202">
        <f t="shared" si="13"/>
        <v>1</v>
      </c>
      <c r="O102" s="203" t="str">
        <f>IFERROR(VLOOKUP(H102,[1]STOCK!$A:$B,4,0),"")</f>
        <v/>
      </c>
      <c r="S102" s="204"/>
      <c r="T102" s="219"/>
      <c r="U102" s="205"/>
      <c r="V102" s="205"/>
      <c r="W102" s="205"/>
      <c r="X102" s="205"/>
      <c r="Y102" s="205"/>
      <c r="Z102" s="205"/>
      <c r="AA102" s="206"/>
      <c r="AB102" s="206"/>
      <c r="AK102" s="205"/>
      <c r="AL102" s="206"/>
    </row>
    <row r="103" spans="2:38" x14ac:dyDescent="0.2">
      <c r="B103" s="6" t="str">
        <f t="shared" si="12"/>
        <v>SISTEMA MANIFOLDTANK SIZE 8LFK-5-1-121-11</v>
      </c>
      <c r="C103" s="6" t="str">
        <f t="shared" si="14"/>
        <v>TANK SIZE 8L</v>
      </c>
      <c r="E103" s="197"/>
      <c r="F103" s="198">
        <f t="shared" si="15"/>
        <v>11</v>
      </c>
      <c r="G103" s="198" t="str">
        <f>IFERROR(VLOOKUP($B103,'BDD_SISTEMAS- MANIFOLD'!$B:$M,'COT AGENTES'!G$18,0),"")</f>
        <v>ANSUL</v>
      </c>
      <c r="H103" s="199" t="str">
        <f>IFERROR(VLOOKUP($B103,'BDD_SISTEMAS- MANIFOLD'!$B:$M,'COT AGENTES'!H$18,0),"")</f>
        <v>314207101-R2</v>
      </c>
      <c r="I103" s="200" t="str">
        <f>IFERROR(VLOOKUP($B103,'BDD_SISTEMAS- MANIFOLD'!$B:$M,'COT AGENTES'!I$18,0),"")</f>
        <v>DOOR NOTICE (LESS THAN NOAEL)</v>
      </c>
      <c r="J103" s="198" t="str">
        <f>IFERROR(VLOOKUP($B103,'BDD_SISTEMAS- MANIFOLD'!$B:$M,'COT AGENTES'!J$18,0),"")</f>
        <v>c/u.</v>
      </c>
      <c r="K103" s="201">
        <f>IFERROR(VLOOKUP($B103,'BDD_SISTEMAS- MANIFOLD'!$B:$M,'COT AGENTES'!K$18,0),"")</f>
        <v>1</v>
      </c>
      <c r="L103" s="18"/>
      <c r="M103" s="112">
        <f>IFERROR(VLOOKUP(B103,'BDD_SISTEMAS- MANIFOLD'!B82:N1319,13,0),"")</f>
        <v>1</v>
      </c>
      <c r="N103" s="202">
        <f t="shared" si="13"/>
        <v>1</v>
      </c>
      <c r="O103" s="203" t="str">
        <f>IFERROR(VLOOKUP(H103,[1]STOCK!$A:$B,4,0),"")</f>
        <v/>
      </c>
      <c r="S103" s="204"/>
      <c r="T103" s="219"/>
      <c r="U103" s="205"/>
      <c r="V103" s="205"/>
      <c r="W103" s="205"/>
      <c r="X103" s="205"/>
      <c r="Y103" s="205"/>
      <c r="Z103" s="205"/>
      <c r="AA103" s="206"/>
      <c r="AB103" s="206"/>
      <c r="AK103" s="205"/>
      <c r="AL103" s="206"/>
    </row>
    <row r="104" spans="2:38" x14ac:dyDescent="0.2">
      <c r="B104" s="6" t="str">
        <f t="shared" si="12"/>
        <v>SISTEMA MANIFOLDTANK SIZE 8LFK-5-1-121-12</v>
      </c>
      <c r="C104" s="6" t="str">
        <f t="shared" si="14"/>
        <v>TANK SIZE 8L</v>
      </c>
      <c r="E104" s="197"/>
      <c r="F104" s="198">
        <f t="shared" si="15"/>
        <v>12</v>
      </c>
      <c r="G104" s="198" t="str">
        <f>IFERROR(VLOOKUP($B104,'BDD_SISTEMAS- MANIFOLD'!$B:$M,'COT AGENTES'!G$18,0),"")</f>
        <v>ANSUL</v>
      </c>
      <c r="H104" s="199" t="str">
        <f>IFERROR(VLOOKUP($B104,'BDD_SISTEMAS- MANIFOLD'!$B:$M,'COT AGENTES'!H$18,0),"")</f>
        <v>314207103-R2</v>
      </c>
      <c r="I104" s="200" t="str">
        <f>IFERROR(VLOOKUP($B104,'BDD_SISTEMAS- MANIFOLD'!$B:$M,'COT AGENTES'!I$18,0),"")</f>
        <v>MANUAL RELEASE SIGN</v>
      </c>
      <c r="J104" s="198" t="str">
        <f>IFERROR(VLOOKUP($B104,'BDD_SISTEMAS- MANIFOLD'!$B:$M,'COT AGENTES'!J$18,0),"")</f>
        <v>c/u.</v>
      </c>
      <c r="K104" s="201">
        <f>IFERROR(VLOOKUP($B104,'BDD_SISTEMAS- MANIFOLD'!$B:$M,'COT AGENTES'!K$18,0),"")</f>
        <v>1</v>
      </c>
      <c r="L104" s="18"/>
      <c r="M104" s="112">
        <f>IFERROR(VLOOKUP(B104,'BDD_SISTEMAS- MANIFOLD'!B83:N1320,13,0),"")</f>
        <v>1</v>
      </c>
      <c r="N104" s="202">
        <f t="shared" si="13"/>
        <v>1</v>
      </c>
      <c r="O104" s="203" t="str">
        <f>IFERROR(VLOOKUP(H104,[1]STOCK!$A:$B,4,0),"")</f>
        <v/>
      </c>
      <c r="S104" s="204"/>
      <c r="T104" s="219"/>
      <c r="U104" s="205"/>
      <c r="V104" s="205"/>
      <c r="W104" s="205"/>
      <c r="X104" s="205"/>
      <c r="Y104" s="205"/>
      <c r="Z104" s="205"/>
      <c r="AA104" s="206"/>
      <c r="AB104" s="206"/>
      <c r="AK104" s="205"/>
      <c r="AL104" s="206"/>
    </row>
    <row r="105" spans="2:38" x14ac:dyDescent="0.2">
      <c r="B105" s="6" t="str">
        <f t="shared" si="12"/>
        <v>SISTEMA MANIFOLDTANK SIZE 8LFK-5-1-121-13</v>
      </c>
      <c r="C105" s="6" t="str">
        <f t="shared" si="14"/>
        <v>TANK SIZE 8L</v>
      </c>
      <c r="E105" s="197"/>
      <c r="F105" s="198">
        <f t="shared" si="15"/>
        <v>13</v>
      </c>
      <c r="G105" s="198" t="str">
        <f>IFERROR(VLOOKUP($B105,'BDD_SISTEMAS- MANIFOLD'!$B:$M,'COT AGENTES'!G$18,0),"")</f>
        <v>ANSUL</v>
      </c>
      <c r="H105" s="199" t="str">
        <f>IFERROR(VLOOKUP($B105,'BDD_SISTEMAS- MANIFOLD'!$B:$M,'COT AGENTES'!H$18,0),"")</f>
        <v>570539-R2</v>
      </c>
      <c r="I105" s="200" t="str">
        <f>IFERROR(VLOOKUP($B105,'BDD_SISTEMAS- MANIFOLD'!$B:$M,'COT AGENTES'!I$18,0),"")</f>
        <v>Flexible Discharge Hose, 1 in.</v>
      </c>
      <c r="J105" s="198" t="str">
        <f>IFERROR(VLOOKUP($B105,'BDD_SISTEMAS- MANIFOLD'!$B:$M,'COT AGENTES'!J$18,0),"")</f>
        <v>c/u.</v>
      </c>
      <c r="K105" s="201">
        <f>IFERROR(VLOOKUP($B105,'BDD_SISTEMAS- MANIFOLD'!$B:$M,'COT AGENTES'!K$18,0),"")</f>
        <v>1</v>
      </c>
      <c r="L105" s="18"/>
      <c r="M105" s="112">
        <f>IFERROR(VLOOKUP(B105,'BDD_SISTEMAS- MANIFOLD'!B84:N1321,13,0),"")</f>
        <v>1</v>
      </c>
      <c r="N105" s="202">
        <f t="shared" si="13"/>
        <v>1</v>
      </c>
      <c r="O105" s="203" t="str">
        <f>IFERROR(VLOOKUP(H105,[1]STOCK!$A:$B,4,0),"")</f>
        <v/>
      </c>
      <c r="S105" s="204"/>
      <c r="T105" s="219"/>
      <c r="U105" s="205"/>
      <c r="V105" s="205"/>
      <c r="W105" s="205"/>
      <c r="X105" s="205"/>
      <c r="Y105" s="205"/>
      <c r="Z105" s="205"/>
      <c r="AA105" s="206"/>
      <c r="AB105" s="206"/>
      <c r="AK105" s="205"/>
      <c r="AL105" s="206"/>
    </row>
    <row r="106" spans="2:38" x14ac:dyDescent="0.2">
      <c r="B106" s="6" t="str">
        <f t="shared" si="12"/>
        <v>SISTEMA MANIFOLDTANK SIZE 8LFK-5-1-121-14</v>
      </c>
      <c r="C106" s="6" t="str">
        <f t="shared" si="14"/>
        <v>TANK SIZE 8L</v>
      </c>
      <c r="E106" s="197"/>
      <c r="F106" s="198">
        <f t="shared" si="15"/>
        <v>14</v>
      </c>
      <c r="G106" s="198" t="str">
        <f>IFERROR(VLOOKUP($B106,'BDD_SISTEMAS- MANIFOLD'!$B:$M,'COT AGENTES'!G$18,0),"")</f>
        <v>ANSUL</v>
      </c>
      <c r="H106" s="199">
        <f>IFERROR(VLOOKUP($B106,'BDD_SISTEMAS- MANIFOLD'!$B:$M,'COT AGENTES'!H$18,0),"")</f>
        <v>570566</v>
      </c>
      <c r="I106" s="200" t="str">
        <f>IFERROR(VLOOKUP($B106,'BDD_SISTEMAS- MANIFOLD'!$B:$M,'COT AGENTES'!I$18,0),"")</f>
        <v>Manifold Check Valve, 1 in.</v>
      </c>
      <c r="J106" s="198" t="str">
        <f>IFERROR(VLOOKUP($B106,'BDD_SISTEMAS- MANIFOLD'!$B:$M,'COT AGENTES'!J$18,0),"")</f>
        <v>c/u.</v>
      </c>
      <c r="K106" s="201">
        <f>IFERROR(VLOOKUP($B106,'BDD_SISTEMAS- MANIFOLD'!$B:$M,'COT AGENTES'!K$18,0),"")</f>
        <v>1</v>
      </c>
      <c r="L106" s="18"/>
      <c r="M106" s="112">
        <f>IFERROR(VLOOKUP(B106,'BDD_SISTEMAS- MANIFOLD'!B85:N1322,13,0),"")</f>
        <v>1</v>
      </c>
      <c r="N106" s="202">
        <f t="shared" si="13"/>
        <v>1</v>
      </c>
      <c r="O106" s="203" t="str">
        <f>IFERROR(VLOOKUP(H106,[1]STOCK!$A:$B,4,0),"")</f>
        <v/>
      </c>
      <c r="P106" s="9"/>
      <c r="S106" s="204"/>
      <c r="T106" s="219"/>
      <c r="U106" s="205"/>
      <c r="V106" s="205"/>
      <c r="W106" s="205"/>
      <c r="X106" s="205"/>
      <c r="Y106" s="205"/>
      <c r="Z106" s="205"/>
      <c r="AA106" s="206"/>
      <c r="AB106" s="206"/>
      <c r="AK106" s="205"/>
      <c r="AL106" s="206"/>
    </row>
    <row r="107" spans="2:38" x14ac:dyDescent="0.2">
      <c r="B107" s="6" t="str">
        <f t="shared" si="12"/>
        <v>SISTEMA MANIFOLDTANK SIZE 8LFK-5-1-121-15</v>
      </c>
      <c r="C107" s="6" t="str">
        <f t="shared" si="14"/>
        <v>TANK SIZE 8L</v>
      </c>
      <c r="E107" s="197"/>
      <c r="F107" s="198">
        <f t="shared" si="15"/>
        <v>15</v>
      </c>
      <c r="G107" s="198" t="str">
        <f>IFERROR(VLOOKUP($B107,'BDD_SISTEMAS- MANIFOLD'!$B:$M,'COT AGENTES'!G$18,0),"")</f>
        <v>ANSUL</v>
      </c>
      <c r="H107" s="199">
        <f>IFERROR(VLOOKUP($B107,'BDD_SISTEMAS- MANIFOLD'!$B:$M,'COT AGENTES'!H$18,0),"")</f>
        <v>570550</v>
      </c>
      <c r="I107" s="200" t="str">
        <f>IFERROR(VLOOKUP($B107,'BDD_SISTEMAS- MANIFOLD'!$B:$M,'COT AGENTES'!I$18,0),"")</f>
        <v>Pneumatic Actuator</v>
      </c>
      <c r="J107" s="198" t="str">
        <f>IFERROR(VLOOKUP($B107,'BDD_SISTEMAS- MANIFOLD'!$B:$M,'COT AGENTES'!J$18,0),"")</f>
        <v>c/u.</v>
      </c>
      <c r="K107" s="201">
        <f>IFERROR(VLOOKUP($B107,'BDD_SISTEMAS- MANIFOLD'!$B:$M,'COT AGENTES'!K$18,0),"")</f>
        <v>0</v>
      </c>
      <c r="L107" s="18"/>
      <c r="M107" s="112">
        <f>IFERROR(VLOOKUP(B107,'BDD_SISTEMAS- MANIFOLD'!B86:N1323,13,0),"")</f>
        <v>1</v>
      </c>
      <c r="N107" s="202">
        <f t="shared" si="13"/>
        <v>0</v>
      </c>
      <c r="O107" s="203" t="str">
        <f>IFERROR(VLOOKUP(H107,[1]STOCK!$A:$B,4,0),"")</f>
        <v/>
      </c>
      <c r="S107" s="204"/>
      <c r="T107" s="219"/>
      <c r="U107" s="205"/>
      <c r="V107" s="205"/>
      <c r="W107" s="205"/>
      <c r="X107" s="205"/>
      <c r="Y107" s="205"/>
      <c r="Z107" s="205"/>
      <c r="AA107" s="206"/>
      <c r="AB107" s="206"/>
      <c r="AK107" s="205"/>
      <c r="AL107" s="206"/>
    </row>
    <row r="108" spans="2:38" x14ac:dyDescent="0.2">
      <c r="B108" s="6" t="str">
        <f t="shared" si="12"/>
        <v>SISTEMA MANIFOLDTANK SIZE 8LFK-5-1-121-16</v>
      </c>
      <c r="C108" s="6" t="str">
        <f t="shared" si="14"/>
        <v>TANK SIZE 8L</v>
      </c>
      <c r="E108" s="197"/>
      <c r="F108" s="198">
        <f t="shared" si="15"/>
        <v>16</v>
      </c>
      <c r="G108" s="198" t="str">
        <f>IFERROR(VLOOKUP($B108,'BDD_SISTEMAS- MANIFOLD'!$B:$M,'COT AGENTES'!G$18,0),"")</f>
        <v>ANSUL</v>
      </c>
      <c r="H108" s="199">
        <f>IFERROR(VLOOKUP($B108,'BDD_SISTEMAS- MANIFOLD'!$B:$M,'COT AGENTES'!H$18,0),"")</f>
        <v>32338</v>
      </c>
      <c r="I108" s="200" t="str">
        <f>IFERROR(VLOOKUP($B108,'BDD_SISTEMAS- MANIFOLD'!$B:$M,'COT AGENTES'!I$18,0),"")</f>
        <v>Male Straight Connector, 7/16 - 20 x 1/4 in. NPT</v>
      </c>
      <c r="J108" s="198" t="str">
        <f>IFERROR(VLOOKUP($B108,'BDD_SISTEMAS- MANIFOLD'!$B:$M,'COT AGENTES'!J$18,0),"")</f>
        <v>c/u.</v>
      </c>
      <c r="K108" s="201">
        <f>IFERROR(VLOOKUP($B108,'BDD_SISTEMAS- MANIFOLD'!$B:$M,'COT AGENTES'!K$18,0),"")</f>
        <v>1</v>
      </c>
      <c r="L108" s="18"/>
      <c r="M108" s="112">
        <f>IFERROR(VLOOKUP(B108,'BDD_SISTEMAS- MANIFOLD'!B87:N1324,13,0),"")</f>
        <v>1</v>
      </c>
      <c r="N108" s="202">
        <f t="shared" si="13"/>
        <v>1</v>
      </c>
      <c r="O108" s="203" t="str">
        <f>IFERROR(VLOOKUP(H108,[1]STOCK!$A:$B,4,0),"")</f>
        <v/>
      </c>
      <c r="S108" s="204"/>
      <c r="T108" s="219"/>
      <c r="U108" s="205"/>
      <c r="V108" s="205"/>
      <c r="W108" s="205"/>
      <c r="X108" s="205"/>
      <c r="Y108" s="205"/>
      <c r="Z108" s="205"/>
      <c r="AA108" s="206"/>
      <c r="AB108" s="206"/>
      <c r="AK108" s="205"/>
      <c r="AL108" s="206"/>
    </row>
    <row r="109" spans="2:38" x14ac:dyDescent="0.2">
      <c r="B109" s="6" t="str">
        <f t="shared" si="12"/>
        <v>SISTEMA MANIFOLDTANK SIZE 8LFK-5-1-121-17</v>
      </c>
      <c r="C109" s="6" t="str">
        <f t="shared" si="14"/>
        <v>TANK SIZE 8L</v>
      </c>
      <c r="E109" s="197"/>
      <c r="F109" s="198">
        <f t="shared" si="15"/>
        <v>17</v>
      </c>
      <c r="G109" s="198" t="str">
        <f>IFERROR(VLOOKUP($B109,'BDD_SISTEMAS- MANIFOLD'!$B:$M,'COT AGENTES'!G$18,0),"")</f>
        <v>ANSUL</v>
      </c>
      <c r="H109" s="199">
        <f>IFERROR(VLOOKUP($B109,'BDD_SISTEMAS- MANIFOLD'!$B:$M,'COT AGENTES'!H$18,0),"")</f>
        <v>31810</v>
      </c>
      <c r="I109" s="200" t="str">
        <f>IFERROR(VLOOKUP($B109,'BDD_SISTEMAS- MANIFOLD'!$B:$M,'COT AGENTES'!I$18,0),"")</f>
        <v>Male Elbow, 7/16-20 x 1/4 in. NPT</v>
      </c>
      <c r="J109" s="198" t="str">
        <f>IFERROR(VLOOKUP($B109,'BDD_SISTEMAS- MANIFOLD'!$B:$M,'COT AGENTES'!J$18,0),"")</f>
        <v>c/u.</v>
      </c>
      <c r="K109" s="201">
        <f>IFERROR(VLOOKUP($B109,'BDD_SISTEMAS- MANIFOLD'!$B:$M,'COT AGENTES'!K$18,0),"")</f>
        <v>1</v>
      </c>
      <c r="L109" s="18"/>
      <c r="M109" s="112">
        <f>IFERROR(VLOOKUP(B109,'BDD_SISTEMAS- MANIFOLD'!B88:N1325,13,0),"")</f>
        <v>1</v>
      </c>
      <c r="N109" s="202">
        <f t="shared" si="13"/>
        <v>1</v>
      </c>
      <c r="O109" s="203" t="str">
        <f>IFERROR(VLOOKUP(H109,[1]STOCK!$A:$B,4,0),"")</f>
        <v/>
      </c>
      <c r="S109" s="204"/>
      <c r="T109" s="219"/>
      <c r="U109" s="205"/>
      <c r="V109" s="205"/>
      <c r="W109" s="205"/>
      <c r="X109" s="205"/>
      <c r="Y109" s="205"/>
      <c r="Z109" s="205"/>
      <c r="AA109" s="206"/>
      <c r="AB109" s="206"/>
      <c r="AK109" s="205"/>
      <c r="AL109" s="206"/>
    </row>
    <row r="110" spans="2:38" x14ac:dyDescent="0.2">
      <c r="B110" s="6" t="str">
        <f t="shared" si="12"/>
        <v>SISTEMA MANIFOLDTANK SIZE 8LFK-5-1-121-18</v>
      </c>
      <c r="C110" s="6" t="str">
        <f t="shared" si="14"/>
        <v>TANK SIZE 8L</v>
      </c>
      <c r="E110" s="197"/>
      <c r="F110" s="198">
        <f t="shared" si="15"/>
        <v>18</v>
      </c>
      <c r="G110" s="198" t="str">
        <f>IFERROR(VLOOKUP($B110,'BDD_SISTEMAS- MANIFOLD'!$B:$M,'COT AGENTES'!G$18,0),"")</f>
        <v>ANSUL</v>
      </c>
      <c r="H110" s="199">
        <f>IFERROR(VLOOKUP($B110,'BDD_SISTEMAS- MANIFOLD'!$B:$M,'COT AGENTES'!H$18,0),"")</f>
        <v>32336</v>
      </c>
      <c r="I110" s="200" t="str">
        <f>IFERROR(VLOOKUP($B110,'BDD_SISTEMAS- MANIFOLD'!$B:$M,'COT AGENTES'!I$18,0),"")</f>
        <v>Actuation Hose, Swivel, Stainless Braided, 24 in., 1/4 in. Female</v>
      </c>
      <c r="J110" s="198" t="str">
        <f>IFERROR(VLOOKUP($B110,'BDD_SISTEMAS- MANIFOLD'!$B:$M,'COT AGENTES'!J$18,0),"")</f>
        <v>c/u.</v>
      </c>
      <c r="K110" s="201">
        <f>IFERROR(VLOOKUP($B110,'BDD_SISTEMAS- MANIFOLD'!$B:$M,'COT AGENTES'!K$18,0),"")</f>
        <v>0</v>
      </c>
      <c r="L110" s="18"/>
      <c r="M110" s="112">
        <f>IFERROR(VLOOKUP(B110,'BDD_SISTEMAS- MANIFOLD'!B89:N1326,13,0),"")</f>
        <v>1</v>
      </c>
      <c r="N110" s="202">
        <f t="shared" si="13"/>
        <v>0</v>
      </c>
      <c r="O110" s="203" t="str">
        <f>IFERROR(VLOOKUP(H110,[1]STOCK!$A:$B,4,0),"")</f>
        <v/>
      </c>
      <c r="S110" s="204"/>
      <c r="T110" s="219"/>
      <c r="U110" s="205"/>
      <c r="V110" s="205"/>
      <c r="W110" s="205"/>
      <c r="X110" s="205"/>
      <c r="Y110" s="205"/>
      <c r="Z110" s="205"/>
      <c r="AA110" s="206"/>
      <c r="AB110" s="206"/>
      <c r="AK110" s="205"/>
      <c r="AL110" s="206"/>
    </row>
    <row r="111" spans="2:38" x14ac:dyDescent="0.2">
      <c r="B111" s="6" t="str">
        <f t="shared" si="12"/>
        <v>SISTEMA MANIFOLDTANK SIZE 8LFK-5-1-121-19</v>
      </c>
      <c r="C111" s="6" t="str">
        <f t="shared" si="14"/>
        <v>TANK SIZE 8L</v>
      </c>
      <c r="E111" s="197"/>
      <c r="F111" s="198">
        <f t="shared" si="15"/>
        <v>19</v>
      </c>
      <c r="G111" s="198" t="str">
        <f>IFERROR(VLOOKUP($B111,'BDD_SISTEMAS- MANIFOLD'!$B:$M,'COT AGENTES'!G$18,0),"")</f>
        <v>ANSUL</v>
      </c>
      <c r="H111" s="199">
        <f>IFERROR(VLOOKUP($B111,'BDD_SISTEMAS- MANIFOLD'!$B:$M,'COT AGENTES'!H$18,0),"")</f>
        <v>31811</v>
      </c>
      <c r="I111" s="200" t="str">
        <f>IFERROR(VLOOKUP($B111,'BDD_SISTEMAS- MANIFOLD'!$B:$M,'COT AGENTES'!I$18,0),"")</f>
        <v>Male Tee, 7/16 - 20 x 1/4 in. NPT</v>
      </c>
      <c r="J111" s="198" t="str">
        <f>IFERROR(VLOOKUP($B111,'BDD_SISTEMAS- MANIFOLD'!$B:$M,'COT AGENTES'!J$18,0),"")</f>
        <v>c/u.</v>
      </c>
      <c r="K111" s="201">
        <f>IFERROR(VLOOKUP($B111,'BDD_SISTEMAS- MANIFOLD'!$B:$M,'COT AGENTES'!K$18,0),"")</f>
        <v>0</v>
      </c>
      <c r="L111" s="18"/>
      <c r="M111" s="112">
        <f>IFERROR(VLOOKUP(B111,'BDD_SISTEMAS- MANIFOLD'!B90:N1327,13,0),"")</f>
        <v>1</v>
      </c>
      <c r="N111" s="202">
        <f t="shared" si="13"/>
        <v>0</v>
      </c>
      <c r="O111" s="203" t="str">
        <f>IFERROR(VLOOKUP(H111,[1]STOCK!$A:$B,4,0),"")</f>
        <v/>
      </c>
      <c r="P111" s="9"/>
      <c r="S111" s="204"/>
      <c r="T111" s="219"/>
      <c r="U111" s="205"/>
      <c r="V111" s="205"/>
      <c r="W111" s="205"/>
      <c r="X111" s="205"/>
      <c r="Y111" s="205"/>
      <c r="Z111" s="205"/>
      <c r="AA111" s="206"/>
      <c r="AB111" s="206"/>
      <c r="AK111" s="205"/>
      <c r="AL111" s="206"/>
    </row>
    <row r="112" spans="2:38" x14ac:dyDescent="0.2">
      <c r="B112" s="6" t="str">
        <f t="shared" si="12"/>
        <v>SISTEMA MANIFOLDTANK SIZE 8LFK-5-1-121-20</v>
      </c>
      <c r="C112" s="6" t="str">
        <f t="shared" si="14"/>
        <v>TANK SIZE 8L</v>
      </c>
      <c r="E112" s="197"/>
      <c r="F112" s="198">
        <f t="shared" si="15"/>
        <v>20</v>
      </c>
      <c r="G112" s="198">
        <f>IFERROR(VLOOKUP($B112,'BDD_SISTEMAS- MANIFOLD'!$B:$M,'COT AGENTES'!G$18,0),"")</f>
        <v>0</v>
      </c>
      <c r="H112" s="199">
        <f>IFERROR(VLOOKUP($B112,'BDD_SISTEMAS- MANIFOLD'!$B:$M,'COT AGENTES'!H$18,0),"")</f>
        <v>0</v>
      </c>
      <c r="I112" s="200">
        <f>IFERROR(VLOOKUP($B112,'BDD_SISTEMAS- MANIFOLD'!$B:$M,'COT AGENTES'!I$18,0),"")</f>
        <v>0</v>
      </c>
      <c r="J112" s="198">
        <f>IFERROR(VLOOKUP($B112,'BDD_SISTEMAS- MANIFOLD'!$B:$M,'COT AGENTES'!J$18,0),"")</f>
        <v>0</v>
      </c>
      <c r="K112" s="201">
        <f>IFERROR(VLOOKUP($B112,'BDD_SISTEMAS- MANIFOLD'!$B:$M,'COT AGENTES'!K$18,0),"")</f>
        <v>0</v>
      </c>
      <c r="L112" s="18"/>
      <c r="M112" s="112">
        <f>IFERROR(VLOOKUP(B112,'BDD_SISTEMAS- MANIFOLD'!B91:N1328,13,0),"")</f>
        <v>1</v>
      </c>
      <c r="N112" s="202">
        <f t="shared" si="13"/>
        <v>0</v>
      </c>
      <c r="O112" s="203" t="str">
        <f>IFERROR(VLOOKUP(H112,[1]STOCK!$A:$B,4,0),"")</f>
        <v/>
      </c>
      <c r="S112" s="204"/>
      <c r="T112" s="219"/>
      <c r="U112" s="205"/>
      <c r="V112" s="205"/>
      <c r="W112" s="205"/>
      <c r="X112" s="205"/>
      <c r="Y112" s="205"/>
      <c r="Z112" s="205"/>
      <c r="AA112" s="206"/>
      <c r="AB112" s="206"/>
      <c r="AK112" s="205"/>
      <c r="AL112" s="206"/>
    </row>
    <row r="113" spans="2:38" x14ac:dyDescent="0.2">
      <c r="B113" s="6" t="str">
        <f t="shared" si="12"/>
        <v>SISTEMA MANIFOLDTANK SIZE 8LFK-5-1-121-21</v>
      </c>
      <c r="C113" s="6" t="str">
        <f t="shared" si="14"/>
        <v>TANK SIZE 8L</v>
      </c>
      <c r="E113" s="197"/>
      <c r="F113" s="198">
        <f t="shared" si="15"/>
        <v>21</v>
      </c>
      <c r="G113" s="198" t="str">
        <f>IFERROR(VLOOKUP($B113,'BDD_SISTEMAS- MANIFOLD'!$B:$M,'COT AGENTES'!G$18,0),"")</f>
        <v>ANSUL</v>
      </c>
      <c r="H113" s="199">
        <f>IFERROR(VLOOKUP($B113,'BDD_SISTEMAS- MANIFOLD'!$B:$M,'COT AGENTES'!H$18,0),"")</f>
        <v>437900</v>
      </c>
      <c r="I113" s="200" t="str">
        <f>IFERROR(VLOOKUP($B113,'BDD_SISTEMAS- MANIFOLD'!$B:$M,'COT AGENTES'!I$18,0),"")</f>
        <v>Switch, Pressure, 3PDT</v>
      </c>
      <c r="J113" s="198" t="str">
        <f>IFERROR(VLOOKUP($B113,'BDD_SISTEMAS- MANIFOLD'!$B:$M,'COT AGENTES'!J$18,0),"")</f>
        <v>c/u.</v>
      </c>
      <c r="K113" s="201">
        <f>IFERROR(VLOOKUP($B113,'BDD_SISTEMAS- MANIFOLD'!$B:$M,'COT AGENTES'!K$18,0),"")</f>
        <v>1</v>
      </c>
      <c r="L113" s="18"/>
      <c r="M113" s="112">
        <f>IFERROR(VLOOKUP(B113,'BDD_SISTEMAS- MANIFOLD'!B92:N1329,13,0),"")</f>
        <v>1</v>
      </c>
      <c r="N113" s="202">
        <f t="shared" si="13"/>
        <v>1</v>
      </c>
      <c r="O113" s="203" t="str">
        <f>IFERROR(VLOOKUP(H113,[1]STOCK!$A:$B,4,0),"")</f>
        <v/>
      </c>
      <c r="S113" s="204"/>
      <c r="T113" s="219"/>
      <c r="U113" s="205"/>
      <c r="V113" s="205"/>
      <c r="W113" s="205"/>
      <c r="X113" s="205"/>
      <c r="Y113" s="205"/>
      <c r="Z113" s="205"/>
      <c r="AA113" s="206"/>
      <c r="AB113" s="206"/>
      <c r="AK113" s="205"/>
      <c r="AL113" s="206"/>
    </row>
    <row r="114" spans="2:38" x14ac:dyDescent="0.2">
      <c r="B114" s="6" t="str">
        <f t="shared" si="12"/>
        <v>SISTEMA MANIFOLDTANK SIZE 8LFK-5-1-121-22</v>
      </c>
      <c r="C114" s="6" t="str">
        <f t="shared" si="14"/>
        <v>TANK SIZE 8L</v>
      </c>
      <c r="E114" s="197"/>
      <c r="F114" s="198">
        <f t="shared" si="15"/>
        <v>22</v>
      </c>
      <c r="G114" s="198" t="str">
        <f>IFERROR(VLOOKUP($B114,'BDD_SISTEMAS- MANIFOLD'!$B:$M,'COT AGENTES'!G$18,0),"")</f>
        <v>ANSUL</v>
      </c>
      <c r="H114" s="199">
        <f>IFERROR(VLOOKUP($B114,'BDD_SISTEMAS- MANIFOLD'!$B:$M,'COT AGENTES'!H$18,0),"")</f>
        <v>31811</v>
      </c>
      <c r="I114" s="200" t="str">
        <f>IFERROR(VLOOKUP($B114,'BDD_SISTEMAS- MANIFOLD'!$B:$M,'COT AGENTES'!I$18,0),"")</f>
        <v>Male Tee, 7/16 - 20 x 1/4 in. NPT</v>
      </c>
      <c r="J114" s="198" t="str">
        <f>IFERROR(VLOOKUP($B114,'BDD_SISTEMAS- MANIFOLD'!$B:$M,'COT AGENTES'!J$18,0),"")</f>
        <v>c/u.</v>
      </c>
      <c r="K114" s="201">
        <f>IFERROR(VLOOKUP($B114,'BDD_SISTEMAS- MANIFOLD'!$B:$M,'COT AGENTES'!K$18,0),"")</f>
        <v>1</v>
      </c>
      <c r="L114" s="18"/>
      <c r="M114" s="112">
        <f>IFERROR(VLOOKUP(B114,'BDD_SISTEMAS- MANIFOLD'!B93:N1330,13,0),"")</f>
        <v>1</v>
      </c>
      <c r="N114" s="202">
        <f t="shared" si="13"/>
        <v>1</v>
      </c>
      <c r="O114" s="203" t="str">
        <f>IFERROR(VLOOKUP(H114,[1]STOCK!$A:$B,4,0),"")</f>
        <v/>
      </c>
      <c r="S114" s="204"/>
      <c r="T114" s="219"/>
      <c r="U114" s="205"/>
      <c r="V114" s="205"/>
      <c r="W114" s="205"/>
      <c r="X114" s="205"/>
      <c r="Y114" s="205"/>
      <c r="Z114" s="205"/>
      <c r="AA114" s="206"/>
      <c r="AB114" s="206"/>
      <c r="AK114" s="205"/>
      <c r="AL114" s="206"/>
    </row>
    <row r="115" spans="2:38" x14ac:dyDescent="0.2">
      <c r="B115" s="6" t="str">
        <f t="shared" si="12"/>
        <v>SISTEMA MANIFOLDTANK SIZE 8LFK-5-1-121-23</v>
      </c>
      <c r="C115" s="6" t="str">
        <f t="shared" si="14"/>
        <v>TANK SIZE 8L</v>
      </c>
      <c r="E115" s="197"/>
      <c r="F115" s="198">
        <f t="shared" si="15"/>
        <v>23</v>
      </c>
      <c r="G115" s="198" t="str">
        <f>IFERROR(VLOOKUP($B115,'BDD_SISTEMAS- MANIFOLD'!$B:$M,'COT AGENTES'!G$18,0),"")</f>
        <v>ANSUL</v>
      </c>
      <c r="H115" s="199">
        <f>IFERROR(VLOOKUP($B115,'BDD_SISTEMAS- MANIFOLD'!$B:$M,'COT AGENTES'!H$18,0),"")</f>
        <v>73597</v>
      </c>
      <c r="I115" s="200" t="str">
        <f>IFERROR(VLOOKUP($B115,'BDD_SISTEMAS- MANIFOLD'!$B:$M,'COT AGENTES'!I$18,0),"")</f>
        <v>Acutation Hose, 16 in., 1/4 in. NPT x 7/16-20 in. F Flare</v>
      </c>
      <c r="J115" s="198" t="str">
        <f>IFERROR(VLOOKUP($B115,'BDD_SISTEMAS- MANIFOLD'!$B:$M,'COT AGENTES'!J$18,0),"")</f>
        <v>c/u.</v>
      </c>
      <c r="K115" s="201">
        <f>IFERROR(VLOOKUP($B115,'BDD_SISTEMAS- MANIFOLD'!$B:$M,'COT AGENTES'!K$18,0),"")</f>
        <v>1</v>
      </c>
      <c r="L115" s="18"/>
      <c r="M115" s="112">
        <f>IFERROR(VLOOKUP(B115,'BDD_SISTEMAS- MANIFOLD'!B94:N1331,13,0),"")</f>
        <v>1</v>
      </c>
      <c r="N115" s="202">
        <f t="shared" si="13"/>
        <v>1</v>
      </c>
      <c r="O115" s="203" t="str">
        <f>IFERROR(VLOOKUP(H115,[1]STOCK!$A:$B,4,0),"")</f>
        <v/>
      </c>
      <c r="S115" s="204"/>
      <c r="T115" s="219"/>
      <c r="U115" s="205"/>
      <c r="V115" s="205"/>
      <c r="W115" s="205"/>
      <c r="X115" s="205"/>
      <c r="Y115" s="205"/>
      <c r="Z115" s="205"/>
      <c r="AA115" s="206"/>
      <c r="AB115" s="206"/>
      <c r="AK115" s="205"/>
      <c r="AL115" s="206"/>
    </row>
    <row r="116" spans="2:38" x14ac:dyDescent="0.2">
      <c r="B116" s="6" t="str">
        <f t="shared" si="12"/>
        <v>SISTEMA MANIFOLDTANK SIZE 8LFK-5-1-121-24</v>
      </c>
      <c r="C116" s="6" t="str">
        <f t="shared" si="14"/>
        <v>TANK SIZE 8L</v>
      </c>
      <c r="E116" s="197"/>
      <c r="F116" s="198">
        <f t="shared" si="15"/>
        <v>24</v>
      </c>
      <c r="G116" s="198" t="str">
        <f>IFERROR(VLOOKUP($B116,'BDD_SISTEMAS- MANIFOLD'!$B:$M,'COT AGENTES'!G$18,0),"")</f>
        <v>ANSUL</v>
      </c>
      <c r="H116" s="199">
        <f>IFERROR(VLOOKUP($B116,'BDD_SISTEMAS- MANIFOLD'!$B:$M,'COT AGENTES'!H$18,0),"")</f>
        <v>76498</v>
      </c>
      <c r="I116" s="200" t="str">
        <f>IFERROR(VLOOKUP($B116,'BDD_SISTEMAS- MANIFOLD'!$B:$M,'COT AGENTES'!I$18,0),"")</f>
        <v>Switch, Maintenance, Surface Mount</v>
      </c>
      <c r="J116" s="198" t="str">
        <f>IFERROR(VLOOKUP($B116,'BDD_SISTEMAS- MANIFOLD'!$B:$M,'COT AGENTES'!J$18,0),"")</f>
        <v>c/u.</v>
      </c>
      <c r="K116" s="201">
        <f>IFERROR(VLOOKUP($B116,'BDD_SISTEMAS- MANIFOLD'!$B:$M,'COT AGENTES'!K$18,0),"")</f>
        <v>1</v>
      </c>
      <c r="L116" s="18"/>
      <c r="M116" s="112">
        <f>IFERROR(VLOOKUP(B116,'BDD_SISTEMAS- MANIFOLD'!B95:N1332,13,0),"")</f>
        <v>1</v>
      </c>
      <c r="N116" s="202">
        <f t="shared" si="13"/>
        <v>1</v>
      </c>
      <c r="O116" s="203" t="str">
        <f>IFERROR(VLOOKUP(H116,[1]STOCK!$A:$B,4,0),"")</f>
        <v/>
      </c>
      <c r="S116" s="204"/>
      <c r="T116" s="219"/>
      <c r="U116" s="205"/>
      <c r="V116" s="205"/>
      <c r="W116" s="205"/>
      <c r="X116" s="205"/>
      <c r="Y116" s="205"/>
      <c r="Z116" s="205"/>
      <c r="AA116" s="206"/>
      <c r="AB116" s="206"/>
      <c r="AK116" s="205"/>
      <c r="AL116" s="206"/>
    </row>
    <row r="117" spans="2:38" x14ac:dyDescent="0.2">
      <c r="B117" s="6" t="str">
        <f t="shared" si="12"/>
        <v>SISTEMA MANIFOLDTANK SIZE 8LFK-5-1-121-25</v>
      </c>
      <c r="C117" s="6" t="str">
        <f t="shared" si="14"/>
        <v>TANK SIZE 8L</v>
      </c>
      <c r="E117" s="213"/>
      <c r="F117" s="198">
        <f t="shared" si="15"/>
        <v>25</v>
      </c>
      <c r="G117" s="198" t="str">
        <f>IFERROR(VLOOKUP($B117,'BDD_SISTEMAS- MANIFOLD'!$B:$M,'COT AGENTES'!G$18,0),"")</f>
        <v/>
      </c>
      <c r="H117" s="199" t="str">
        <f>IFERROR(VLOOKUP($B117,'BDD_SISTEMAS- MANIFOLD'!$B:$M,'COT AGENTES'!H$18,0),"")</f>
        <v/>
      </c>
      <c r="I117" s="200" t="str">
        <f>IFERROR(VLOOKUP($B117,'BDD_SISTEMAS- MANIFOLD'!$B:$M,'COT AGENTES'!I$18,0),"")</f>
        <v/>
      </c>
      <c r="J117" s="198" t="str">
        <f>IFERROR(VLOOKUP($B117,'BDD_SISTEMAS- MANIFOLD'!$B:$M,'COT AGENTES'!J$18,0),"")</f>
        <v/>
      </c>
      <c r="K117" s="201" t="str">
        <f>IFERROR(VLOOKUP($B117,'BDD_SISTEMAS- MANIFOLD'!$B:$M,'COT AGENTES'!K$18,0),"")</f>
        <v/>
      </c>
      <c r="L117" s="18"/>
      <c r="M117" s="112" t="str">
        <f>IFERROR(VLOOKUP(B117,'BDD_SISTEMAS- MANIFOLD'!B96:N1333,13,0),"")</f>
        <v/>
      </c>
      <c r="N117" s="202" t="str">
        <f t="shared" si="13"/>
        <v/>
      </c>
      <c r="O117" s="203" t="str">
        <f>IFERROR(VLOOKUP(H117,[1]STOCK!$A:$B,4,0),"")</f>
        <v/>
      </c>
      <c r="S117" s="204"/>
      <c r="T117" s="219"/>
      <c r="U117" s="205"/>
      <c r="V117" s="205"/>
      <c r="W117" s="205"/>
      <c r="X117" s="205"/>
      <c r="Y117" s="205"/>
      <c r="Z117" s="205"/>
      <c r="AA117" s="206"/>
      <c r="AB117" s="206"/>
      <c r="AK117" s="205"/>
      <c r="AL117" s="206"/>
    </row>
    <row r="118" spans="2:38" x14ac:dyDescent="0.2">
      <c r="M118" s="29"/>
      <c r="N118" s="29"/>
      <c r="O118" s="161"/>
      <c r="S118" s="204"/>
      <c r="T118" s="219"/>
      <c r="U118" s="205"/>
      <c r="V118" s="205"/>
      <c r="W118" s="205"/>
      <c r="X118" s="205"/>
      <c r="Y118" s="205"/>
      <c r="Z118" s="205"/>
      <c r="AA118" s="206"/>
      <c r="AB118" s="206"/>
      <c r="AK118" s="205"/>
      <c r="AL118" s="206"/>
    </row>
    <row r="119" spans="2:38" x14ac:dyDescent="0.2">
      <c r="G119" s="176"/>
      <c r="H119" s="177" t="str">
        <f>" CILINDRO RESPALDO / "&amp;$H$16&amp;" "&amp;$H$14&amp;"   Dimensiones: "&amp;$M$3&amp;" x "&amp;$M$4&amp;" x "&amp;$M$5&amp;" m.   "&amp;"Piso Falso: "&amp;$M$6&amp;" m.   "&amp;"Cielo Falso: "&amp;$M$7&amp;" m.   "&amp;"Volumen: "&amp;$M$10&amp;" m3."</f>
        <v xml:space="preserve"> CILINDRO RESPALDO /  AAA   Dimensiones: 1 x 1 x 1 m.   Piso Falso:  m.   Cielo Falso:  m.   Volumen: 1 m3.</v>
      </c>
      <c r="I119" s="178"/>
      <c r="J119" s="179"/>
      <c r="K119" s="179"/>
      <c r="L119" s="178"/>
      <c r="M119" s="214" t="str">
        <f>$H$4</f>
        <v>FK-5-1-12</v>
      </c>
      <c r="N119" s="215" t="s">
        <v>259</v>
      </c>
      <c r="S119" s="204"/>
      <c r="T119" s="219"/>
      <c r="U119" s="205"/>
      <c r="V119" s="205"/>
      <c r="W119" s="205"/>
      <c r="X119" s="205"/>
      <c r="Y119" s="205"/>
      <c r="Z119" s="205"/>
      <c r="AA119" s="206"/>
      <c r="AB119" s="206"/>
      <c r="AK119" s="205"/>
      <c r="AL119" s="206"/>
    </row>
    <row r="120" spans="2:38" x14ac:dyDescent="0.2">
      <c r="G120" s="183"/>
      <c r="H120" s="184" t="str">
        <f>"Agente Limpio: "&amp;$H$4&amp;"     Concentración:  "&amp;$J$1&amp;"%     Temperatura: "&amp;"Min: "&amp;$O$4&amp;"°C "&amp;"Max: "&amp;$O$6&amp;"°C     Altura Geográfica: "&amp;$H$10&amp;" msnm."</f>
        <v>Agente Limpio: FK-5-1-12     Concentración:  4,52%     Temperatura: Min: 18°C Max: 27°C     Altura Geográfica: 1 msnm.</v>
      </c>
      <c r="I120" s="185"/>
      <c r="J120" s="186"/>
      <c r="K120" s="186"/>
      <c r="L120" s="185"/>
      <c r="M120" s="188">
        <f>$M$16</f>
        <v>9.5238095238095233E-2</v>
      </c>
      <c r="N120" s="189">
        <f>SUM(N122:N129)</f>
        <v>7</v>
      </c>
      <c r="S120" s="204"/>
      <c r="T120" s="219"/>
      <c r="U120" s="205"/>
      <c r="V120" s="205"/>
      <c r="W120" s="205"/>
      <c r="X120" s="205"/>
      <c r="Y120" s="205"/>
      <c r="Z120" s="205"/>
      <c r="AA120" s="206"/>
      <c r="AB120" s="206"/>
      <c r="AK120" s="205"/>
      <c r="AL120" s="206"/>
    </row>
    <row r="121" spans="2:38" x14ac:dyDescent="0.2">
      <c r="B121" s="6" t="s">
        <v>116</v>
      </c>
      <c r="E121" s="192" t="s">
        <v>264</v>
      </c>
      <c r="F121" s="110" t="s">
        <v>5</v>
      </c>
      <c r="G121" s="104" t="s">
        <v>6</v>
      </c>
      <c r="H121" s="104" t="s">
        <v>7</v>
      </c>
      <c r="I121" s="110" t="s">
        <v>12</v>
      </c>
      <c r="J121" s="110" t="s">
        <v>9</v>
      </c>
      <c r="K121" s="110" t="s">
        <v>10</v>
      </c>
      <c r="L121" s="110" t="s">
        <v>11</v>
      </c>
      <c r="M121" s="216" t="s">
        <v>261</v>
      </c>
      <c r="N121" s="216" t="s">
        <v>262</v>
      </c>
      <c r="O121" s="220" t="s">
        <v>263</v>
      </c>
      <c r="S121" s="204"/>
      <c r="T121" s="219"/>
      <c r="U121" s="205"/>
      <c r="V121" s="205"/>
      <c r="W121" s="205"/>
      <c r="X121" s="205"/>
      <c r="Y121" s="205"/>
      <c r="Z121" s="205"/>
      <c r="AA121" s="206"/>
      <c r="AB121" s="206"/>
      <c r="AK121" s="205"/>
      <c r="AL121" s="206"/>
    </row>
    <row r="122" spans="2:38" x14ac:dyDescent="0.2">
      <c r="B122" s="6" t="str">
        <f t="shared" ref="B122:B129" si="16">$B$121&amp;C122&amp;$H$4&amp;$H$3&amp;"-"&amp;F122</f>
        <v>RESERVATANK SIZE 8LFK-5-1-121-1</v>
      </c>
      <c r="C122" s="6" t="str">
        <f>C117</f>
        <v>TANK SIZE 8L</v>
      </c>
      <c r="E122" s="197"/>
      <c r="F122" s="198">
        <v>1</v>
      </c>
      <c r="G122" s="198" t="str">
        <f>IFERROR(VLOOKUP($B122,'BDD_SISTEMAS- MANIFOLD'!$B:$M,'COT AGENTES'!G$18,0),"")</f>
        <v>ANSUL</v>
      </c>
      <c r="H122" s="199" t="str">
        <f>IFERROR(VLOOKUP($B122,'BDD_SISTEMAS- MANIFOLD'!$B:$M,'COT AGENTES'!H$18,0),"")</f>
        <v>AGLIMP-RECARGA-00</v>
      </c>
      <c r="I122" s="200" t="str">
        <f>IFERROR(VLOOKUP($B122,'BDD_SISTEMAS- MANIFOLD'!$B:$M,'COT AGENTES'!I$18,0),"")</f>
        <v>SERVICIO DE CARGA DE AGENTE 8L</v>
      </c>
      <c r="J122" s="198" t="str">
        <f>IFERROR(VLOOKUP($B122,'BDD_SISTEMAS- MANIFOLD'!$B:$M,'COT AGENTES'!J$18,0),"")</f>
        <v>c/u.</v>
      </c>
      <c r="K122" s="201">
        <f>IFERROR(VLOOKUP($B122,'BDD_SISTEMAS- MANIFOLD'!$B:$M,'COT AGENTES'!K$18,0),"")</f>
        <v>1</v>
      </c>
      <c r="L122" s="18"/>
      <c r="M122" s="112">
        <f>IFERROR(VLOOKUP(B122,'BDD_SISTEMAS- MANIFOLD'!B101:N1338,13,0),"")</f>
        <v>1</v>
      </c>
      <c r="N122" s="202">
        <f t="shared" ref="N122:N129" si="17">IFERROR((M122*K122),"")</f>
        <v>1</v>
      </c>
      <c r="O122" s="218" t="str">
        <f>IFERROR(VLOOKUP(H122,[1]STOCK!$A:$B,4,0),"")</f>
        <v/>
      </c>
      <c r="S122" s="204"/>
      <c r="T122" s="219"/>
      <c r="U122" s="205"/>
      <c r="V122" s="205"/>
      <c r="W122" s="205"/>
      <c r="X122" s="205"/>
      <c r="Y122" s="205"/>
      <c r="Z122" s="205"/>
      <c r="AA122" s="206"/>
      <c r="AB122" s="206"/>
      <c r="AK122" s="205"/>
      <c r="AL122" s="206"/>
    </row>
    <row r="123" spans="2:38" x14ac:dyDescent="0.2">
      <c r="B123" s="6" t="str">
        <f t="shared" si="16"/>
        <v>RESERVATANK SIZE 8LFK-5-1-121-2</v>
      </c>
      <c r="C123" s="6" t="str">
        <f t="shared" ref="C123:C129" si="18">C122</f>
        <v>TANK SIZE 8L</v>
      </c>
      <c r="E123" s="197"/>
      <c r="F123" s="198">
        <f t="shared" ref="F123:F129" si="19">+F122+1</f>
        <v>2</v>
      </c>
      <c r="G123" s="198" t="str">
        <f>IFERROR(VLOOKUP($B123,'BDD_SISTEMAS- MANIFOLD'!$B:$M,'COT AGENTES'!G$18,0),"")</f>
        <v>ANSUL</v>
      </c>
      <c r="H123" s="199">
        <f>IFERROR(VLOOKUP($B123,'BDD_SISTEMAS- MANIFOLD'!$B:$M,'COT AGENTES'!H$18,0),"")</f>
        <v>445732</v>
      </c>
      <c r="I123" s="200" t="str">
        <f>IFERROR(VLOOKUP($B123,'BDD_SISTEMAS- MANIFOLD'!$B:$M,'COT AGENTES'!I$18,0),"")</f>
        <v>TANK SIZE 8L, Fill: 9-21 lb.</v>
      </c>
      <c r="J123" s="198" t="str">
        <f>IFERROR(VLOOKUP($B123,'BDD_SISTEMAS- MANIFOLD'!$B:$M,'COT AGENTES'!J$18,0),"")</f>
        <v>c/u.</v>
      </c>
      <c r="K123" s="201">
        <f>IFERROR(VLOOKUP($B123,'BDD_SISTEMAS- MANIFOLD'!$B:$M,'COT AGENTES'!K$18,0),"")</f>
        <v>1</v>
      </c>
      <c r="L123" s="18"/>
      <c r="M123" s="112">
        <f>IFERROR(VLOOKUP(B123,'BDD_SISTEMAS- MANIFOLD'!B102:N1339,13,0),"")</f>
        <v>1</v>
      </c>
      <c r="N123" s="202">
        <f t="shared" si="17"/>
        <v>1</v>
      </c>
      <c r="O123" s="218" t="str">
        <f>IFERROR(VLOOKUP(H123,[1]STOCK!$A:$B,4,0),"")</f>
        <v/>
      </c>
      <c r="S123" s="204"/>
      <c r="T123" s="219"/>
      <c r="U123" s="205"/>
      <c r="V123" s="205"/>
      <c r="W123" s="205"/>
      <c r="X123" s="205"/>
      <c r="Y123" s="205"/>
      <c r="Z123" s="205"/>
      <c r="AA123" s="206"/>
      <c r="AB123" s="206"/>
      <c r="AK123" s="205"/>
      <c r="AL123" s="206"/>
    </row>
    <row r="124" spans="2:38" x14ac:dyDescent="0.2">
      <c r="B124" s="6" t="str">
        <f t="shared" si="16"/>
        <v>RESERVATANK SIZE 8LFK-5-1-121-3</v>
      </c>
      <c r="C124" s="6" t="str">
        <f t="shared" si="18"/>
        <v>TANK SIZE 8L</v>
      </c>
      <c r="E124" s="197"/>
      <c r="F124" s="198">
        <f t="shared" si="19"/>
        <v>3</v>
      </c>
      <c r="G124" s="198" t="str">
        <f>IFERROR(VLOOKUP($B124,'BDD_SISTEMAS- MANIFOLD'!$B:$M,'COT AGENTES'!G$18,0),"")</f>
        <v>ANSUL</v>
      </c>
      <c r="H124" s="199" t="str">
        <f>IFERROR(VLOOKUP($B124,'BDD_SISTEMAS- MANIFOLD'!$B:$M,'COT AGENTES'!H$18,0),"")</f>
        <v>FK-5-1-12</v>
      </c>
      <c r="I124" s="200" t="str">
        <f>IFERROR(VLOOKUP($B124,'BDD_SISTEMAS- MANIFOLD'!$B:$M,'COT AGENTES'!I$18,0),"")</f>
        <v>FK-5-1-12  FLUID FACTORY FILL PER L</v>
      </c>
      <c r="J124" s="198" t="str">
        <f>IFERROR(VLOOKUP($B124,'BDD_SISTEMAS- MANIFOLD'!$B:$M,'COT AGENTES'!J$18,0),"")</f>
        <v>c/u.</v>
      </c>
      <c r="K124" s="201">
        <f>IFERROR(VLOOKUP($B124,'BDD_SISTEMAS- MANIFOLD'!$B:$M,'COT AGENTES'!K$18,0),"")</f>
        <v>2</v>
      </c>
      <c r="L124" s="18"/>
      <c r="M124" s="112">
        <f>IFERROR(VLOOKUP(B124,'BDD_SISTEMAS- MANIFOLD'!B103:N1340,13,0),"")</f>
        <v>1</v>
      </c>
      <c r="N124" s="202">
        <f t="shared" si="17"/>
        <v>2</v>
      </c>
      <c r="O124" s="218" t="str">
        <f>IFERROR(VLOOKUP(H124,[1]STOCK!$A:$B,4,0),"")</f>
        <v/>
      </c>
      <c r="S124" s="204"/>
      <c r="T124" s="219"/>
      <c r="U124" s="205"/>
      <c r="V124" s="205"/>
      <c r="W124" s="205"/>
      <c r="X124" s="205"/>
      <c r="Y124" s="205"/>
      <c r="Z124" s="205"/>
      <c r="AA124" s="206"/>
      <c r="AB124" s="206"/>
      <c r="AK124" s="205"/>
      <c r="AL124" s="206"/>
    </row>
    <row r="125" spans="2:38" x14ac:dyDescent="0.2">
      <c r="B125" s="6" t="str">
        <f t="shared" si="16"/>
        <v>RESERVATANK SIZE 8LFK-5-1-121-4</v>
      </c>
      <c r="C125" s="6" t="str">
        <f t="shared" si="18"/>
        <v>TANK SIZE 8L</v>
      </c>
      <c r="E125" s="197"/>
      <c r="F125" s="198">
        <f t="shared" si="19"/>
        <v>4</v>
      </c>
      <c r="G125" s="198" t="str">
        <f>IFERROR(VLOOKUP($B125,'BDD_SISTEMAS- MANIFOLD'!$B:$M,'COT AGENTES'!G$18,0),"")</f>
        <v>ANSUL</v>
      </c>
      <c r="H125" s="199">
        <f>IFERROR(VLOOKUP($B125,'BDD_SISTEMAS- MANIFOLD'!$B:$M,'COT AGENTES'!H$18,0),"")</f>
        <v>302207021</v>
      </c>
      <c r="I125" s="200" t="str">
        <f>IFERROR(VLOOKUP($B125,'BDD_SISTEMAS- MANIFOLD'!$B:$M,'COT AGENTES'!I$18,0),"")</f>
        <v>Pressure Gauge, FK-5-1-12</v>
      </c>
      <c r="J125" s="198" t="str">
        <f>IFERROR(VLOOKUP($B125,'BDD_SISTEMAS- MANIFOLD'!$B:$M,'COT AGENTES'!J$18,0),"")</f>
        <v>c/u.</v>
      </c>
      <c r="K125" s="201">
        <f>IFERROR(VLOOKUP($B125,'BDD_SISTEMAS- MANIFOLD'!$B:$M,'COT AGENTES'!K$18,0),"")</f>
        <v>1</v>
      </c>
      <c r="L125" s="18"/>
      <c r="M125" s="112">
        <f>IFERROR(VLOOKUP(B125,'BDD_SISTEMAS- MANIFOLD'!B104:N1341,13,0),"")</f>
        <v>1</v>
      </c>
      <c r="N125" s="202">
        <f t="shared" si="17"/>
        <v>1</v>
      </c>
      <c r="O125" s="218" t="str">
        <f>IFERROR(VLOOKUP(H125,[1]STOCK!$A:$B,4,0),"")</f>
        <v/>
      </c>
      <c r="S125" s="204"/>
      <c r="T125" s="219"/>
      <c r="U125" s="205"/>
      <c r="V125" s="205"/>
      <c r="W125" s="205"/>
      <c r="X125" s="205"/>
      <c r="Y125" s="205"/>
      <c r="Z125" s="205"/>
      <c r="AA125" s="206"/>
      <c r="AB125" s="206"/>
      <c r="AK125" s="205"/>
      <c r="AL125" s="206"/>
    </row>
    <row r="126" spans="2:38" x14ac:dyDescent="0.2">
      <c r="B126" s="6" t="str">
        <f t="shared" si="16"/>
        <v>RESERVATANK SIZE 8LFK-5-1-121-5</v>
      </c>
      <c r="C126" s="6" t="str">
        <f t="shared" si="18"/>
        <v>TANK SIZE 8L</v>
      </c>
      <c r="E126" s="197"/>
      <c r="F126" s="198">
        <f t="shared" si="19"/>
        <v>5</v>
      </c>
      <c r="G126" s="198" t="str">
        <f>IFERROR(VLOOKUP($B126,'BDD_SISTEMAS- MANIFOLD'!$B:$M,'COT AGENTES'!G$18,0),"")</f>
        <v>ANSUL</v>
      </c>
      <c r="H126" s="199">
        <f>IFERROR(VLOOKUP($B126,'BDD_SISTEMAS- MANIFOLD'!$B:$M,'COT AGENTES'!H$18,0),"")</f>
        <v>314207207</v>
      </c>
      <c r="I126" s="200" t="str">
        <f>IFERROR(VLOOKUP($B126,'BDD_SISTEMAS- MANIFOLD'!$B:$M,'COT AGENTES'!I$18,0),"")</f>
        <v>SAPPHIRE Label 8/16/52L UL/FM</v>
      </c>
      <c r="J126" s="198" t="str">
        <f>IFERROR(VLOOKUP($B126,'BDD_SISTEMAS- MANIFOLD'!$B:$M,'COT AGENTES'!J$18,0),"")</f>
        <v>c/u.</v>
      </c>
      <c r="K126" s="201">
        <f>IFERROR(VLOOKUP($B126,'BDD_SISTEMAS- MANIFOLD'!$B:$M,'COT AGENTES'!K$18,0),"")</f>
        <v>1</v>
      </c>
      <c r="L126" s="18"/>
      <c r="M126" s="112">
        <f>IFERROR(VLOOKUP(B126,'BDD_SISTEMAS- MANIFOLD'!B105:N1342,13,0),"")</f>
        <v>1</v>
      </c>
      <c r="N126" s="202">
        <f t="shared" si="17"/>
        <v>1</v>
      </c>
      <c r="O126" s="218" t="str">
        <f>IFERROR(VLOOKUP(H126,[1]STOCK!$A:$B,4,0),"")</f>
        <v/>
      </c>
      <c r="S126" s="204"/>
      <c r="T126" s="219"/>
      <c r="U126" s="205"/>
      <c r="V126" s="205"/>
      <c r="W126" s="205"/>
      <c r="X126" s="205"/>
      <c r="Y126" s="205"/>
      <c r="Z126" s="205"/>
      <c r="AA126" s="206"/>
      <c r="AB126" s="206"/>
      <c r="AK126" s="205"/>
      <c r="AL126" s="206"/>
    </row>
    <row r="127" spans="2:38" x14ac:dyDescent="0.2">
      <c r="B127" s="6" t="str">
        <f t="shared" si="16"/>
        <v>RESERVATANK SIZE 8LFK-5-1-121-6</v>
      </c>
      <c r="C127" s="6" t="str">
        <f t="shared" si="18"/>
        <v>TANK SIZE 8L</v>
      </c>
      <c r="E127" s="197"/>
      <c r="F127" s="198">
        <f t="shared" si="19"/>
        <v>6</v>
      </c>
      <c r="G127" s="198" t="str">
        <f>IFERROR(VLOOKUP($B127,'BDD_SISTEMAS- MANIFOLD'!$B:$M,'COT AGENTES'!G$18,0),"")</f>
        <v>ANSUL</v>
      </c>
      <c r="H127" s="199">
        <f>IFERROR(VLOOKUP($B127,'BDD_SISTEMAS- MANIFOLD'!$B:$M,'COT AGENTES'!H$18,0),"")</f>
        <v>570585</v>
      </c>
      <c r="I127" s="200" t="str">
        <f>IFERROR(VLOOKUP($B127,'BDD_SISTEMAS- MANIFOLD'!$B:$M,'COT AGENTES'!I$18,0),"")</f>
        <v>Cylinder Low Pressure Switch</v>
      </c>
      <c r="J127" s="198" t="str">
        <f>IFERROR(VLOOKUP($B127,'BDD_SISTEMAS- MANIFOLD'!$B:$M,'COT AGENTES'!J$18,0),"")</f>
        <v>c/u.</v>
      </c>
      <c r="K127" s="201">
        <f>IFERROR(VLOOKUP($B127,'BDD_SISTEMAS- MANIFOLD'!$B:$M,'COT AGENTES'!K$18,0),"")</f>
        <v>1</v>
      </c>
      <c r="L127" s="18"/>
      <c r="M127" s="112">
        <f>IFERROR(VLOOKUP(B127,'BDD_SISTEMAS- MANIFOLD'!B106:N1343,13,0),"")</f>
        <v>1</v>
      </c>
      <c r="N127" s="202">
        <f t="shared" si="17"/>
        <v>1</v>
      </c>
      <c r="O127" s="218" t="str">
        <f>IFERROR(VLOOKUP(H127,[1]STOCK!$A:$B,4,0),"")</f>
        <v/>
      </c>
      <c r="S127" s="204"/>
      <c r="T127" s="219"/>
      <c r="U127" s="205"/>
      <c r="V127" s="205"/>
      <c r="W127" s="205"/>
      <c r="X127" s="205"/>
      <c r="Y127" s="205"/>
      <c r="Z127" s="205"/>
      <c r="AA127" s="206"/>
      <c r="AB127" s="206"/>
      <c r="AK127" s="205"/>
      <c r="AL127" s="206"/>
    </row>
    <row r="128" spans="2:38" x14ac:dyDescent="0.2">
      <c r="B128" s="6" t="str">
        <f t="shared" si="16"/>
        <v>RESERVATANK SIZE 8LFK-5-1-121-7</v>
      </c>
      <c r="C128" s="6" t="str">
        <f t="shared" si="18"/>
        <v>TANK SIZE 8L</v>
      </c>
      <c r="E128" s="197"/>
      <c r="F128" s="198">
        <f t="shared" si="19"/>
        <v>7</v>
      </c>
      <c r="G128" s="198" t="str">
        <f>IFERROR(VLOOKUP($B128,'BDD_SISTEMAS- MANIFOLD'!$B:$M,'COT AGENTES'!G$18,0),"")</f>
        <v/>
      </c>
      <c r="H128" s="199" t="str">
        <f>IFERROR(VLOOKUP($B128,'BDD_SISTEMAS- MANIFOLD'!$B:$M,'COT AGENTES'!H$18,0),"")</f>
        <v/>
      </c>
      <c r="I128" s="200" t="str">
        <f>IFERROR(VLOOKUP($B128,'BDD_SISTEMAS- MANIFOLD'!$B:$M,'COT AGENTES'!I$18,0),"")</f>
        <v/>
      </c>
      <c r="J128" s="198" t="str">
        <f>IFERROR(VLOOKUP($B128,'BDD_SISTEMAS- MANIFOLD'!$B:$M,'COT AGENTES'!J$18,0),"")</f>
        <v/>
      </c>
      <c r="K128" s="201" t="str">
        <f>IFERROR(VLOOKUP($B128,'BDD_SISTEMAS- MANIFOLD'!$B:$M,'COT AGENTES'!K$18,0),"")</f>
        <v/>
      </c>
      <c r="L128" s="18"/>
      <c r="M128" s="112" t="str">
        <f>IFERROR(VLOOKUP(B128,'BDD_SISTEMAS- MANIFOLD'!B107:N1344,13,0),"")</f>
        <v/>
      </c>
      <c r="N128" s="202" t="str">
        <f t="shared" si="17"/>
        <v/>
      </c>
      <c r="O128" s="218" t="str">
        <f>IFERROR(VLOOKUP(H128,[1]STOCK!$A:$B,4,0),"")</f>
        <v/>
      </c>
      <c r="S128" s="204"/>
      <c r="T128" s="219"/>
      <c r="U128" s="205"/>
      <c r="V128" s="205"/>
      <c r="W128" s="205"/>
      <c r="X128" s="205"/>
      <c r="Y128" s="205"/>
      <c r="Z128" s="205"/>
      <c r="AA128" s="206"/>
      <c r="AB128" s="206"/>
      <c r="AJ128" s="205"/>
      <c r="AK128" s="206"/>
    </row>
    <row r="129" spans="2:37" x14ac:dyDescent="0.2">
      <c r="B129" s="6" t="str">
        <f t="shared" si="16"/>
        <v>RESERVATANK SIZE 8LFK-5-1-121-8</v>
      </c>
      <c r="C129" s="6" t="str">
        <f t="shared" si="18"/>
        <v>TANK SIZE 8L</v>
      </c>
      <c r="E129" s="213"/>
      <c r="F129" s="198">
        <f t="shared" si="19"/>
        <v>8</v>
      </c>
      <c r="G129" s="198" t="str">
        <f>IFERROR(VLOOKUP($B129,'BDD_SISTEMAS- MANIFOLD'!$B:$M,'COT AGENTES'!G$18,0),"")</f>
        <v/>
      </c>
      <c r="H129" s="199" t="str">
        <f>IFERROR(VLOOKUP($B129,'BDD_SISTEMAS- MANIFOLD'!$B:$M,'COT AGENTES'!H$18,0),"")</f>
        <v/>
      </c>
      <c r="I129" s="200" t="str">
        <f>IFERROR(VLOOKUP($B129,'BDD_SISTEMAS- MANIFOLD'!$B:$M,'COT AGENTES'!I$18,0),"")</f>
        <v/>
      </c>
      <c r="J129" s="198" t="str">
        <f>IFERROR(VLOOKUP($B129,'BDD_SISTEMAS- MANIFOLD'!$B:$M,'COT AGENTES'!J$18,0),"")</f>
        <v/>
      </c>
      <c r="K129" s="201" t="str">
        <f>IFERROR(VLOOKUP($B129,'BDD_SISTEMAS- MANIFOLD'!$B:$M,'COT AGENTES'!K$18,0),"")</f>
        <v/>
      </c>
      <c r="L129" s="18"/>
      <c r="M129" s="112" t="str">
        <f>IFERROR(VLOOKUP(B129,'BDD_SISTEMAS- MANIFOLD'!B108:N1345,13,0),"")</f>
        <v/>
      </c>
      <c r="N129" s="202" t="str">
        <f t="shared" si="17"/>
        <v/>
      </c>
      <c r="O129" s="218" t="str">
        <f>IFERROR(VLOOKUP(H129,[1]STOCK!$A:$B,4,0),"")</f>
        <v/>
      </c>
      <c r="S129" s="204"/>
      <c r="T129" s="219"/>
      <c r="U129" s="205"/>
      <c r="V129" s="205"/>
      <c r="W129" s="205"/>
      <c r="X129" s="205"/>
      <c r="Y129" s="205"/>
      <c r="Z129" s="205"/>
      <c r="AA129" s="206"/>
      <c r="AB129" s="206"/>
      <c r="AJ129" s="205"/>
      <c r="AK129" s="206"/>
    </row>
    <row r="130" spans="2:37" x14ac:dyDescent="0.2">
      <c r="M130" s="29"/>
      <c r="N130" s="29"/>
      <c r="O130" s="8"/>
      <c r="S130" s="204"/>
      <c r="T130" s="219"/>
      <c r="U130" s="205"/>
      <c r="V130" s="205"/>
      <c r="W130" s="205"/>
      <c r="X130" s="205"/>
      <c r="Y130" s="205"/>
      <c r="Z130" s="205"/>
      <c r="AA130" s="206"/>
      <c r="AB130" s="206"/>
      <c r="AJ130" s="205"/>
      <c r="AK130" s="206"/>
    </row>
    <row r="131" spans="2:37" x14ac:dyDescent="0.2">
      <c r="M131" s="29"/>
      <c r="N131" s="29"/>
      <c r="S131" s="204"/>
      <c r="T131" s="219"/>
      <c r="U131" s="205"/>
      <c r="V131" s="205"/>
      <c r="W131" s="205"/>
      <c r="X131" s="205"/>
      <c r="Y131" s="205"/>
      <c r="Z131" s="205"/>
      <c r="AA131" s="206"/>
      <c r="AB131" s="206"/>
      <c r="AJ131" s="205"/>
      <c r="AK131" s="206"/>
    </row>
    <row r="132" spans="2:37" x14ac:dyDescent="0.2">
      <c r="M132" s="29"/>
      <c r="N132" s="29"/>
      <c r="S132" s="204"/>
      <c r="T132" s="219"/>
      <c r="U132" s="205"/>
      <c r="V132" s="205"/>
      <c r="W132" s="205"/>
      <c r="X132" s="205"/>
      <c r="Y132" s="205"/>
      <c r="Z132" s="205"/>
      <c r="AA132" s="206"/>
      <c r="AB132" s="206"/>
      <c r="AJ132" s="205"/>
      <c r="AK132" s="206"/>
    </row>
    <row r="133" spans="2:37" x14ac:dyDescent="0.2">
      <c r="M133" s="29"/>
      <c r="N133" s="29"/>
      <c r="S133" s="204"/>
      <c r="T133" s="219"/>
      <c r="U133" s="205"/>
      <c r="V133" s="205"/>
      <c r="W133" s="205"/>
      <c r="X133" s="205"/>
      <c r="Y133" s="205"/>
      <c r="Z133" s="205"/>
      <c r="AA133" s="206"/>
      <c r="AB133" s="206"/>
      <c r="AJ133" s="205"/>
      <c r="AK133" s="206"/>
    </row>
    <row r="134" spans="2:37" x14ac:dyDescent="0.2">
      <c r="M134" s="29"/>
      <c r="N134" s="29"/>
      <c r="S134" s="204"/>
      <c r="T134" s="219"/>
      <c r="U134" s="205"/>
      <c r="V134" s="205"/>
      <c r="W134" s="205"/>
      <c r="X134" s="205"/>
      <c r="Y134" s="205"/>
      <c r="Z134" s="205"/>
      <c r="AA134" s="206"/>
      <c r="AB134" s="206"/>
      <c r="AJ134" s="205"/>
      <c r="AK134" s="206"/>
    </row>
    <row r="135" spans="2:37" x14ac:dyDescent="0.2">
      <c r="M135" s="29"/>
      <c r="N135" s="29"/>
      <c r="S135" s="204"/>
      <c r="T135" s="219"/>
      <c r="U135" s="205"/>
      <c r="V135" s="205"/>
      <c r="W135" s="205"/>
      <c r="X135" s="205"/>
      <c r="Y135" s="205"/>
      <c r="Z135" s="205"/>
      <c r="AA135" s="206"/>
      <c r="AB135" s="206"/>
      <c r="AJ135" s="205"/>
      <c r="AK135" s="206"/>
    </row>
    <row r="136" spans="2:37" x14ac:dyDescent="0.2">
      <c r="M136" s="29"/>
      <c r="N136" s="29"/>
      <c r="S136" s="204"/>
      <c r="T136" s="219"/>
      <c r="U136" s="205"/>
      <c r="V136" s="205"/>
      <c r="W136" s="205"/>
      <c r="X136" s="205"/>
      <c r="Y136" s="205"/>
      <c r="Z136" s="205"/>
      <c r="AA136" s="206"/>
      <c r="AB136" s="206"/>
      <c r="AJ136" s="205"/>
      <c r="AK136" s="206"/>
    </row>
    <row r="137" spans="2:37" x14ac:dyDescent="0.2">
      <c r="M137" s="29"/>
      <c r="N137" s="29"/>
      <c r="S137" s="204"/>
      <c r="T137" s="219"/>
      <c r="U137" s="205"/>
      <c r="V137" s="205"/>
      <c r="W137" s="205"/>
      <c r="X137" s="205"/>
      <c r="Y137" s="205"/>
      <c r="Z137" s="205"/>
      <c r="AA137" s="206"/>
      <c r="AB137" s="206"/>
      <c r="AJ137" s="205"/>
      <c r="AK137" s="206"/>
    </row>
    <row r="138" spans="2:37" x14ac:dyDescent="0.2">
      <c r="M138" s="29"/>
      <c r="N138" s="29"/>
      <c r="S138" s="204"/>
      <c r="T138" s="219"/>
      <c r="U138" s="205"/>
      <c r="V138" s="205"/>
      <c r="W138" s="205"/>
      <c r="X138" s="205"/>
      <c r="Y138" s="205"/>
      <c r="Z138" s="205"/>
      <c r="AA138" s="206"/>
      <c r="AB138" s="206"/>
      <c r="AJ138" s="205"/>
      <c r="AK138" s="206"/>
    </row>
    <row r="139" spans="2:37" x14ac:dyDescent="0.2">
      <c r="S139" s="204"/>
      <c r="T139" s="219"/>
      <c r="U139" s="205"/>
      <c r="V139" s="205"/>
      <c r="W139" s="205"/>
      <c r="X139" s="205"/>
      <c r="Y139" s="205"/>
      <c r="Z139" s="205"/>
      <c r="AA139" s="206"/>
      <c r="AB139" s="206"/>
      <c r="AJ139" s="205"/>
      <c r="AK139" s="206"/>
    </row>
    <row r="140" spans="2:37" x14ac:dyDescent="0.2">
      <c r="S140" s="204"/>
      <c r="T140" s="219"/>
      <c r="U140" s="205"/>
      <c r="V140" s="205"/>
      <c r="W140" s="205"/>
      <c r="X140" s="205"/>
      <c r="Y140" s="205"/>
      <c r="Z140" s="205"/>
      <c r="AA140" s="206"/>
      <c r="AB140" s="206"/>
      <c r="AJ140" s="205"/>
      <c r="AK140" s="206"/>
    </row>
    <row r="141" spans="2:37" x14ac:dyDescent="0.2">
      <c r="S141" s="204"/>
      <c r="T141" s="219"/>
      <c r="U141" s="205"/>
      <c r="V141" s="205"/>
      <c r="W141" s="205"/>
      <c r="X141" s="205"/>
      <c r="Y141" s="205"/>
      <c r="Z141" s="205"/>
      <c r="AA141" s="206"/>
      <c r="AB141" s="206"/>
      <c r="AJ141" s="205"/>
      <c r="AK141" s="206"/>
    </row>
    <row r="142" spans="2:37" x14ac:dyDescent="0.2">
      <c r="S142" s="204"/>
      <c r="T142" s="219"/>
      <c r="U142" s="205"/>
      <c r="V142" s="205"/>
      <c r="W142" s="205"/>
      <c r="X142" s="205"/>
      <c r="Y142" s="205"/>
      <c r="Z142" s="205"/>
      <c r="AA142" s="206"/>
      <c r="AB142" s="206"/>
      <c r="AJ142" s="205"/>
      <c r="AK142" s="206"/>
    </row>
    <row r="143" spans="2:37" x14ac:dyDescent="0.2">
      <c r="S143" s="204"/>
      <c r="T143" s="219"/>
      <c r="U143" s="205"/>
      <c r="V143" s="205"/>
      <c r="W143" s="205"/>
      <c r="X143" s="205"/>
      <c r="Y143" s="205"/>
      <c r="Z143" s="205"/>
      <c r="AA143" s="206"/>
      <c r="AB143" s="206"/>
      <c r="AJ143" s="205"/>
      <c r="AK143" s="206"/>
    </row>
    <row r="144" spans="2:37" x14ac:dyDescent="0.2">
      <c r="S144" s="204"/>
      <c r="T144" s="219"/>
      <c r="U144" s="205"/>
      <c r="V144" s="205"/>
      <c r="W144" s="205"/>
      <c r="X144" s="205"/>
      <c r="Y144" s="205"/>
      <c r="Z144" s="205"/>
      <c r="AA144" s="206"/>
      <c r="AB144" s="206"/>
      <c r="AJ144" s="205"/>
      <c r="AK144" s="206"/>
    </row>
    <row r="145" spans="19:37" x14ac:dyDescent="0.2">
      <c r="S145" s="204"/>
      <c r="T145" s="219"/>
      <c r="U145" s="205"/>
      <c r="V145" s="205"/>
      <c r="W145" s="205"/>
      <c r="X145" s="205"/>
      <c r="Y145" s="205"/>
      <c r="Z145" s="205"/>
      <c r="AA145" s="206"/>
      <c r="AB145" s="206"/>
      <c r="AJ145" s="205"/>
      <c r="AK145" s="206"/>
    </row>
    <row r="146" spans="19:37" x14ac:dyDescent="0.2">
      <c r="S146" s="204"/>
      <c r="T146" s="219"/>
      <c r="U146" s="205"/>
      <c r="V146" s="205"/>
      <c r="W146" s="205"/>
      <c r="X146" s="205"/>
      <c r="Y146" s="205"/>
      <c r="Z146" s="205"/>
      <c r="AA146" s="206"/>
      <c r="AB146" s="206"/>
      <c r="AJ146" s="205"/>
      <c r="AK146" s="206"/>
    </row>
    <row r="147" spans="19:37" x14ac:dyDescent="0.2">
      <c r="S147" s="204"/>
      <c r="T147" s="219"/>
      <c r="U147" s="205"/>
      <c r="V147" s="205"/>
      <c r="W147" s="205"/>
      <c r="X147" s="205"/>
      <c r="Y147" s="205"/>
      <c r="Z147" s="205"/>
      <c r="AA147" s="206"/>
      <c r="AB147" s="206"/>
      <c r="AJ147" s="205"/>
      <c r="AK147" s="206"/>
    </row>
    <row r="148" spans="19:37" x14ac:dyDescent="0.2">
      <c r="S148" s="204"/>
      <c r="T148" s="219"/>
      <c r="U148" s="205"/>
      <c r="V148" s="205"/>
      <c r="W148" s="205"/>
      <c r="X148" s="205"/>
      <c r="Y148" s="205"/>
      <c r="Z148" s="205"/>
      <c r="AA148" s="206"/>
      <c r="AB148" s="206"/>
      <c r="AJ148" s="205"/>
      <c r="AK148" s="206"/>
    </row>
    <row r="149" spans="19:37" x14ac:dyDescent="0.2">
      <c r="S149" s="204"/>
      <c r="T149" s="219"/>
      <c r="U149" s="205"/>
      <c r="V149" s="205"/>
      <c r="W149" s="205"/>
      <c r="X149" s="205"/>
      <c r="Y149" s="205"/>
      <c r="Z149" s="205"/>
      <c r="AA149" s="206"/>
      <c r="AB149" s="206"/>
      <c r="AJ149" s="205"/>
      <c r="AK149" s="206"/>
    </row>
    <row r="150" spans="19:37" x14ac:dyDescent="0.2">
      <c r="S150" s="204"/>
      <c r="T150" s="219"/>
      <c r="U150" s="205"/>
      <c r="V150" s="205"/>
      <c r="W150" s="205"/>
      <c r="X150" s="205"/>
      <c r="Y150" s="205"/>
      <c r="Z150" s="205"/>
      <c r="AA150" s="206"/>
      <c r="AB150" s="206"/>
      <c r="AJ150" s="205"/>
      <c r="AK150" s="206"/>
    </row>
    <row r="151" spans="19:37" x14ac:dyDescent="0.2">
      <c r="S151" s="204"/>
      <c r="T151" s="219"/>
      <c r="U151" s="205"/>
      <c r="V151" s="205"/>
      <c r="W151" s="205"/>
      <c r="X151" s="205"/>
      <c r="Y151" s="205"/>
      <c r="Z151" s="205"/>
      <c r="AA151" s="206"/>
      <c r="AB151" s="206"/>
      <c r="AJ151" s="205"/>
      <c r="AK151" s="206"/>
    </row>
    <row r="152" spans="19:37" x14ac:dyDescent="0.2">
      <c r="S152" s="204"/>
      <c r="T152" s="219"/>
      <c r="U152" s="205"/>
      <c r="V152" s="205"/>
      <c r="W152" s="205"/>
      <c r="X152" s="205"/>
      <c r="Y152" s="205"/>
      <c r="Z152" s="205"/>
      <c r="AA152" s="206"/>
      <c r="AB152" s="206"/>
      <c r="AJ152" s="205"/>
      <c r="AK152" s="206"/>
    </row>
    <row r="153" spans="19:37" x14ac:dyDescent="0.2">
      <c r="S153" s="204"/>
      <c r="T153" s="219"/>
      <c r="U153" s="205"/>
      <c r="V153" s="205"/>
      <c r="W153" s="205"/>
      <c r="X153" s="205"/>
      <c r="Y153" s="205"/>
      <c r="Z153" s="205"/>
      <c r="AA153" s="206"/>
      <c r="AB153" s="206"/>
      <c r="AJ153" s="205"/>
      <c r="AK153" s="206"/>
    </row>
    <row r="154" spans="19:37" x14ac:dyDescent="0.2">
      <c r="S154" s="204"/>
      <c r="T154" s="219"/>
      <c r="U154" s="205"/>
      <c r="V154" s="205"/>
      <c r="W154" s="205"/>
      <c r="X154" s="205"/>
      <c r="Y154" s="205"/>
      <c r="Z154" s="205"/>
      <c r="AA154" s="206"/>
      <c r="AB154" s="206"/>
      <c r="AJ154" s="205"/>
      <c r="AK154" s="206"/>
    </row>
    <row r="155" spans="19:37" x14ac:dyDescent="0.2">
      <c r="S155" s="204"/>
      <c r="T155" s="219"/>
      <c r="U155" s="205"/>
      <c r="V155" s="205"/>
      <c r="W155" s="205"/>
      <c r="X155" s="205"/>
      <c r="Y155" s="205"/>
      <c r="Z155" s="205"/>
      <c r="AA155" s="206"/>
      <c r="AB155" s="206"/>
      <c r="AJ155" s="205"/>
      <c r="AK155" s="206"/>
    </row>
    <row r="156" spans="19:37" x14ac:dyDescent="0.2">
      <c r="S156" s="204"/>
      <c r="T156" s="219"/>
      <c r="U156" s="205"/>
      <c r="V156" s="205"/>
      <c r="W156" s="205"/>
      <c r="X156" s="205"/>
      <c r="Y156" s="205"/>
      <c r="Z156" s="205"/>
      <c r="AA156" s="206"/>
      <c r="AB156" s="206"/>
      <c r="AJ156" s="205"/>
      <c r="AK156" s="206"/>
    </row>
    <row r="157" spans="19:37" x14ac:dyDescent="0.2">
      <c r="S157" s="204"/>
      <c r="T157" s="219"/>
      <c r="U157" s="205"/>
      <c r="V157" s="205"/>
      <c r="W157" s="205"/>
      <c r="X157" s="205"/>
      <c r="Y157" s="205"/>
      <c r="Z157" s="205"/>
      <c r="AA157" s="206"/>
      <c r="AB157" s="206"/>
      <c r="AJ157" s="205"/>
      <c r="AK157" s="206"/>
    </row>
    <row r="158" spans="19:37" x14ac:dyDescent="0.2">
      <c r="S158" s="204"/>
      <c r="T158" s="219"/>
      <c r="U158" s="205"/>
      <c r="V158" s="205"/>
      <c r="W158" s="205"/>
      <c r="X158" s="205"/>
      <c r="Y158" s="205"/>
      <c r="Z158" s="205"/>
      <c r="AA158" s="206"/>
      <c r="AB158" s="206"/>
      <c r="AJ158" s="205"/>
      <c r="AK158" s="206"/>
    </row>
    <row r="159" spans="19:37" x14ac:dyDescent="0.2">
      <c r="S159" s="204"/>
      <c r="T159" s="219"/>
      <c r="U159" s="205"/>
      <c r="V159" s="205"/>
      <c r="W159" s="205"/>
      <c r="X159" s="205"/>
      <c r="Y159" s="205"/>
      <c r="Z159" s="205"/>
      <c r="AA159" s="206"/>
      <c r="AB159" s="206"/>
      <c r="AJ159" s="205"/>
      <c r="AK159" s="206"/>
    </row>
    <row r="160" spans="19:37" x14ac:dyDescent="0.2">
      <c r="S160" s="204"/>
      <c r="T160" s="219"/>
      <c r="U160" s="205"/>
      <c r="V160" s="205"/>
      <c r="W160" s="205"/>
      <c r="X160" s="205"/>
      <c r="Y160" s="205"/>
      <c r="Z160" s="205"/>
      <c r="AA160" s="206"/>
      <c r="AB160" s="206"/>
      <c r="AJ160" s="205"/>
      <c r="AK160" s="206"/>
    </row>
    <row r="161" spans="19:37" x14ac:dyDescent="0.2">
      <c r="S161" s="204"/>
      <c r="T161" s="219"/>
      <c r="U161" s="205"/>
      <c r="V161" s="205"/>
      <c r="W161" s="205"/>
      <c r="X161" s="205"/>
      <c r="Y161" s="205"/>
      <c r="Z161" s="205"/>
      <c r="AA161" s="206"/>
      <c r="AB161" s="206"/>
      <c r="AJ161" s="205"/>
      <c r="AK161" s="206"/>
    </row>
    <row r="162" spans="19:37" x14ac:dyDescent="0.2">
      <c r="S162" s="204"/>
      <c r="T162" s="219"/>
      <c r="U162" s="205"/>
      <c r="V162" s="205"/>
      <c r="W162" s="205"/>
      <c r="X162" s="205"/>
      <c r="Y162" s="205"/>
      <c r="Z162" s="205"/>
      <c r="AA162" s="206"/>
      <c r="AB162" s="206"/>
      <c r="AJ162" s="205"/>
      <c r="AK162" s="206"/>
    </row>
    <row r="163" spans="19:37" x14ac:dyDescent="0.2">
      <c r="S163" s="204"/>
      <c r="T163" s="219"/>
      <c r="U163" s="205"/>
      <c r="V163" s="205"/>
      <c r="W163" s="205"/>
      <c r="X163" s="205"/>
      <c r="Y163" s="205"/>
      <c r="Z163" s="205"/>
      <c r="AA163" s="206"/>
      <c r="AB163" s="206"/>
      <c r="AJ163" s="205"/>
      <c r="AK163" s="206"/>
    </row>
    <row r="164" spans="19:37" x14ac:dyDescent="0.2">
      <c r="S164" s="204"/>
      <c r="T164" s="219"/>
      <c r="U164" s="205"/>
      <c r="V164" s="205"/>
      <c r="W164" s="205"/>
      <c r="X164" s="205"/>
      <c r="Y164" s="205"/>
      <c r="Z164" s="205"/>
      <c r="AA164" s="206"/>
      <c r="AB164" s="206"/>
      <c r="AJ164" s="205"/>
      <c r="AK164" s="206"/>
    </row>
    <row r="165" spans="19:37" x14ac:dyDescent="0.2">
      <c r="S165" s="204"/>
      <c r="T165" s="219"/>
      <c r="U165" s="205"/>
      <c r="V165" s="205"/>
      <c r="W165" s="205"/>
      <c r="X165" s="205"/>
      <c r="Y165" s="205"/>
      <c r="Z165" s="205"/>
      <c r="AA165" s="206"/>
      <c r="AB165" s="206"/>
      <c r="AJ165" s="205"/>
      <c r="AK165" s="206"/>
    </row>
    <row r="166" spans="19:37" x14ac:dyDescent="0.2">
      <c r="S166" s="204"/>
      <c r="T166" s="219"/>
      <c r="U166" s="205"/>
      <c r="V166" s="205"/>
      <c r="W166" s="205"/>
      <c r="X166" s="205"/>
      <c r="Y166" s="205"/>
      <c r="Z166" s="205"/>
      <c r="AA166" s="206"/>
      <c r="AB166" s="206"/>
      <c r="AJ166" s="205"/>
      <c r="AK166" s="206"/>
    </row>
    <row r="167" spans="19:37" x14ac:dyDescent="0.2">
      <c r="S167" s="204"/>
      <c r="T167" s="219"/>
      <c r="U167" s="205"/>
      <c r="V167" s="205"/>
      <c r="W167" s="205"/>
      <c r="X167" s="205"/>
      <c r="Y167" s="205"/>
      <c r="Z167" s="205"/>
      <c r="AA167" s="206"/>
      <c r="AB167" s="206"/>
      <c r="AJ167" s="205"/>
      <c r="AK167" s="206"/>
    </row>
    <row r="168" spans="19:37" x14ac:dyDescent="0.2">
      <c r="S168" s="204"/>
      <c r="T168" s="219"/>
      <c r="U168" s="205"/>
      <c r="V168" s="205"/>
      <c r="W168" s="205"/>
      <c r="X168" s="205"/>
      <c r="Y168" s="205"/>
      <c r="Z168" s="205"/>
      <c r="AA168" s="206"/>
      <c r="AB168" s="206"/>
      <c r="AJ168" s="205"/>
      <c r="AK168" s="206"/>
    </row>
    <row r="169" spans="19:37" x14ac:dyDescent="0.2">
      <c r="S169" s="204"/>
      <c r="T169" s="219"/>
      <c r="U169" s="205"/>
      <c r="V169" s="205"/>
      <c r="W169" s="205"/>
      <c r="X169" s="205"/>
      <c r="Y169" s="205"/>
      <c r="Z169" s="205"/>
      <c r="AA169" s="206"/>
      <c r="AB169" s="206"/>
      <c r="AJ169" s="205"/>
      <c r="AK169" s="206"/>
    </row>
    <row r="170" spans="19:37" x14ac:dyDescent="0.2">
      <c r="S170" s="204"/>
      <c r="T170" s="219"/>
      <c r="U170" s="205"/>
      <c r="V170" s="205"/>
      <c r="W170" s="205"/>
      <c r="X170" s="205"/>
      <c r="Y170" s="205"/>
      <c r="Z170" s="205"/>
      <c r="AA170" s="206"/>
      <c r="AB170" s="206"/>
      <c r="AJ170" s="205"/>
      <c r="AK170" s="206"/>
    </row>
    <row r="171" spans="19:37" x14ac:dyDescent="0.2">
      <c r="S171" s="204"/>
      <c r="T171" s="219"/>
      <c r="U171" s="205"/>
      <c r="V171" s="205"/>
      <c r="W171" s="205"/>
      <c r="X171" s="205"/>
      <c r="Y171" s="205"/>
      <c r="Z171" s="205"/>
      <c r="AA171" s="206"/>
      <c r="AB171" s="206"/>
      <c r="AJ171" s="205"/>
      <c r="AK171" s="206"/>
    </row>
    <row r="172" spans="19:37" x14ac:dyDescent="0.2">
      <c r="S172" s="204"/>
      <c r="T172" s="219"/>
      <c r="U172" s="205"/>
      <c r="V172" s="205"/>
      <c r="W172" s="205"/>
      <c r="X172" s="205"/>
      <c r="Y172" s="205"/>
      <c r="Z172" s="205"/>
      <c r="AA172" s="206"/>
      <c r="AB172" s="206"/>
      <c r="AJ172" s="205"/>
      <c r="AK172" s="206"/>
    </row>
    <row r="173" spans="19:37" x14ac:dyDescent="0.2">
      <c r="S173" s="204"/>
      <c r="T173" s="219"/>
      <c r="U173" s="205"/>
      <c r="V173" s="205"/>
      <c r="W173" s="205"/>
      <c r="X173" s="205"/>
      <c r="Y173" s="205"/>
      <c r="Z173" s="205"/>
      <c r="AA173" s="206"/>
      <c r="AB173" s="206"/>
      <c r="AJ173" s="205"/>
      <c r="AK173" s="206"/>
    </row>
    <row r="174" spans="19:37" x14ac:dyDescent="0.2">
      <c r="S174" s="204"/>
      <c r="T174" s="219"/>
      <c r="U174" s="205"/>
      <c r="V174" s="205"/>
      <c r="W174" s="205"/>
      <c r="X174" s="205"/>
      <c r="Y174" s="205"/>
      <c r="Z174" s="205"/>
      <c r="AA174" s="206"/>
      <c r="AB174" s="206"/>
      <c r="AJ174" s="205"/>
      <c r="AK174" s="206"/>
    </row>
    <row r="175" spans="19:37" x14ac:dyDescent="0.2">
      <c r="S175" s="204"/>
      <c r="T175" s="219"/>
      <c r="U175" s="205"/>
      <c r="V175" s="205"/>
      <c r="W175" s="205"/>
      <c r="X175" s="205"/>
      <c r="Y175" s="205"/>
      <c r="Z175" s="205"/>
      <c r="AA175" s="206"/>
      <c r="AB175" s="206"/>
      <c r="AJ175" s="205"/>
      <c r="AK175" s="206"/>
    </row>
    <row r="176" spans="19:37" x14ac:dyDescent="0.2">
      <c r="S176" s="204"/>
      <c r="T176" s="219"/>
      <c r="U176" s="205"/>
      <c r="V176" s="205"/>
      <c r="W176" s="205"/>
      <c r="X176" s="205"/>
      <c r="Y176" s="205"/>
      <c r="Z176" s="205"/>
      <c r="AA176" s="206"/>
      <c r="AB176" s="206"/>
      <c r="AJ176" s="205"/>
      <c r="AK176" s="206"/>
    </row>
    <row r="177" spans="19:37" x14ac:dyDescent="0.2">
      <c r="S177" s="204"/>
      <c r="T177" s="219"/>
      <c r="U177" s="205"/>
      <c r="V177" s="205"/>
      <c r="W177" s="205"/>
      <c r="X177" s="205"/>
      <c r="Y177" s="205"/>
      <c r="Z177" s="205"/>
      <c r="AA177" s="206"/>
      <c r="AB177" s="206"/>
      <c r="AJ177" s="205"/>
      <c r="AK177" s="206"/>
    </row>
    <row r="178" spans="19:37" x14ac:dyDescent="0.2">
      <c r="S178" s="204"/>
      <c r="T178" s="219"/>
      <c r="U178" s="205"/>
      <c r="V178" s="205"/>
      <c r="W178" s="205"/>
      <c r="X178" s="205"/>
      <c r="Y178" s="205"/>
      <c r="Z178" s="205"/>
      <c r="AA178" s="206"/>
      <c r="AB178" s="206"/>
      <c r="AJ178" s="205"/>
      <c r="AK178" s="206"/>
    </row>
    <row r="179" spans="19:37" x14ac:dyDescent="0.2">
      <c r="S179" s="204"/>
      <c r="T179" s="219"/>
      <c r="U179" s="205"/>
      <c r="V179" s="205"/>
      <c r="W179" s="205"/>
      <c r="X179" s="205"/>
      <c r="Y179" s="205"/>
      <c r="Z179" s="205"/>
      <c r="AA179" s="206"/>
      <c r="AB179" s="206"/>
      <c r="AJ179" s="205"/>
      <c r="AK179" s="206"/>
    </row>
    <row r="180" spans="19:37" x14ac:dyDescent="0.2">
      <c r="S180" s="204"/>
      <c r="T180" s="219"/>
      <c r="U180" s="205"/>
      <c r="V180" s="205"/>
      <c r="W180" s="205"/>
      <c r="X180" s="205"/>
      <c r="Y180" s="205"/>
      <c r="Z180" s="205"/>
      <c r="AA180" s="206"/>
      <c r="AB180" s="206"/>
      <c r="AJ180" s="205"/>
      <c r="AK180" s="206"/>
    </row>
    <row r="181" spans="19:37" x14ac:dyDescent="0.2">
      <c r="S181" s="204"/>
      <c r="T181" s="219"/>
      <c r="U181" s="205"/>
      <c r="V181" s="205"/>
      <c r="W181" s="205"/>
      <c r="X181" s="205"/>
      <c r="Y181" s="205"/>
      <c r="Z181" s="205"/>
      <c r="AA181" s="206"/>
      <c r="AB181" s="206"/>
      <c r="AJ181" s="205"/>
      <c r="AK181" s="206"/>
    </row>
    <row r="182" spans="19:37" x14ac:dyDescent="0.2">
      <c r="S182" s="204"/>
      <c r="T182" s="219"/>
      <c r="U182" s="205"/>
      <c r="V182" s="205"/>
      <c r="W182" s="205"/>
      <c r="X182" s="205"/>
      <c r="Y182" s="205"/>
      <c r="Z182" s="205"/>
      <c r="AA182" s="206"/>
      <c r="AB182" s="206"/>
      <c r="AJ182" s="205"/>
      <c r="AK182" s="206"/>
    </row>
    <row r="183" spans="19:37" x14ac:dyDescent="0.2">
      <c r="S183" s="204"/>
      <c r="T183" s="219"/>
      <c r="U183" s="205"/>
      <c r="V183" s="205"/>
      <c r="W183" s="205"/>
      <c r="X183" s="205"/>
      <c r="Y183" s="205"/>
      <c r="Z183" s="205"/>
      <c r="AA183" s="206"/>
      <c r="AB183" s="206"/>
      <c r="AJ183" s="205"/>
      <c r="AK183" s="206"/>
    </row>
    <row r="184" spans="19:37" x14ac:dyDescent="0.2">
      <c r="S184" s="204"/>
      <c r="T184" s="219"/>
      <c r="U184" s="205"/>
      <c r="V184" s="205"/>
      <c r="W184" s="205"/>
      <c r="X184" s="205"/>
      <c r="Y184" s="205"/>
      <c r="Z184" s="205"/>
      <c r="AA184" s="206"/>
      <c r="AB184" s="206"/>
      <c r="AJ184" s="205"/>
      <c r="AK184" s="206"/>
    </row>
    <row r="185" spans="19:37" x14ac:dyDescent="0.2">
      <c r="S185" s="204"/>
      <c r="T185" s="219"/>
      <c r="U185" s="205"/>
      <c r="V185" s="205"/>
      <c r="W185" s="205"/>
      <c r="X185" s="205"/>
      <c r="Y185" s="205"/>
      <c r="Z185" s="205"/>
      <c r="AA185" s="206"/>
      <c r="AB185" s="206"/>
      <c r="AJ185" s="205"/>
      <c r="AK185" s="206"/>
    </row>
    <row r="186" spans="19:37" x14ac:dyDescent="0.2">
      <c r="S186" s="204"/>
      <c r="T186" s="219"/>
      <c r="U186" s="205"/>
      <c r="V186" s="205"/>
      <c r="W186" s="205"/>
      <c r="X186" s="205"/>
      <c r="Y186" s="205"/>
      <c r="Z186" s="205"/>
      <c r="AA186" s="206"/>
      <c r="AB186" s="206"/>
      <c r="AJ186" s="205"/>
      <c r="AK186" s="206"/>
    </row>
    <row r="187" spans="19:37" x14ac:dyDescent="0.2">
      <c r="S187" s="204"/>
      <c r="T187" s="219"/>
      <c r="U187" s="205"/>
      <c r="V187" s="205"/>
      <c r="W187" s="205"/>
      <c r="X187" s="205"/>
      <c r="Y187" s="205"/>
      <c r="Z187" s="205"/>
      <c r="AA187" s="206"/>
      <c r="AB187" s="206"/>
      <c r="AJ187" s="205"/>
      <c r="AK187" s="206"/>
    </row>
    <row r="188" spans="19:37" x14ac:dyDescent="0.2">
      <c r="S188" s="204"/>
      <c r="T188" s="219"/>
      <c r="U188" s="205"/>
      <c r="V188" s="205"/>
      <c r="W188" s="205"/>
      <c r="X188" s="205"/>
      <c r="Y188" s="205"/>
      <c r="Z188" s="205"/>
      <c r="AA188" s="206"/>
      <c r="AB188" s="206"/>
      <c r="AJ188" s="205"/>
      <c r="AK188" s="206"/>
    </row>
    <row r="189" spans="19:37" x14ac:dyDescent="0.2">
      <c r="S189" s="204"/>
      <c r="T189" s="219"/>
      <c r="U189" s="205"/>
      <c r="V189" s="205"/>
      <c r="W189" s="205"/>
      <c r="X189" s="205"/>
      <c r="Y189" s="205"/>
      <c r="Z189" s="205"/>
      <c r="AA189" s="206"/>
      <c r="AB189" s="206"/>
      <c r="AJ189" s="205"/>
      <c r="AK189" s="206"/>
    </row>
    <row r="190" spans="19:37" x14ac:dyDescent="0.2">
      <c r="S190" s="204"/>
      <c r="T190" s="219"/>
      <c r="U190" s="205"/>
      <c r="V190" s="205"/>
      <c r="W190" s="205"/>
      <c r="X190" s="205"/>
      <c r="Y190" s="205"/>
      <c r="Z190" s="205"/>
      <c r="AA190" s="206"/>
      <c r="AB190" s="206"/>
      <c r="AJ190" s="205"/>
      <c r="AK190" s="206"/>
    </row>
    <row r="191" spans="19:37" x14ac:dyDescent="0.2">
      <c r="S191" s="204"/>
      <c r="T191" s="219"/>
      <c r="U191" s="205"/>
      <c r="V191" s="205"/>
      <c r="W191" s="205"/>
      <c r="X191" s="205"/>
      <c r="Y191" s="205"/>
      <c r="Z191" s="205"/>
      <c r="AA191" s="206"/>
      <c r="AB191" s="206"/>
      <c r="AJ191" s="205"/>
      <c r="AK191" s="206"/>
    </row>
    <row r="192" spans="19:37" x14ac:dyDescent="0.2">
      <c r="S192" s="204"/>
      <c r="T192" s="219"/>
      <c r="U192" s="205"/>
      <c r="V192" s="205"/>
      <c r="W192" s="205"/>
      <c r="X192" s="205"/>
      <c r="Y192" s="205"/>
      <c r="Z192" s="205"/>
      <c r="AA192" s="206"/>
      <c r="AB192" s="206"/>
      <c r="AJ192" s="205"/>
      <c r="AK192" s="206"/>
    </row>
    <row r="193" spans="19:37" x14ac:dyDescent="0.2">
      <c r="S193" s="204"/>
      <c r="T193" s="219"/>
      <c r="U193" s="205"/>
      <c r="V193" s="205"/>
      <c r="W193" s="205"/>
      <c r="X193" s="205"/>
      <c r="Y193" s="205"/>
      <c r="Z193" s="205"/>
      <c r="AA193" s="206"/>
      <c r="AB193" s="206"/>
      <c r="AJ193" s="205"/>
      <c r="AK193" s="206"/>
    </row>
    <row r="194" spans="19:37" x14ac:dyDescent="0.2">
      <c r="S194" s="204"/>
      <c r="T194" s="219"/>
      <c r="U194" s="205"/>
      <c r="V194" s="205"/>
      <c r="W194" s="205"/>
      <c r="X194" s="205"/>
      <c r="Y194" s="205"/>
      <c r="Z194" s="205"/>
      <c r="AA194" s="206"/>
      <c r="AB194" s="206"/>
      <c r="AJ194" s="205"/>
      <c r="AK194" s="206"/>
    </row>
    <row r="195" spans="19:37" x14ac:dyDescent="0.2">
      <c r="S195" s="204"/>
      <c r="T195" s="219"/>
      <c r="U195" s="205"/>
      <c r="V195" s="205"/>
      <c r="W195" s="205"/>
      <c r="X195" s="205"/>
      <c r="Y195" s="205"/>
      <c r="Z195" s="205"/>
      <c r="AA195" s="206"/>
      <c r="AB195" s="206"/>
      <c r="AJ195" s="205"/>
      <c r="AK195" s="206"/>
    </row>
    <row r="196" spans="19:37" x14ac:dyDescent="0.2">
      <c r="S196" s="204"/>
      <c r="T196" s="219"/>
      <c r="U196" s="205"/>
      <c r="V196" s="205"/>
      <c r="W196" s="205"/>
      <c r="X196" s="205"/>
      <c r="Y196" s="205"/>
      <c r="Z196" s="205"/>
      <c r="AA196" s="206"/>
      <c r="AB196" s="206"/>
      <c r="AJ196" s="205"/>
      <c r="AK196" s="206"/>
    </row>
    <row r="197" spans="19:37" x14ac:dyDescent="0.2">
      <c r="S197" s="204"/>
      <c r="T197" s="219"/>
      <c r="U197" s="205"/>
      <c r="V197" s="205"/>
      <c r="W197" s="205"/>
      <c r="X197" s="205"/>
      <c r="Y197" s="205"/>
      <c r="Z197" s="205"/>
      <c r="AA197" s="206"/>
      <c r="AB197" s="206"/>
      <c r="AJ197" s="205"/>
      <c r="AK197" s="206"/>
    </row>
    <row r="198" spans="19:37" x14ac:dyDescent="0.2">
      <c r="S198" s="204"/>
      <c r="T198" s="219"/>
      <c r="U198" s="205"/>
      <c r="V198" s="205"/>
      <c r="W198" s="205"/>
      <c r="X198" s="205"/>
      <c r="Y198" s="205"/>
      <c r="Z198" s="205"/>
      <c r="AA198" s="206"/>
      <c r="AB198" s="206"/>
      <c r="AJ198" s="205"/>
      <c r="AK198" s="206"/>
    </row>
    <row r="199" spans="19:37" x14ac:dyDescent="0.2">
      <c r="S199" s="204"/>
      <c r="T199" s="219"/>
      <c r="U199" s="205"/>
      <c r="V199" s="205"/>
      <c r="W199" s="205"/>
      <c r="X199" s="205"/>
      <c r="Y199" s="205"/>
      <c r="Z199" s="205"/>
      <c r="AA199" s="206"/>
      <c r="AB199" s="206"/>
      <c r="AJ199" s="205"/>
      <c r="AK199" s="206"/>
    </row>
    <row r="200" spans="19:37" x14ac:dyDescent="0.2">
      <c r="S200" s="204"/>
      <c r="T200" s="219"/>
      <c r="U200" s="205"/>
      <c r="V200" s="205"/>
      <c r="W200" s="205"/>
      <c r="X200" s="205"/>
      <c r="Y200" s="205"/>
      <c r="Z200" s="205"/>
      <c r="AA200" s="206"/>
      <c r="AB200" s="206"/>
      <c r="AJ200" s="205"/>
      <c r="AK200" s="206"/>
    </row>
    <row r="201" spans="19:37" x14ac:dyDescent="0.2">
      <c r="S201" s="204"/>
      <c r="T201" s="219"/>
      <c r="U201" s="205"/>
      <c r="V201" s="205"/>
      <c r="W201" s="205"/>
      <c r="X201" s="205"/>
      <c r="Y201" s="205"/>
      <c r="Z201" s="205"/>
      <c r="AA201" s="206"/>
      <c r="AB201" s="206"/>
      <c r="AJ201" s="205"/>
      <c r="AK201" s="206"/>
    </row>
    <row r="202" spans="19:37" x14ac:dyDescent="0.2">
      <c r="S202" s="204"/>
      <c r="T202" s="219"/>
      <c r="U202" s="205"/>
      <c r="V202" s="205"/>
      <c r="W202" s="205"/>
      <c r="X202" s="205"/>
      <c r="Y202" s="205"/>
      <c r="Z202" s="205"/>
      <c r="AA202" s="206"/>
      <c r="AB202" s="206"/>
      <c r="AJ202" s="205"/>
      <c r="AK202" s="206"/>
    </row>
    <row r="203" spans="19:37" x14ac:dyDescent="0.2">
      <c r="S203" s="204"/>
      <c r="T203" s="219"/>
      <c r="U203" s="205"/>
      <c r="V203" s="205"/>
      <c r="W203" s="205"/>
      <c r="X203" s="205"/>
      <c r="Y203" s="205"/>
      <c r="Z203" s="205"/>
      <c r="AA203" s="206"/>
      <c r="AB203" s="206"/>
      <c r="AJ203" s="205"/>
      <c r="AK203" s="206"/>
    </row>
    <row r="204" spans="19:37" x14ac:dyDescent="0.2">
      <c r="S204" s="204"/>
      <c r="T204" s="219"/>
      <c r="U204" s="205"/>
      <c r="V204" s="205"/>
      <c r="W204" s="205"/>
      <c r="X204" s="205"/>
      <c r="Y204" s="205"/>
      <c r="Z204" s="205"/>
      <c r="AA204" s="206"/>
      <c r="AB204" s="206"/>
      <c r="AJ204" s="205"/>
      <c r="AK204" s="206"/>
    </row>
    <row r="205" spans="19:37" x14ac:dyDescent="0.2">
      <c r="S205" s="204"/>
      <c r="T205" s="219"/>
      <c r="U205" s="205"/>
      <c r="V205" s="205"/>
      <c r="W205" s="205"/>
      <c r="X205" s="205"/>
      <c r="Y205" s="205"/>
      <c r="Z205" s="205"/>
      <c r="AA205" s="206"/>
      <c r="AB205" s="206"/>
      <c r="AJ205" s="205"/>
      <c r="AK205" s="206"/>
    </row>
    <row r="206" spans="19:37" x14ac:dyDescent="0.2">
      <c r="S206" s="204"/>
      <c r="T206" s="219"/>
      <c r="U206" s="205"/>
      <c r="V206" s="205"/>
      <c r="W206" s="205"/>
      <c r="X206" s="205"/>
      <c r="Y206" s="205"/>
      <c r="Z206" s="205"/>
      <c r="AA206" s="206"/>
      <c r="AB206" s="206"/>
      <c r="AJ206" s="205"/>
      <c r="AK206" s="206"/>
    </row>
    <row r="207" spans="19:37" x14ac:dyDescent="0.2">
      <c r="S207" s="204"/>
      <c r="T207" s="219"/>
      <c r="U207" s="205"/>
      <c r="V207" s="205"/>
      <c r="W207" s="205"/>
      <c r="X207" s="205"/>
      <c r="Y207" s="205"/>
      <c r="Z207" s="205"/>
      <c r="AA207" s="206"/>
      <c r="AB207" s="206"/>
      <c r="AJ207" s="205"/>
      <c r="AK207" s="206"/>
    </row>
    <row r="208" spans="19:37" x14ac:dyDescent="0.2">
      <c r="S208" s="204"/>
      <c r="T208" s="219"/>
      <c r="U208" s="205"/>
      <c r="V208" s="205"/>
      <c r="W208" s="205"/>
      <c r="X208" s="205"/>
      <c r="Y208" s="205"/>
      <c r="Z208" s="205"/>
      <c r="AA208" s="206"/>
      <c r="AB208" s="206"/>
      <c r="AJ208" s="205"/>
      <c r="AK208" s="206"/>
    </row>
    <row r="209" spans="19:37" x14ac:dyDescent="0.2">
      <c r="S209" s="204"/>
      <c r="T209" s="219"/>
      <c r="U209" s="205"/>
      <c r="V209" s="205"/>
      <c r="W209" s="205"/>
      <c r="X209" s="205"/>
      <c r="Y209" s="205"/>
      <c r="Z209" s="205"/>
      <c r="AA209" s="206"/>
      <c r="AB209" s="206"/>
      <c r="AJ209" s="205"/>
      <c r="AK209" s="206"/>
    </row>
    <row r="210" spans="19:37" x14ac:dyDescent="0.2">
      <c r="S210" s="204"/>
      <c r="T210" s="219"/>
      <c r="U210" s="205"/>
      <c r="V210" s="205"/>
      <c r="W210" s="205"/>
      <c r="X210" s="205"/>
      <c r="Y210" s="205"/>
      <c r="Z210" s="205"/>
      <c r="AA210" s="206"/>
      <c r="AB210" s="206"/>
      <c r="AJ210" s="205"/>
      <c r="AK210" s="206"/>
    </row>
    <row r="211" spans="19:37" x14ac:dyDescent="0.2">
      <c r="S211" s="204"/>
      <c r="T211" s="219"/>
      <c r="U211" s="205"/>
      <c r="V211" s="205"/>
      <c r="W211" s="205"/>
      <c r="X211" s="205"/>
      <c r="Y211" s="205"/>
      <c r="Z211" s="205"/>
      <c r="AA211" s="206"/>
      <c r="AB211" s="206"/>
      <c r="AJ211" s="205"/>
      <c r="AK211" s="206"/>
    </row>
    <row r="212" spans="19:37" x14ac:dyDescent="0.2">
      <c r="S212" s="204"/>
      <c r="T212" s="219"/>
      <c r="U212" s="205"/>
      <c r="V212" s="205"/>
      <c r="W212" s="205"/>
      <c r="X212" s="205"/>
      <c r="Y212" s="205"/>
      <c r="Z212" s="205"/>
      <c r="AA212" s="206"/>
      <c r="AB212" s="206"/>
      <c r="AJ212" s="205"/>
      <c r="AK212" s="206"/>
    </row>
    <row r="213" spans="19:37" x14ac:dyDescent="0.2">
      <c r="S213" s="204"/>
      <c r="T213" s="219"/>
      <c r="U213" s="205"/>
      <c r="V213" s="205"/>
      <c r="W213" s="205"/>
      <c r="X213" s="205"/>
      <c r="Y213" s="205"/>
      <c r="Z213" s="205"/>
      <c r="AA213" s="206"/>
      <c r="AB213" s="206"/>
      <c r="AJ213" s="205"/>
      <c r="AK213" s="206"/>
    </row>
    <row r="214" spans="19:37" x14ac:dyDescent="0.2">
      <c r="S214" s="204"/>
      <c r="T214" s="219"/>
      <c r="U214" s="205"/>
      <c r="V214" s="205"/>
      <c r="W214" s="205"/>
      <c r="X214" s="205"/>
      <c r="Y214" s="205"/>
      <c r="Z214" s="205"/>
      <c r="AA214" s="206"/>
      <c r="AB214" s="206"/>
      <c r="AJ214" s="205"/>
      <c r="AK214" s="206"/>
    </row>
    <row r="215" spans="19:37" x14ac:dyDescent="0.2">
      <c r="S215" s="204"/>
      <c r="T215" s="219"/>
      <c r="U215" s="205"/>
      <c r="V215" s="205"/>
      <c r="W215" s="205"/>
      <c r="X215" s="205"/>
      <c r="Y215" s="205"/>
      <c r="Z215" s="205"/>
      <c r="AA215" s="206"/>
      <c r="AB215" s="206"/>
      <c r="AJ215" s="205"/>
      <c r="AK215" s="206"/>
    </row>
    <row r="216" spans="19:37" x14ac:dyDescent="0.2">
      <c r="S216" s="204"/>
      <c r="T216" s="219"/>
      <c r="U216" s="205"/>
      <c r="V216" s="205"/>
      <c r="W216" s="205"/>
      <c r="X216" s="205"/>
      <c r="Y216" s="205"/>
      <c r="Z216" s="205"/>
      <c r="AA216" s="206"/>
      <c r="AB216" s="206"/>
      <c r="AJ216" s="205"/>
      <c r="AK216" s="206"/>
    </row>
    <row r="217" spans="19:37" x14ac:dyDescent="0.2">
      <c r="S217" s="204"/>
      <c r="T217" s="219"/>
      <c r="U217" s="205"/>
      <c r="V217" s="205"/>
      <c r="W217" s="205"/>
      <c r="X217" s="205"/>
      <c r="Y217" s="205"/>
      <c r="Z217" s="205"/>
      <c r="AA217" s="206"/>
      <c r="AB217" s="206"/>
      <c r="AJ217" s="205"/>
      <c r="AK217" s="206"/>
    </row>
    <row r="218" spans="19:37" x14ac:dyDescent="0.2">
      <c r="S218" s="204"/>
      <c r="T218" s="219"/>
      <c r="U218" s="205"/>
      <c r="V218" s="205"/>
      <c r="W218" s="205"/>
      <c r="X218" s="205"/>
      <c r="Y218" s="205"/>
      <c r="Z218" s="205"/>
      <c r="AA218" s="206"/>
      <c r="AB218" s="206"/>
      <c r="AJ218" s="205"/>
      <c r="AK218" s="206"/>
    </row>
    <row r="219" spans="19:37" x14ac:dyDescent="0.2">
      <c r="S219" s="204"/>
      <c r="T219" s="219"/>
      <c r="U219" s="205"/>
      <c r="V219" s="205"/>
      <c r="W219" s="205"/>
      <c r="X219" s="205"/>
      <c r="Y219" s="205"/>
      <c r="Z219" s="205"/>
      <c r="AA219" s="206"/>
      <c r="AB219" s="206"/>
      <c r="AJ219" s="205"/>
      <c r="AK219" s="206"/>
    </row>
    <row r="220" spans="19:37" x14ac:dyDescent="0.2">
      <c r="S220" s="204"/>
      <c r="T220" s="219"/>
      <c r="U220" s="205"/>
      <c r="V220" s="205"/>
      <c r="W220" s="205"/>
      <c r="X220" s="205"/>
      <c r="Y220" s="205"/>
      <c r="Z220" s="205"/>
      <c r="AA220" s="206"/>
      <c r="AB220" s="206"/>
      <c r="AJ220" s="205"/>
      <c r="AK220" s="206"/>
    </row>
    <row r="221" spans="19:37" x14ac:dyDescent="0.2">
      <c r="S221" s="204"/>
      <c r="T221" s="219"/>
      <c r="U221" s="205"/>
      <c r="V221" s="205"/>
      <c r="W221" s="205"/>
      <c r="X221" s="205"/>
      <c r="Y221" s="205"/>
      <c r="Z221" s="205"/>
      <c r="AA221" s="206"/>
      <c r="AB221" s="206"/>
      <c r="AJ221" s="205"/>
      <c r="AK221" s="206"/>
    </row>
    <row r="222" spans="19:37" x14ac:dyDescent="0.2">
      <c r="S222" s="204"/>
      <c r="T222" s="219"/>
      <c r="U222" s="205"/>
      <c r="V222" s="205"/>
      <c r="W222" s="205"/>
      <c r="X222" s="205"/>
      <c r="Y222" s="205"/>
      <c r="Z222" s="205"/>
      <c r="AA222" s="206"/>
      <c r="AB222" s="206"/>
      <c r="AJ222" s="205"/>
      <c r="AK222" s="206"/>
    </row>
    <row r="223" spans="19:37" x14ac:dyDescent="0.2">
      <c r="S223" s="204"/>
      <c r="T223" s="219"/>
      <c r="U223" s="205"/>
      <c r="V223" s="205"/>
      <c r="W223" s="205"/>
      <c r="X223" s="205"/>
      <c r="Y223" s="205"/>
      <c r="Z223" s="205"/>
      <c r="AA223" s="206"/>
      <c r="AB223" s="206"/>
      <c r="AJ223" s="205"/>
      <c r="AK223" s="206"/>
    </row>
    <row r="224" spans="19:37" x14ac:dyDescent="0.2">
      <c r="S224" s="204"/>
      <c r="T224" s="219"/>
      <c r="U224" s="205"/>
      <c r="V224" s="205"/>
      <c r="W224" s="205"/>
      <c r="X224" s="205"/>
      <c r="Y224" s="205"/>
      <c r="Z224" s="205"/>
      <c r="AA224" s="206"/>
      <c r="AB224" s="206"/>
      <c r="AJ224" s="205"/>
      <c r="AK224" s="206"/>
    </row>
    <row r="225" spans="19:37" x14ac:dyDescent="0.2">
      <c r="S225" s="204"/>
      <c r="T225" s="219"/>
      <c r="U225" s="205"/>
      <c r="V225" s="205"/>
      <c r="W225" s="205"/>
      <c r="X225" s="205"/>
      <c r="Y225" s="205"/>
      <c r="Z225" s="205"/>
      <c r="AA225" s="206"/>
      <c r="AB225" s="206"/>
      <c r="AJ225" s="205"/>
      <c r="AK225" s="206"/>
    </row>
    <row r="226" spans="19:37" x14ac:dyDescent="0.2">
      <c r="S226" s="204"/>
      <c r="T226" s="219"/>
      <c r="U226" s="205"/>
      <c r="V226" s="205"/>
      <c r="W226" s="205"/>
      <c r="X226" s="205"/>
      <c r="Y226" s="205"/>
      <c r="Z226" s="205"/>
      <c r="AA226" s="206"/>
      <c r="AB226" s="206"/>
      <c r="AJ226" s="205"/>
      <c r="AK226" s="206"/>
    </row>
    <row r="227" spans="19:37" x14ac:dyDescent="0.2">
      <c r="S227" s="204"/>
      <c r="T227" s="219"/>
      <c r="U227" s="205"/>
      <c r="V227" s="205"/>
      <c r="W227" s="205"/>
      <c r="X227" s="205"/>
      <c r="Y227" s="205"/>
      <c r="Z227" s="205"/>
      <c r="AA227" s="206"/>
      <c r="AB227" s="206"/>
      <c r="AJ227" s="205"/>
      <c r="AK227" s="206"/>
    </row>
    <row r="228" spans="19:37" x14ac:dyDescent="0.2">
      <c r="S228" s="204"/>
      <c r="T228" s="219"/>
      <c r="U228" s="205"/>
      <c r="V228" s="205"/>
      <c r="W228" s="205"/>
      <c r="X228" s="205"/>
      <c r="Y228" s="205"/>
      <c r="Z228" s="205"/>
      <c r="AA228" s="206"/>
      <c r="AB228" s="206"/>
      <c r="AJ228" s="205"/>
      <c r="AK228" s="206"/>
    </row>
    <row r="229" spans="19:37" x14ac:dyDescent="0.2">
      <c r="S229" s="204"/>
      <c r="T229" s="219"/>
      <c r="U229" s="205"/>
      <c r="V229" s="205"/>
      <c r="W229" s="205"/>
      <c r="X229" s="205"/>
      <c r="Y229" s="205"/>
      <c r="Z229" s="205"/>
      <c r="AA229" s="206"/>
      <c r="AB229" s="206"/>
      <c r="AJ229" s="205"/>
      <c r="AK229" s="206"/>
    </row>
    <row r="230" spans="19:37" x14ac:dyDescent="0.2">
      <c r="S230" s="204"/>
      <c r="T230" s="219"/>
      <c r="U230" s="205"/>
      <c r="V230" s="205"/>
      <c r="W230" s="205"/>
      <c r="X230" s="205"/>
      <c r="Y230" s="205"/>
      <c r="Z230" s="205"/>
      <c r="AA230" s="206"/>
      <c r="AB230" s="206"/>
      <c r="AJ230" s="205"/>
      <c r="AK230" s="206"/>
    </row>
    <row r="231" spans="19:37" x14ac:dyDescent="0.2">
      <c r="S231" s="204"/>
      <c r="T231" s="219"/>
      <c r="U231" s="205"/>
      <c r="V231" s="205"/>
      <c r="W231" s="205"/>
      <c r="X231" s="205"/>
      <c r="Y231" s="205"/>
      <c r="Z231" s="205"/>
      <c r="AA231" s="206"/>
      <c r="AB231" s="206"/>
      <c r="AJ231" s="205"/>
      <c r="AK231" s="206"/>
    </row>
    <row r="232" spans="19:37" x14ac:dyDescent="0.2">
      <c r="S232" s="204"/>
      <c r="T232" s="219"/>
      <c r="U232" s="205"/>
      <c r="V232" s="205"/>
      <c r="W232" s="205"/>
      <c r="X232" s="205"/>
      <c r="Y232" s="205"/>
      <c r="Z232" s="205"/>
      <c r="AA232" s="206"/>
      <c r="AB232" s="206"/>
      <c r="AJ232" s="205"/>
      <c r="AK232" s="206"/>
    </row>
    <row r="233" spans="19:37" x14ac:dyDescent="0.2">
      <c r="S233" s="204"/>
      <c r="T233" s="219"/>
      <c r="U233" s="205"/>
      <c r="V233" s="205"/>
      <c r="W233" s="205"/>
      <c r="X233" s="205"/>
      <c r="Y233" s="205"/>
      <c r="Z233" s="205"/>
      <c r="AA233" s="206"/>
      <c r="AB233" s="206"/>
      <c r="AJ233" s="205"/>
      <c r="AK233" s="206"/>
    </row>
    <row r="234" spans="19:37" x14ac:dyDescent="0.2">
      <c r="S234" s="204"/>
      <c r="T234" s="219"/>
      <c r="U234" s="205"/>
      <c r="V234" s="205"/>
      <c r="W234" s="205"/>
      <c r="X234" s="205"/>
      <c r="Y234" s="205"/>
      <c r="Z234" s="205"/>
      <c r="AA234" s="206"/>
      <c r="AB234" s="206"/>
      <c r="AJ234" s="205"/>
      <c r="AK234" s="206"/>
    </row>
    <row r="235" spans="19:37" x14ac:dyDescent="0.2">
      <c r="S235" s="204"/>
      <c r="T235" s="219"/>
      <c r="U235" s="205"/>
      <c r="V235" s="205"/>
      <c r="W235" s="205"/>
      <c r="X235" s="205"/>
      <c r="Y235" s="205"/>
      <c r="Z235" s="205"/>
      <c r="AA235" s="206"/>
      <c r="AB235" s="206"/>
      <c r="AJ235" s="205"/>
      <c r="AK235" s="206"/>
    </row>
    <row r="236" spans="19:37" x14ac:dyDescent="0.2">
      <c r="S236" s="204"/>
      <c r="T236" s="219"/>
      <c r="U236" s="205"/>
      <c r="V236" s="205"/>
      <c r="W236" s="205"/>
      <c r="X236" s="205"/>
      <c r="Y236" s="205"/>
      <c r="Z236" s="205"/>
      <c r="AA236" s="206"/>
      <c r="AB236" s="206"/>
      <c r="AJ236" s="205"/>
      <c r="AK236" s="206"/>
    </row>
    <row r="237" spans="19:37" x14ac:dyDescent="0.2">
      <c r="S237" s="204"/>
      <c r="T237" s="219"/>
      <c r="U237" s="205"/>
      <c r="V237" s="205"/>
      <c r="W237" s="205"/>
      <c r="X237" s="205"/>
      <c r="Y237" s="205"/>
      <c r="Z237" s="205"/>
      <c r="AA237" s="206"/>
      <c r="AB237" s="206"/>
      <c r="AJ237" s="205"/>
      <c r="AK237" s="206"/>
    </row>
    <row r="238" spans="19:37" x14ac:dyDescent="0.2">
      <c r="S238" s="204"/>
      <c r="T238" s="219"/>
      <c r="U238" s="205"/>
      <c r="V238" s="205"/>
      <c r="W238" s="205"/>
      <c r="X238" s="205"/>
      <c r="Y238" s="205"/>
      <c r="Z238" s="205"/>
      <c r="AA238" s="206"/>
      <c r="AB238" s="206"/>
      <c r="AJ238" s="205"/>
      <c r="AK238" s="206"/>
    </row>
    <row r="239" spans="19:37" x14ac:dyDescent="0.2">
      <c r="S239" s="204"/>
      <c r="T239" s="219"/>
      <c r="U239" s="205"/>
      <c r="V239" s="205"/>
      <c r="W239" s="205"/>
      <c r="X239" s="205"/>
      <c r="Y239" s="205"/>
      <c r="Z239" s="205"/>
      <c r="AA239" s="206"/>
      <c r="AB239" s="206"/>
      <c r="AJ239" s="205"/>
      <c r="AK239" s="206"/>
    </row>
    <row r="240" spans="19:37" x14ac:dyDescent="0.2">
      <c r="S240" s="204"/>
      <c r="T240" s="219"/>
      <c r="U240" s="205"/>
      <c r="V240" s="205"/>
      <c r="W240" s="205"/>
      <c r="X240" s="205"/>
      <c r="Y240" s="205"/>
      <c r="Z240" s="205"/>
      <c r="AA240" s="206"/>
      <c r="AB240" s="206"/>
      <c r="AJ240" s="205"/>
      <c r="AK240" s="206"/>
    </row>
    <row r="241" spans="19:37" x14ac:dyDescent="0.2">
      <c r="S241" s="204"/>
      <c r="T241" s="219"/>
      <c r="U241" s="205"/>
      <c r="V241" s="205"/>
      <c r="W241" s="205"/>
      <c r="X241" s="205"/>
      <c r="Y241" s="205"/>
      <c r="Z241" s="205"/>
      <c r="AA241" s="206"/>
      <c r="AB241" s="206"/>
      <c r="AJ241" s="205"/>
      <c r="AK241" s="206"/>
    </row>
    <row r="242" spans="19:37" x14ac:dyDescent="0.2">
      <c r="S242" s="204"/>
      <c r="T242" s="219"/>
      <c r="U242" s="205"/>
      <c r="V242" s="205"/>
      <c r="W242" s="205"/>
      <c r="X242" s="205"/>
      <c r="Y242" s="205"/>
      <c r="Z242" s="205"/>
      <c r="AA242" s="206"/>
      <c r="AB242" s="206"/>
      <c r="AJ242" s="205"/>
      <c r="AK242" s="206"/>
    </row>
    <row r="243" spans="19:37" x14ac:dyDescent="0.2">
      <c r="S243" s="204"/>
      <c r="T243" s="219"/>
      <c r="U243" s="205"/>
      <c r="V243" s="205"/>
      <c r="W243" s="205"/>
      <c r="X243" s="205"/>
      <c r="Y243" s="205"/>
      <c r="Z243" s="205"/>
      <c r="AA243" s="206"/>
      <c r="AB243" s="206"/>
      <c r="AJ243" s="205"/>
      <c r="AK243" s="206"/>
    </row>
    <row r="244" spans="19:37" x14ac:dyDescent="0.2">
      <c r="S244" s="204"/>
      <c r="T244" s="219"/>
      <c r="U244" s="205"/>
      <c r="V244" s="205"/>
      <c r="W244" s="205"/>
      <c r="X244" s="205"/>
      <c r="Y244" s="205"/>
      <c r="Z244" s="205"/>
      <c r="AA244" s="206"/>
      <c r="AB244" s="206"/>
      <c r="AJ244" s="205"/>
      <c r="AK244" s="206"/>
    </row>
    <row r="245" spans="19:37" x14ac:dyDescent="0.2">
      <c r="S245" s="204"/>
      <c r="T245" s="219"/>
      <c r="U245" s="205"/>
      <c r="V245" s="205"/>
      <c r="W245" s="205"/>
      <c r="X245" s="205"/>
      <c r="Y245" s="205"/>
      <c r="Z245" s="205"/>
      <c r="AA245" s="206"/>
      <c r="AB245" s="206"/>
      <c r="AJ245" s="205"/>
      <c r="AK245" s="206"/>
    </row>
    <row r="246" spans="19:37" x14ac:dyDescent="0.2">
      <c r="S246" s="204"/>
      <c r="T246" s="219"/>
      <c r="U246" s="205"/>
      <c r="V246" s="205"/>
      <c r="W246" s="205"/>
      <c r="X246" s="205"/>
      <c r="Y246" s="205"/>
      <c r="Z246" s="205"/>
      <c r="AA246" s="206"/>
      <c r="AB246" s="206"/>
      <c r="AJ246" s="205"/>
      <c r="AK246" s="206"/>
    </row>
    <row r="247" spans="19:37" x14ac:dyDescent="0.2">
      <c r="S247" s="204"/>
      <c r="T247" s="219"/>
      <c r="U247" s="205"/>
      <c r="V247" s="205"/>
      <c r="W247" s="205"/>
      <c r="X247" s="205"/>
      <c r="Y247" s="205"/>
      <c r="Z247" s="205"/>
      <c r="AA247" s="206"/>
      <c r="AB247" s="206"/>
      <c r="AJ247" s="205"/>
      <c r="AK247" s="206"/>
    </row>
    <row r="248" spans="19:37" x14ac:dyDescent="0.2">
      <c r="S248" s="204"/>
      <c r="T248" s="219"/>
      <c r="U248" s="205"/>
      <c r="V248" s="205"/>
      <c r="W248" s="205"/>
      <c r="X248" s="205"/>
      <c r="Y248" s="205"/>
      <c r="Z248" s="205"/>
      <c r="AA248" s="206"/>
      <c r="AB248" s="206"/>
      <c r="AJ248" s="205"/>
      <c r="AK248" s="206"/>
    </row>
    <row r="249" spans="19:37" x14ac:dyDescent="0.2">
      <c r="S249" s="204"/>
      <c r="T249" s="219"/>
      <c r="U249" s="205"/>
      <c r="V249" s="205"/>
      <c r="W249" s="205"/>
      <c r="X249" s="205"/>
      <c r="Y249" s="205"/>
      <c r="Z249" s="205"/>
      <c r="AA249" s="206"/>
      <c r="AB249" s="206"/>
      <c r="AJ249" s="205"/>
      <c r="AK249" s="206"/>
    </row>
    <row r="250" spans="19:37" x14ac:dyDescent="0.2">
      <c r="S250" s="204"/>
      <c r="T250" s="219"/>
      <c r="U250" s="205"/>
      <c r="V250" s="205"/>
      <c r="W250" s="205"/>
      <c r="X250" s="205"/>
      <c r="Y250" s="205"/>
      <c r="Z250" s="205"/>
      <c r="AA250" s="206"/>
      <c r="AB250" s="206"/>
      <c r="AJ250" s="205"/>
      <c r="AK250" s="206"/>
    </row>
    <row r="251" spans="19:37" x14ac:dyDescent="0.2">
      <c r="S251" s="204"/>
      <c r="T251" s="219"/>
      <c r="U251" s="205"/>
      <c r="V251" s="205"/>
      <c r="W251" s="205"/>
      <c r="X251" s="205"/>
      <c r="Y251" s="205"/>
      <c r="Z251" s="205"/>
      <c r="AA251" s="206"/>
      <c r="AB251" s="206"/>
      <c r="AJ251" s="205"/>
      <c r="AK251" s="206"/>
    </row>
    <row r="252" spans="19:37" x14ac:dyDescent="0.2">
      <c r="S252" s="204"/>
      <c r="T252" s="219"/>
      <c r="U252" s="205"/>
      <c r="V252" s="205"/>
      <c r="W252" s="205"/>
      <c r="X252" s="205"/>
      <c r="Y252" s="205"/>
      <c r="Z252" s="205"/>
      <c r="AA252" s="206"/>
      <c r="AB252" s="206"/>
      <c r="AJ252" s="205"/>
      <c r="AK252" s="206"/>
    </row>
    <row r="253" spans="19:37" x14ac:dyDescent="0.2">
      <c r="S253" s="204"/>
      <c r="T253" s="219"/>
      <c r="U253" s="205"/>
      <c r="V253" s="205"/>
      <c r="W253" s="205"/>
      <c r="X253" s="205"/>
      <c r="Y253" s="205"/>
      <c r="Z253" s="205"/>
      <c r="AA253" s="206"/>
      <c r="AB253" s="206"/>
      <c r="AJ253" s="205"/>
      <c r="AK253" s="206"/>
    </row>
    <row r="254" spans="19:37" x14ac:dyDescent="0.2">
      <c r="S254" s="204"/>
      <c r="T254" s="219"/>
      <c r="U254" s="205"/>
      <c r="V254" s="205"/>
      <c r="W254" s="205"/>
      <c r="X254" s="205"/>
      <c r="Y254" s="205"/>
      <c r="Z254" s="205"/>
      <c r="AA254" s="206"/>
      <c r="AB254" s="206"/>
      <c r="AJ254" s="205"/>
      <c r="AK254" s="206"/>
    </row>
    <row r="255" spans="19:37" x14ac:dyDescent="0.2">
      <c r="S255" s="204"/>
      <c r="T255" s="219"/>
      <c r="U255" s="205"/>
      <c r="V255" s="205"/>
      <c r="W255" s="205"/>
      <c r="X255" s="205"/>
      <c r="Y255" s="205"/>
      <c r="Z255" s="205"/>
      <c r="AA255" s="206"/>
      <c r="AB255" s="206"/>
      <c r="AJ255" s="205"/>
      <c r="AK255" s="206"/>
    </row>
    <row r="256" spans="19:37" x14ac:dyDescent="0.2">
      <c r="S256" s="204"/>
      <c r="T256" s="219"/>
      <c r="U256" s="205"/>
      <c r="V256" s="205"/>
      <c r="W256" s="205"/>
      <c r="X256" s="205"/>
      <c r="Y256" s="205"/>
      <c r="Z256" s="205"/>
      <c r="AA256" s="206"/>
      <c r="AB256" s="206"/>
      <c r="AJ256" s="205"/>
      <c r="AK256" s="206"/>
    </row>
    <row r="257" spans="19:37" x14ac:dyDescent="0.2">
      <c r="S257" s="204"/>
      <c r="T257" s="219"/>
      <c r="U257" s="205"/>
      <c r="V257" s="205"/>
      <c r="W257" s="205"/>
      <c r="X257" s="205"/>
      <c r="Y257" s="205"/>
      <c r="Z257" s="205"/>
      <c r="AA257" s="206"/>
      <c r="AB257" s="206"/>
      <c r="AJ257" s="205"/>
      <c r="AK257" s="206"/>
    </row>
    <row r="258" spans="19:37" x14ac:dyDescent="0.2">
      <c r="S258" s="204"/>
      <c r="T258" s="219"/>
      <c r="U258" s="205"/>
      <c r="V258" s="205"/>
      <c r="W258" s="205"/>
      <c r="X258" s="205"/>
      <c r="Y258" s="205"/>
      <c r="Z258" s="205"/>
      <c r="AA258" s="206"/>
      <c r="AB258" s="206"/>
      <c r="AJ258" s="205"/>
      <c r="AK258" s="206"/>
    </row>
    <row r="259" spans="19:37" x14ac:dyDescent="0.2">
      <c r="S259" s="204"/>
      <c r="T259" s="219"/>
      <c r="U259" s="205"/>
      <c r="V259" s="205"/>
      <c r="W259" s="205"/>
      <c r="X259" s="205"/>
      <c r="Y259" s="205"/>
      <c r="Z259" s="205"/>
      <c r="AA259" s="206"/>
      <c r="AB259" s="206"/>
      <c r="AJ259" s="205"/>
      <c r="AK259" s="206"/>
    </row>
    <row r="260" spans="19:37" x14ac:dyDescent="0.2">
      <c r="S260" s="204"/>
      <c r="T260" s="219"/>
      <c r="U260" s="205"/>
      <c r="V260" s="205"/>
      <c r="W260" s="205"/>
      <c r="X260" s="205"/>
      <c r="Y260" s="205"/>
      <c r="Z260" s="205"/>
      <c r="AA260" s="206"/>
      <c r="AB260" s="206"/>
      <c r="AJ260" s="205"/>
      <c r="AK260" s="206"/>
    </row>
    <row r="261" spans="19:37" x14ac:dyDescent="0.2">
      <c r="S261" s="204"/>
      <c r="T261" s="219"/>
      <c r="U261" s="205"/>
      <c r="V261" s="205"/>
      <c r="W261" s="205"/>
      <c r="X261" s="205"/>
      <c r="Y261" s="205"/>
      <c r="Z261" s="205"/>
      <c r="AA261" s="206"/>
      <c r="AB261" s="206"/>
      <c r="AJ261" s="205"/>
      <c r="AK261" s="206"/>
    </row>
    <row r="262" spans="19:37" x14ac:dyDescent="0.2">
      <c r="S262" s="204"/>
      <c r="T262" s="219"/>
      <c r="U262" s="205"/>
      <c r="V262" s="205"/>
      <c r="W262" s="205"/>
      <c r="X262" s="205"/>
      <c r="Y262" s="205"/>
      <c r="Z262" s="205"/>
      <c r="AA262" s="206"/>
      <c r="AB262" s="206"/>
      <c r="AJ262" s="205"/>
      <c r="AK262" s="206"/>
    </row>
    <row r="263" spans="19:37" x14ac:dyDescent="0.2">
      <c r="S263" s="204"/>
      <c r="T263" s="219"/>
      <c r="U263" s="205"/>
      <c r="V263" s="205"/>
      <c r="W263" s="205"/>
      <c r="X263" s="205"/>
      <c r="Y263" s="205"/>
      <c r="Z263" s="205"/>
      <c r="AA263" s="206"/>
      <c r="AB263" s="206"/>
      <c r="AJ263" s="205"/>
      <c r="AK263" s="206"/>
    </row>
    <row r="264" spans="19:37" x14ac:dyDescent="0.2">
      <c r="S264" s="204"/>
      <c r="T264" s="219"/>
      <c r="U264" s="205"/>
      <c r="V264" s="205"/>
      <c r="W264" s="205"/>
      <c r="X264" s="205"/>
      <c r="Y264" s="205"/>
      <c r="Z264" s="205"/>
      <c r="AA264" s="206"/>
      <c r="AB264" s="206"/>
      <c r="AJ264" s="205"/>
      <c r="AK264" s="206"/>
    </row>
    <row r="265" spans="19:37" x14ac:dyDescent="0.2">
      <c r="S265" s="204"/>
      <c r="T265" s="219"/>
      <c r="U265" s="205"/>
      <c r="V265" s="205"/>
      <c r="W265" s="205"/>
      <c r="X265" s="205"/>
      <c r="Y265" s="205"/>
      <c r="Z265" s="205"/>
      <c r="AA265" s="206"/>
      <c r="AB265" s="206"/>
      <c r="AJ265" s="205"/>
      <c r="AK265" s="206"/>
    </row>
    <row r="266" spans="19:37" x14ac:dyDescent="0.2">
      <c r="S266" s="204"/>
      <c r="T266" s="219"/>
      <c r="U266" s="205"/>
      <c r="V266" s="205"/>
      <c r="W266" s="205"/>
      <c r="X266" s="205"/>
      <c r="Y266" s="205"/>
      <c r="Z266" s="205"/>
      <c r="AA266" s="206"/>
      <c r="AB266" s="206"/>
      <c r="AJ266" s="205"/>
      <c r="AK266" s="206"/>
    </row>
    <row r="267" spans="19:37" x14ac:dyDescent="0.2">
      <c r="S267" s="204"/>
      <c r="T267" s="219"/>
      <c r="U267" s="205"/>
      <c r="V267" s="205"/>
      <c r="W267" s="205"/>
      <c r="X267" s="205"/>
      <c r="Y267" s="205"/>
      <c r="Z267" s="205"/>
      <c r="AA267" s="206"/>
      <c r="AB267" s="206"/>
      <c r="AJ267" s="205"/>
      <c r="AK267" s="206"/>
    </row>
    <row r="268" spans="19:37" x14ac:dyDescent="0.2">
      <c r="S268" s="204"/>
      <c r="T268" s="219"/>
      <c r="U268" s="205"/>
      <c r="V268" s="205"/>
      <c r="W268" s="205"/>
      <c r="X268" s="205"/>
      <c r="Y268" s="205"/>
      <c r="Z268" s="205"/>
      <c r="AA268" s="206"/>
      <c r="AB268" s="206"/>
      <c r="AJ268" s="205"/>
      <c r="AK268" s="206"/>
    </row>
    <row r="269" spans="19:37" x14ac:dyDescent="0.2">
      <c r="S269" s="204"/>
      <c r="T269" s="219"/>
      <c r="U269" s="205"/>
      <c r="V269" s="205"/>
      <c r="W269" s="205"/>
      <c r="X269" s="205"/>
      <c r="Y269" s="205"/>
      <c r="Z269" s="205"/>
      <c r="AA269" s="206"/>
      <c r="AB269" s="206"/>
      <c r="AJ269" s="205"/>
      <c r="AK269" s="206"/>
    </row>
    <row r="270" spans="19:37" x14ac:dyDescent="0.2">
      <c r="S270" s="204"/>
      <c r="T270" s="219"/>
      <c r="U270" s="205"/>
      <c r="V270" s="205"/>
      <c r="W270" s="205"/>
      <c r="X270" s="205"/>
      <c r="Y270" s="205"/>
      <c r="Z270" s="205"/>
      <c r="AA270" s="206"/>
      <c r="AB270" s="206"/>
      <c r="AJ270" s="205"/>
      <c r="AK270" s="206"/>
    </row>
    <row r="271" spans="19:37" x14ac:dyDescent="0.2">
      <c r="S271" s="204"/>
      <c r="T271" s="219"/>
      <c r="U271" s="205"/>
      <c r="V271" s="205"/>
      <c r="W271" s="205"/>
      <c r="X271" s="205"/>
      <c r="Y271" s="205"/>
      <c r="Z271" s="205"/>
      <c r="AA271" s="206"/>
      <c r="AB271" s="206"/>
      <c r="AJ271" s="205"/>
      <c r="AK271" s="206"/>
    </row>
    <row r="272" spans="19:37" x14ac:dyDescent="0.2">
      <c r="S272" s="204"/>
      <c r="T272" s="219"/>
      <c r="U272" s="205"/>
      <c r="V272" s="205"/>
      <c r="W272" s="205"/>
      <c r="X272" s="205"/>
      <c r="Y272" s="205"/>
      <c r="Z272" s="205"/>
      <c r="AA272" s="206"/>
      <c r="AB272" s="206"/>
      <c r="AJ272" s="205"/>
      <c r="AK272" s="206"/>
    </row>
    <row r="273" spans="19:37" x14ac:dyDescent="0.2">
      <c r="S273" s="204"/>
      <c r="T273" s="219"/>
      <c r="U273" s="205"/>
      <c r="V273" s="205"/>
      <c r="W273" s="205"/>
      <c r="X273" s="205"/>
      <c r="Y273" s="205"/>
      <c r="Z273" s="205"/>
      <c r="AA273" s="206"/>
      <c r="AB273" s="206"/>
      <c r="AJ273" s="205"/>
      <c r="AK273" s="206"/>
    </row>
    <row r="274" spans="19:37" x14ac:dyDescent="0.2">
      <c r="S274" s="204"/>
      <c r="T274" s="219"/>
      <c r="U274" s="205"/>
      <c r="V274" s="205"/>
      <c r="W274" s="205"/>
      <c r="X274" s="205"/>
      <c r="Y274" s="205"/>
      <c r="Z274" s="205"/>
      <c r="AA274" s="206"/>
      <c r="AB274" s="206"/>
      <c r="AJ274" s="205"/>
      <c r="AK274" s="206"/>
    </row>
    <row r="275" spans="19:37" x14ac:dyDescent="0.2">
      <c r="S275" s="204"/>
      <c r="T275" s="219"/>
      <c r="U275" s="205"/>
      <c r="V275" s="205"/>
      <c r="W275" s="205"/>
      <c r="X275" s="205"/>
      <c r="Y275" s="205"/>
      <c r="Z275" s="205"/>
      <c r="AA275" s="206"/>
      <c r="AB275" s="206"/>
      <c r="AJ275" s="205"/>
      <c r="AK275" s="206"/>
    </row>
    <row r="276" spans="19:37" x14ac:dyDescent="0.2">
      <c r="S276" s="204"/>
      <c r="T276" s="219"/>
      <c r="U276" s="205"/>
      <c r="V276" s="205"/>
      <c r="W276" s="205"/>
      <c r="X276" s="205"/>
      <c r="Y276" s="205"/>
      <c r="Z276" s="205"/>
      <c r="AA276" s="206"/>
      <c r="AB276" s="206"/>
      <c r="AJ276" s="205"/>
      <c r="AK276" s="206"/>
    </row>
    <row r="277" spans="19:37" x14ac:dyDescent="0.2">
      <c r="S277" s="204"/>
      <c r="T277" s="219"/>
      <c r="U277" s="205"/>
      <c r="V277" s="205"/>
      <c r="W277" s="205"/>
      <c r="X277" s="205"/>
      <c r="Y277" s="205"/>
      <c r="Z277" s="205"/>
      <c r="AA277" s="206"/>
      <c r="AB277" s="206"/>
      <c r="AJ277" s="205"/>
      <c r="AK277" s="206"/>
    </row>
    <row r="278" spans="19:37" x14ac:dyDescent="0.2">
      <c r="S278" s="204"/>
      <c r="T278" s="219"/>
      <c r="U278" s="205"/>
      <c r="V278" s="205"/>
      <c r="W278" s="205"/>
      <c r="X278" s="205"/>
      <c r="Y278" s="205"/>
      <c r="Z278" s="205"/>
      <c r="AA278" s="206"/>
      <c r="AB278" s="206"/>
      <c r="AJ278" s="205"/>
      <c r="AK278" s="206"/>
    </row>
    <row r="279" spans="19:37" x14ac:dyDescent="0.2">
      <c r="S279" s="204"/>
      <c r="T279" s="219"/>
      <c r="U279" s="205"/>
      <c r="V279" s="205"/>
      <c r="W279" s="205"/>
      <c r="X279" s="205"/>
      <c r="Y279" s="205"/>
      <c r="Z279" s="205"/>
      <c r="AA279" s="206"/>
      <c r="AB279" s="206"/>
      <c r="AJ279" s="205"/>
      <c r="AK279" s="206"/>
    </row>
    <row r="280" spans="19:37" x14ac:dyDescent="0.2">
      <c r="S280" s="204"/>
      <c r="T280" s="219"/>
      <c r="U280" s="205"/>
      <c r="V280" s="205"/>
      <c r="W280" s="205"/>
      <c r="X280" s="205"/>
      <c r="Y280" s="205"/>
      <c r="Z280" s="205"/>
      <c r="AA280" s="206"/>
      <c r="AB280" s="206"/>
      <c r="AJ280" s="205"/>
      <c r="AK280" s="206"/>
    </row>
    <row r="281" spans="19:37" x14ac:dyDescent="0.2">
      <c r="S281" s="204"/>
      <c r="T281" s="219"/>
      <c r="U281" s="205"/>
      <c r="V281" s="205"/>
      <c r="W281" s="205"/>
      <c r="X281" s="205"/>
      <c r="Y281" s="205"/>
      <c r="Z281" s="205"/>
      <c r="AA281" s="206"/>
      <c r="AB281" s="206"/>
      <c r="AJ281" s="205"/>
      <c r="AK281" s="206"/>
    </row>
    <row r="282" spans="19:37" x14ac:dyDescent="0.2">
      <c r="S282" s="204"/>
      <c r="T282" s="219"/>
      <c r="U282" s="205"/>
      <c r="V282" s="205"/>
      <c r="W282" s="205"/>
      <c r="X282" s="205"/>
      <c r="Y282" s="205"/>
      <c r="Z282" s="205"/>
      <c r="AA282" s="206"/>
      <c r="AB282" s="206"/>
      <c r="AJ282" s="205"/>
      <c r="AK282" s="206"/>
    </row>
    <row r="283" spans="19:37" x14ac:dyDescent="0.2">
      <c r="S283" s="204"/>
      <c r="T283" s="219"/>
      <c r="U283" s="205"/>
      <c r="V283" s="205"/>
      <c r="W283" s="205"/>
      <c r="X283" s="205"/>
      <c r="Y283" s="205"/>
      <c r="Z283" s="205"/>
      <c r="AA283" s="206"/>
      <c r="AB283" s="206"/>
      <c r="AJ283" s="205"/>
      <c r="AK283" s="206"/>
    </row>
    <row r="284" spans="19:37" x14ac:dyDescent="0.2">
      <c r="S284" s="204"/>
      <c r="T284" s="219"/>
      <c r="U284" s="205"/>
      <c r="V284" s="205"/>
      <c r="W284" s="205"/>
      <c r="X284" s="205"/>
      <c r="Y284" s="205"/>
      <c r="Z284" s="205"/>
      <c r="AA284" s="206"/>
      <c r="AB284" s="206"/>
      <c r="AJ284" s="205"/>
      <c r="AK284" s="206"/>
    </row>
    <row r="285" spans="19:37" x14ac:dyDescent="0.2">
      <c r="S285" s="204"/>
      <c r="T285" s="219"/>
      <c r="U285" s="205"/>
      <c r="V285" s="205"/>
      <c r="W285" s="205"/>
      <c r="X285" s="205"/>
      <c r="Y285" s="205"/>
      <c r="Z285" s="205"/>
      <c r="AA285" s="206"/>
      <c r="AB285" s="206"/>
      <c r="AJ285" s="205"/>
      <c r="AK285" s="206"/>
    </row>
    <row r="286" spans="19:37" x14ac:dyDescent="0.2">
      <c r="S286" s="204"/>
      <c r="T286" s="219"/>
      <c r="U286" s="205"/>
      <c r="V286" s="205"/>
      <c r="W286" s="205"/>
      <c r="X286" s="205"/>
      <c r="Y286" s="205"/>
      <c r="Z286" s="205"/>
      <c r="AA286" s="206"/>
      <c r="AB286" s="206"/>
      <c r="AJ286" s="205"/>
      <c r="AK286" s="206"/>
    </row>
    <row r="287" spans="19:37" x14ac:dyDescent="0.2">
      <c r="S287" s="204"/>
      <c r="T287" s="219"/>
      <c r="U287" s="205"/>
      <c r="V287" s="205"/>
      <c r="W287" s="205"/>
      <c r="X287" s="205"/>
      <c r="Y287" s="205"/>
      <c r="Z287" s="205"/>
      <c r="AA287" s="206"/>
      <c r="AB287" s="206"/>
      <c r="AJ287" s="205"/>
      <c r="AK287" s="206"/>
    </row>
    <row r="288" spans="19:37" x14ac:dyDescent="0.2">
      <c r="S288" s="204"/>
      <c r="T288" s="219"/>
      <c r="U288" s="205"/>
      <c r="V288" s="205"/>
      <c r="W288" s="205"/>
      <c r="X288" s="205"/>
      <c r="Y288" s="205"/>
      <c r="Z288" s="205"/>
      <c r="AA288" s="206"/>
      <c r="AB288" s="206"/>
      <c r="AJ288" s="205"/>
      <c r="AK288" s="206"/>
    </row>
    <row r="289" spans="19:37" x14ac:dyDescent="0.2">
      <c r="S289" s="204"/>
      <c r="T289" s="219"/>
      <c r="U289" s="205"/>
      <c r="V289" s="205"/>
      <c r="W289" s="205"/>
      <c r="X289" s="205"/>
      <c r="Y289" s="205"/>
      <c r="Z289" s="205"/>
      <c r="AA289" s="206"/>
      <c r="AB289" s="206"/>
      <c r="AJ289" s="205"/>
      <c r="AK289" s="206"/>
    </row>
    <row r="290" spans="19:37" x14ac:dyDescent="0.2">
      <c r="S290" s="204"/>
      <c r="T290" s="219"/>
      <c r="U290" s="205"/>
      <c r="V290" s="205"/>
      <c r="W290" s="205"/>
      <c r="X290" s="205"/>
      <c r="Y290" s="205"/>
      <c r="Z290" s="205"/>
      <c r="AA290" s="206"/>
      <c r="AB290" s="206"/>
      <c r="AJ290" s="205"/>
      <c r="AK290" s="206"/>
    </row>
    <row r="291" spans="19:37" x14ac:dyDescent="0.2">
      <c r="S291" s="204"/>
      <c r="T291" s="219"/>
      <c r="U291" s="205"/>
      <c r="V291" s="205"/>
      <c r="W291" s="205"/>
      <c r="X291" s="205"/>
      <c r="Y291" s="205"/>
      <c r="Z291" s="205"/>
      <c r="AA291" s="206"/>
      <c r="AB291" s="206"/>
      <c r="AJ291" s="205"/>
      <c r="AK291" s="206"/>
    </row>
    <row r="292" spans="19:37" x14ac:dyDescent="0.2">
      <c r="S292" s="204"/>
      <c r="T292" s="219"/>
      <c r="U292" s="205"/>
      <c r="V292" s="205"/>
      <c r="W292" s="205"/>
      <c r="X292" s="205"/>
      <c r="Y292" s="205"/>
      <c r="Z292" s="205"/>
      <c r="AA292" s="206"/>
      <c r="AB292" s="206"/>
      <c r="AJ292" s="205"/>
      <c r="AK292" s="206"/>
    </row>
    <row r="293" spans="19:37" x14ac:dyDescent="0.2">
      <c r="S293" s="204"/>
      <c r="T293" s="219"/>
      <c r="U293" s="205"/>
      <c r="V293" s="205"/>
      <c r="W293" s="205"/>
      <c r="X293" s="205"/>
      <c r="Y293" s="205"/>
      <c r="Z293" s="205"/>
      <c r="AA293" s="206"/>
      <c r="AB293" s="206"/>
      <c r="AJ293" s="205"/>
      <c r="AK293" s="206"/>
    </row>
    <row r="294" spans="19:37" x14ac:dyDescent="0.2">
      <c r="S294" s="204"/>
      <c r="T294" s="219"/>
      <c r="U294" s="205"/>
      <c r="V294" s="205"/>
      <c r="W294" s="205"/>
      <c r="X294" s="205"/>
      <c r="Y294" s="205"/>
      <c r="Z294" s="205"/>
      <c r="AA294" s="206"/>
      <c r="AB294" s="206"/>
      <c r="AJ294" s="205"/>
      <c r="AK294" s="206"/>
    </row>
    <row r="295" spans="19:37" x14ac:dyDescent="0.2">
      <c r="S295" s="204"/>
      <c r="T295" s="219"/>
      <c r="U295" s="205"/>
      <c r="V295" s="205"/>
      <c r="W295" s="205"/>
      <c r="X295" s="205"/>
      <c r="Y295" s="205"/>
      <c r="Z295" s="205"/>
      <c r="AA295" s="206"/>
      <c r="AB295" s="206"/>
      <c r="AJ295" s="205"/>
      <c r="AK295" s="206"/>
    </row>
    <row r="296" spans="19:37" x14ac:dyDescent="0.2">
      <c r="S296" s="118"/>
      <c r="Z296" s="88"/>
      <c r="AA296" s="88"/>
      <c r="AJ296" s="205"/>
      <c r="AK296" s="206"/>
    </row>
    <row r="297" spans="19:37" x14ac:dyDescent="0.2">
      <c r="S297" s="118"/>
      <c r="Z297" s="88"/>
      <c r="AA297" s="88"/>
      <c r="AJ297" s="205"/>
      <c r="AK297" s="206"/>
    </row>
    <row r="298" spans="19:37" x14ac:dyDescent="0.2">
      <c r="S298" s="118"/>
      <c r="Z298" s="88"/>
      <c r="AA298" s="88"/>
      <c r="AJ298" s="205"/>
      <c r="AK298" s="206"/>
    </row>
    <row r="299" spans="19:37" x14ac:dyDescent="0.2">
      <c r="S299" s="118"/>
      <c r="Z299" s="88"/>
      <c r="AA299" s="88"/>
      <c r="AJ299" s="205"/>
      <c r="AK299" s="206"/>
    </row>
    <row r="300" spans="19:37" x14ac:dyDescent="0.2">
      <c r="S300" s="118"/>
      <c r="Z300" s="88"/>
      <c r="AA300" s="88"/>
      <c r="AJ300" s="205"/>
      <c r="AK300" s="206"/>
    </row>
    <row r="301" spans="19:37" x14ac:dyDescent="0.2">
      <c r="S301" s="118"/>
      <c r="Z301" s="88"/>
      <c r="AA301" s="88"/>
      <c r="AJ301" s="205"/>
      <c r="AK301" s="206"/>
    </row>
    <row r="302" spans="19:37" x14ac:dyDescent="0.2">
      <c r="AJ302" s="205"/>
      <c r="AK302" s="206"/>
    </row>
    <row r="303" spans="19:37" x14ac:dyDescent="0.2">
      <c r="AJ303" s="205"/>
      <c r="AK303" s="206"/>
    </row>
  </sheetData>
  <mergeCells count="6">
    <mergeCell ref="Z18:Z19"/>
    <mergeCell ref="E21:E46"/>
    <mergeCell ref="E50:E59"/>
    <mergeCell ref="E63:E88"/>
    <mergeCell ref="E92:E117"/>
    <mergeCell ref="E121:E129"/>
  </mergeCells>
  <conditionalFormatting sqref="I5">
    <cfRule type="cellIs" dxfId="58" priority="49" operator="equal">
      <formula>"OK"</formula>
    </cfRule>
    <cfRule type="cellIs" dxfId="57" priority="50" operator="equal">
      <formula>"SUPERA LIMITE DE AGENTE"</formula>
    </cfRule>
  </conditionalFormatting>
  <conditionalFormatting sqref="O22:O46 O94:O118 O61:O62 O51:O59">
    <cfRule type="cellIs" dxfId="56" priority="48" operator="greaterThanOrEqual">
      <formula>1</formula>
    </cfRule>
  </conditionalFormatting>
  <conditionalFormatting sqref="O43">
    <cfRule type="cellIs" dxfId="55" priority="47" operator="greaterThanOrEqual">
      <formula>1</formula>
    </cfRule>
  </conditionalFormatting>
  <conditionalFormatting sqref="O42">
    <cfRule type="cellIs" dxfId="54" priority="46" operator="greaterThanOrEqual">
      <formula>1</formula>
    </cfRule>
  </conditionalFormatting>
  <conditionalFormatting sqref="O51:O59">
    <cfRule type="cellIs" dxfId="53" priority="45" operator="greaterThanOrEqual">
      <formula>1</formula>
    </cfRule>
  </conditionalFormatting>
  <conditionalFormatting sqref="O122:O129">
    <cfRule type="cellIs" dxfId="52" priority="44" operator="greaterThanOrEqual">
      <formula>1</formula>
    </cfRule>
  </conditionalFormatting>
  <conditionalFormatting sqref="O64:O88">
    <cfRule type="cellIs" dxfId="51" priority="43" operator="greaterThanOrEqual">
      <formula>1</formula>
    </cfRule>
  </conditionalFormatting>
  <conditionalFormatting sqref="O40">
    <cfRule type="cellIs" dxfId="50" priority="42" operator="greaterThanOrEqual">
      <formula>1</formula>
    </cfRule>
  </conditionalFormatting>
  <conditionalFormatting sqref="O39">
    <cfRule type="cellIs" dxfId="49" priority="41" operator="greaterThanOrEqual">
      <formula>1</formula>
    </cfRule>
  </conditionalFormatting>
  <conditionalFormatting sqref="M16">
    <cfRule type="cellIs" dxfId="48" priority="18" operator="lessThan">
      <formula>0.79</formula>
    </cfRule>
    <cfRule type="cellIs" dxfId="47" priority="19" operator="greaterThan">
      <formula>0.86</formula>
    </cfRule>
    <cfRule type="cellIs" dxfId="46" priority="20" operator="between">
      <formula>0.8</formula>
      <formula>0.85</formula>
    </cfRule>
    <cfRule type="cellIs" dxfId="45" priority="39" operator="lessThan">
      <formula>0.79</formula>
    </cfRule>
    <cfRule type="cellIs" dxfId="44" priority="40" operator="greaterThan">
      <formula>0.8</formula>
    </cfRule>
  </conditionalFormatting>
  <conditionalFormatting sqref="AI44:AJ45 AK44 AI31 AK32 AI30:AK30 AI62:AJ66 AL70:AL78 AK69 AK60:AK67 AI57:AJ60 AJ128:AK303 AK79:AL127">
    <cfRule type="cellIs" dxfId="43" priority="38" operator="greaterThan">
      <formula>0</formula>
    </cfRule>
  </conditionalFormatting>
  <conditionalFormatting sqref="AL20">
    <cfRule type="cellIs" dxfId="42" priority="37" operator="greaterThan">
      <formula>0</formula>
    </cfRule>
  </conditionalFormatting>
  <conditionalFormatting sqref="O48:O49">
    <cfRule type="cellIs" dxfId="41" priority="36" operator="greaterThanOrEqual">
      <formula>1</formula>
    </cfRule>
  </conditionalFormatting>
  <conditionalFormatting sqref="H1">
    <cfRule type="containsText" dxfId="40" priority="35" operator="containsText" text="DEFAULT">
      <formula>NOT(ISERROR(SEARCH("DEFAULT",H1)))</formula>
    </cfRule>
  </conditionalFormatting>
  <conditionalFormatting sqref="U67:AB295 T22:Y22 T23:U45 U46:U66 V23:Y66 Z22:AB66">
    <cfRule type="cellIs" dxfId="39" priority="25" operator="greaterThan">
      <formula>0</formula>
    </cfRule>
  </conditionalFormatting>
  <conditionalFormatting sqref="Z7:Z8 Y6:Y10">
    <cfRule type="cellIs" dxfId="38" priority="24" operator="greaterThan">
      <formula>0</formula>
    </cfRule>
  </conditionalFormatting>
  <conditionalFormatting sqref="Z20:AB20">
    <cfRule type="cellIs" dxfId="37" priority="23" operator="greaterThan">
      <formula>0</formula>
    </cfRule>
  </conditionalFormatting>
  <conditionalFormatting sqref="H3">
    <cfRule type="cellIs" dxfId="36" priority="21" operator="equal">
      <formula>1</formula>
    </cfRule>
    <cfRule type="cellIs" dxfId="35" priority="22" operator="greaterThan">
      <formula>1</formula>
    </cfRule>
  </conditionalFormatting>
  <conditionalFormatting sqref="AK57">
    <cfRule type="cellIs" dxfId="34" priority="17" operator="greaterThan">
      <formula>0</formula>
    </cfRule>
  </conditionalFormatting>
  <conditionalFormatting sqref="AJ67:AK67">
    <cfRule type="cellIs" dxfId="33" priority="16" operator="greaterThan">
      <formula>0</formula>
    </cfRule>
  </conditionalFormatting>
  <conditionalFormatting sqref="H48:M49 H61:M62 H90:M91 H119:M120">
    <cfRule type="expression" dxfId="32" priority="15">
      <formula>I$7="ESTANDAR"</formula>
    </cfRule>
  </conditionalFormatting>
  <conditionalFormatting sqref="T46:T90">
    <cfRule type="cellIs" dxfId="31" priority="14" operator="greaterThan">
      <formula>0</formula>
    </cfRule>
  </conditionalFormatting>
  <conditionalFormatting sqref="G19:M20">
    <cfRule type="expression" dxfId="30" priority="51">
      <formula>#REF!="ESTANDAR"</formula>
    </cfRule>
    <cfRule type="expression" dxfId="29" priority="52">
      <formula>#REF!="PROYECTO"</formula>
    </cfRule>
    <cfRule type="cellIs" dxfId="28" priority="53" operator="equal">
      <formula>#REF!</formula>
    </cfRule>
  </conditionalFormatting>
  <conditionalFormatting sqref="G48:G49 G61:G62 G90:G91 G119:G120">
    <cfRule type="expression" dxfId="27" priority="54">
      <formula>#REF!="ESTANDAR"</formula>
    </cfRule>
  </conditionalFormatting>
  <conditionalFormatting sqref="G19:M20 G48:M49 G61:M62 G90:M91 G119:M120">
    <cfRule type="expression" dxfId="26" priority="55">
      <formula>#REF!="PROYECTO"</formula>
    </cfRule>
    <cfRule type="expression" dxfId="25" priority="56">
      <formula>#REF!="ESTANDAR"</formula>
    </cfRule>
  </conditionalFormatting>
  <conditionalFormatting sqref="F21:N21 F50:N50 F63:N63 F121:N121 E121:E129 E92:E117 E63:E88 E50:E59 E21:E46 F92:N92 S21:AA21 S6:U6 X14:AA14 X11:Y11 L2:N2 L3:L13 L15:L16">
    <cfRule type="expression" dxfId="24" priority="57">
      <formula>#REF!</formula>
    </cfRule>
  </conditionalFormatting>
  <conditionalFormatting sqref="F21:N21 F50:N50 F63:N63 F121:N121 E21:E46 E50:E59 E63:E88 E92:E117 E121:E129 F92:N92 S21:AA21 S6:U6 X14:AA14 X11:Y11 L2:N2 L3:L13 L15:L16">
    <cfRule type="expression" dxfId="23" priority="58">
      <formula>#REF!="ESTANDAR"</formula>
    </cfRule>
  </conditionalFormatting>
  <conditionalFormatting sqref="O93">
    <cfRule type="cellIs" dxfId="22" priority="13" operator="greaterThanOrEqual">
      <formula>1</formula>
    </cfRule>
  </conditionalFormatting>
  <conditionalFormatting sqref="M49">
    <cfRule type="expression" dxfId="21" priority="10">
      <formula>#REF!="ESTANDAR"</formula>
    </cfRule>
    <cfRule type="expression" dxfId="20" priority="11">
      <formula>#REF!="PROYECTO"</formula>
    </cfRule>
    <cfRule type="cellIs" dxfId="19" priority="12" operator="equal">
      <formula>#REF!</formula>
    </cfRule>
  </conditionalFormatting>
  <conditionalFormatting sqref="M62">
    <cfRule type="expression" dxfId="18" priority="7">
      <formula>#REF!="ESTANDAR"</formula>
    </cfRule>
    <cfRule type="expression" dxfId="17" priority="8">
      <formula>#REF!="PROYECTO"</formula>
    </cfRule>
    <cfRule type="cellIs" dxfId="16" priority="9" operator="equal">
      <formula>#REF!</formula>
    </cfRule>
  </conditionalFormatting>
  <conditionalFormatting sqref="M91">
    <cfRule type="expression" dxfId="15" priority="4">
      <formula>#REF!="ESTANDAR"</formula>
    </cfRule>
    <cfRule type="expression" dxfId="14" priority="5">
      <formula>#REF!="PROYECTO"</formula>
    </cfRule>
    <cfRule type="cellIs" dxfId="13" priority="6" operator="equal">
      <formula>#REF!</formula>
    </cfRule>
  </conditionalFormatting>
  <conditionalFormatting sqref="M120">
    <cfRule type="expression" dxfId="12" priority="1">
      <formula>#REF!="ESTANDAR"</formula>
    </cfRule>
    <cfRule type="expression" dxfId="11" priority="2">
      <formula>#REF!="PROYECTO"</formula>
    </cfRule>
    <cfRule type="cellIs" dxfId="10" priority="3" operator="equal">
      <formula>#REF!</formula>
    </cfRule>
  </conditionalFormatting>
  <dataValidations count="4">
    <dataValidation type="list" allowBlank="1" showInputMessage="1" showErrorMessage="1" sqref="H3" xr:uid="{382C85CE-5A60-4E9D-AFF9-DAA89BACBDEF}">
      <formula1>$A$1:$A$10</formula1>
    </dataValidation>
    <dataValidation type="list" allowBlank="1" showInputMessage="1" showErrorMessage="1" sqref="H2" xr:uid="{D9725246-3068-464F-BED3-7819D62B19EA}">
      <formula1>$B$3:$B$4</formula1>
    </dataValidation>
    <dataValidation type="list" allowBlank="1" showInputMessage="1" showErrorMessage="1" sqref="H1" xr:uid="{BE66223D-104F-49C3-A981-C041C7D458F7}">
      <formula1>$B$12:$B$20</formula1>
    </dataValidation>
    <dataValidation type="list" allowBlank="1" showInputMessage="1" showErrorMessage="1" sqref="H4" xr:uid="{00AB0950-1499-46DD-8912-316FF7D6F477}">
      <formula1>$B$1:$B$2</formula1>
    </dataValidation>
  </dataValidations>
  <pageMargins left="0.70866141732283472" right="0.70866141732283472" top="0.74803149606299213" bottom="0.74803149606299213" header="0.31496062992125984" footer="0.31496062992125984"/>
  <pageSetup paperSize="9" scale="1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locked="0" defaultSize="0" autoFill="0" autoLine="0" autoPict="0">
                <anchor moveWithCells="1">
                  <from>
                    <xdr:col>8</xdr:col>
                    <xdr:colOff>314325</xdr:colOff>
                    <xdr:row>2</xdr:row>
                    <xdr:rowOff>142875</xdr:rowOff>
                  </from>
                  <to>
                    <xdr:col>8</xdr:col>
                    <xdr:colOff>1647825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locked="0" defaultSize="0" autoFill="0" autoLine="0" autoPict="0">
                <anchor moveWithCells="1">
                  <from>
                    <xdr:col>8</xdr:col>
                    <xdr:colOff>314325</xdr:colOff>
                    <xdr:row>4</xdr:row>
                    <xdr:rowOff>104775</xdr:rowOff>
                  </from>
                  <to>
                    <xdr:col>8</xdr:col>
                    <xdr:colOff>1647825</xdr:colOff>
                    <xdr:row>6</xdr:row>
                    <xdr:rowOff>47625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6" operator="containsText" id="{518CDF74-4FB7-4CD4-B5E5-8D2A2AF3BC92}">
            <xm:f>NOT(ISERROR(SEARCH($B$20,H1)))</xm:f>
            <xm:f>$B$20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7" operator="containsText" id="{DF8455F7-DE9A-4E94-8AD2-75BC88E8A0DE}">
            <xm:f>NOT(ISERROR(SEARCH($B$19,H1)))</xm:f>
            <xm:f>$B$19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8" operator="containsText" id="{380FCF59-E25C-4B43-9685-93F4B0A8820B}">
            <xm:f>NOT(ISERROR(SEARCH($B$18,H1)))</xm:f>
            <xm:f>$B$18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" operator="containsText" id="{B4214170-7F8E-4B8F-8A1C-A3708C7C15D5}">
            <xm:f>NOT(ISERROR(SEARCH($B$17,H1)))</xm:f>
            <xm:f>$B$17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0" operator="containsText" id="{708AF246-38FF-4F3B-A907-42308B9FA378}">
            <xm:f>NOT(ISERROR(SEARCH($B$16,H1)))</xm:f>
            <xm:f>$B$16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1" operator="containsText" id="{985C7536-31B5-4289-8629-3365FEE42E43}">
            <xm:f>NOT(ISERROR(SEARCH($B$15,H1)))</xm:f>
            <xm:f>$B$15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2" operator="containsText" id="{736A69B0-7A48-4B9A-A618-61F607AE1109}">
            <xm:f>NOT(ISERROR(SEARCH($B$14,H1)))</xm:f>
            <xm:f>$B$14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3" operator="containsText" id="{1B466052-37D8-4708-B99A-94F917BEF627}">
            <xm:f>NOT(ISERROR(SEARCH($B$13,H1)))</xm:f>
            <xm:f>$B$13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H1</xm:sqref>
        </x14:conditionalFormatting>
        <x14:conditionalFormatting xmlns:xm="http://schemas.microsoft.com/office/excel/2006/main">
          <x14:cfRule type="containsText" priority="34" operator="containsText" id="{40EF5BF1-3F45-4F16-8841-B8D16A797E3E}">
            <xm:f>NOT(ISERROR(SEARCH($B$13,I14)))</xm:f>
            <xm:f>$B$13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I14</xm:sqref>
        </x14:conditionalFormatting>
        <x14:conditionalFormatting xmlns:xm="http://schemas.microsoft.com/office/excel/2006/main">
          <x14:cfRule type="containsText" priority="59" operator="containsText" id="{27479DAD-3EE2-4359-908E-24073465C64F}">
            <xm:f>NOT(ISERROR(SEARCH(#REF!,G20)))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G20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865DCF1-1D6C-4DE0-8461-7AF093852A2A}">
          <x14:formula1>
            <xm:f>tabla_temperatura!$AN$2:$AN$19</xm:f>
          </x14:formula1>
          <xm:sqref>M12</xm:sqref>
        </x14:dataValidation>
        <x14:dataValidation type="list" allowBlank="1" showInputMessage="1" showErrorMessage="1" xr:uid="{12FE228C-1BD5-4761-AF45-C26432AB28CD}">
          <x14:formula1>
            <xm:f>tabla_temperatura!$P$2:$P$12</xm:f>
          </x14:formula1>
          <xm:sqref>M13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CALC_AGENT</vt:lpstr>
      <vt:lpstr>INGRESO_DATOS_SALA</vt:lpstr>
      <vt:lpstr>BDD_SISTEMAS- MANIFOLD</vt:lpstr>
      <vt:lpstr>tabla_temperatura</vt:lpstr>
      <vt:lpstr>COT AGENTES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Sandoval</dc:creator>
  <cp:lastModifiedBy>Maximiliano Sandoval</cp:lastModifiedBy>
  <dcterms:created xsi:type="dcterms:W3CDTF">2026-07-06T15:58:26Z</dcterms:created>
  <dcterms:modified xsi:type="dcterms:W3CDTF">2026-07-06T16:54:49Z</dcterms:modified>
</cp:coreProperties>
</file>